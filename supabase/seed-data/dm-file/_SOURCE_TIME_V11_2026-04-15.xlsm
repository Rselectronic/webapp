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80a20872ddba06d/Desktop one drive/RS Master/6. BACKEND/TIME FILE/"/>
    </mc:Choice>
  </mc:AlternateContent>
  <xr:revisionPtr revIDLastSave="47" documentId="8_{1C5CE11A-3C84-487E-B29B-F20294B7A580}" xr6:coauthVersionLast="47" xr6:coauthVersionMax="47" xr10:uidLastSave="{A6565D6E-5F84-46A4-902E-7827D2248B1C}"/>
  <bookViews>
    <workbookView xWindow="28680" yWindow="-120" windowWidth="29040" windowHeight="15720" tabRatio="744" firstSheet="1" activeTab="5" xr2:uid="{00000000-000D-0000-FFFF-FFFF00000000}"/>
  </bookViews>
  <sheets>
    <sheet name="Settings" sheetId="10" state="hidden" r:id="rId1"/>
    <sheet name="QTY 1" sheetId="1" r:id="rId2"/>
    <sheet name="QTY 2" sheetId="2" r:id="rId3"/>
    <sheet name="QTY 3" sheetId="3" r:id="rId4"/>
    <sheet name="QTY 4" sheetId="4" r:id="rId5"/>
    <sheet name="final" sheetId="5" r:id="rId6"/>
    <sheet name="Quotation Temp" sheetId="7" r:id="rId7"/>
    <sheet name="Summary" sheetId="8" r:id="rId8"/>
  </sheets>
  <functionGroups builtInGroupCount="19"/>
  <definedNames>
    <definedName name="_xlnm._FilterDatabase" localSheetId="7" hidden="1">Summary!$A$4:$AK$4</definedName>
    <definedName name="_xleta.AND" hidden="1" xlm="1">#NAME?</definedName>
    <definedName name="_xlnm.Print_Area" localSheetId="6">'Quotation Temp'!$C$1:$AM$236</definedName>
    <definedName name="Tax_Rate" localSheetId="6">#REF!</definedName>
    <definedName name="Tax_Rate">#REF!</definedName>
    <definedName name="valuevx">42.314159</definedName>
    <definedName name="vertex42_copyright" hidden="1">"© 2010-2014 Vertex42 LLC"</definedName>
    <definedName name="vertex42_id" hidden="1">"packing-slip.xlsx"</definedName>
    <definedName name="vertex42_title" hidden="1">"Packing Slip Template"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4" i="5" l="1"/>
  <c r="U34" i="5"/>
  <c r="T34" i="5"/>
  <c r="S34" i="5"/>
  <c r="V23" i="5"/>
  <c r="V24" i="5" s="1"/>
  <c r="V25" i="5" s="1"/>
  <c r="U23" i="5"/>
  <c r="U24" i="5" s="1"/>
  <c r="U25" i="5" s="1"/>
  <c r="T23" i="5"/>
  <c r="T24" i="5" s="1"/>
  <c r="S23" i="5"/>
  <c r="S24" i="5" s="1"/>
  <c r="S25" i="5" s="1"/>
  <c r="V29" i="5"/>
  <c r="U29" i="5"/>
  <c r="T29" i="5"/>
  <c r="S29" i="5"/>
  <c r="V30" i="5"/>
  <c r="V31" i="5" s="1"/>
  <c r="V33" i="5" s="1"/>
  <c r="S30" i="5"/>
  <c r="S31" i="5" s="1"/>
  <c r="S33" i="5" s="1"/>
  <c r="V13" i="5"/>
  <c r="U13" i="5"/>
  <c r="T13" i="5"/>
  <c r="T14" i="5" s="1"/>
  <c r="S13" i="5"/>
  <c r="S14" i="5" s="1"/>
  <c r="V8" i="5"/>
  <c r="U8" i="5"/>
  <c r="T8" i="5"/>
  <c r="T9" i="5" s="1"/>
  <c r="S8" i="5"/>
  <c r="T25" i="5" l="1"/>
  <c r="S9" i="5"/>
  <c r="T30" i="5"/>
  <c r="T31" i="5" s="1"/>
  <c r="T33" i="5" s="1"/>
  <c r="S15" i="5"/>
  <c r="S16" i="5" s="1"/>
  <c r="U30" i="5"/>
  <c r="U31" i="5" s="1"/>
  <c r="U33" i="5" s="1"/>
  <c r="V9" i="5"/>
  <c r="V10" i="5" s="1"/>
  <c r="T15" i="5"/>
  <c r="T16" i="5" s="1"/>
  <c r="V15" i="5"/>
  <c r="V16" i="5" s="1"/>
  <c r="T10" i="5"/>
  <c r="U15" i="5"/>
  <c r="U9" i="5"/>
  <c r="U10" i="5" s="1"/>
  <c r="U14" i="5"/>
  <c r="V14" i="5"/>
  <c r="S10" i="5" l="1"/>
  <c r="U16" i="5"/>
  <c r="H35" i="1" l="1"/>
  <c r="H35" i="2"/>
  <c r="H35" i="3"/>
  <c r="H35" i="4"/>
  <c r="B45" i="4"/>
  <c r="B45" i="3"/>
  <c r="B45" i="2"/>
  <c r="B45" i="1"/>
  <c r="L243" i="2"/>
  <c r="L242" i="2"/>
  <c r="L241" i="2"/>
  <c r="L240" i="2"/>
  <c r="L239" i="2"/>
  <c r="L238" i="2"/>
  <c r="L237" i="2"/>
  <c r="C237" i="2"/>
  <c r="D237" i="2" s="1"/>
  <c r="E237" i="2" s="1"/>
  <c r="G237" i="2" s="1"/>
  <c r="L236" i="2"/>
  <c r="C236" i="2"/>
  <c r="D236" i="2" s="1"/>
  <c r="E236" i="2" s="1"/>
  <c r="G236" i="2" s="1"/>
  <c r="L235" i="2"/>
  <c r="L234" i="2"/>
  <c r="C234" i="2"/>
  <c r="D234" i="2" s="1"/>
  <c r="E234" i="2" s="1"/>
  <c r="G234" i="2" s="1"/>
  <c r="L233" i="2"/>
  <c r="C233" i="2"/>
  <c r="L232" i="2"/>
  <c r="C232" i="2"/>
  <c r="D232" i="2" s="1"/>
  <c r="L231" i="2"/>
  <c r="D231" i="2"/>
  <c r="E231" i="2" s="1"/>
  <c r="G231" i="2" s="1"/>
  <c r="L230" i="2"/>
  <c r="L243" i="3"/>
  <c r="L242" i="3"/>
  <c r="L241" i="3"/>
  <c r="L240" i="3"/>
  <c r="L239" i="3"/>
  <c r="L238" i="3"/>
  <c r="L237" i="3"/>
  <c r="C237" i="3"/>
  <c r="D237" i="3" s="1"/>
  <c r="E237" i="3" s="1"/>
  <c r="G237" i="3" s="1"/>
  <c r="L236" i="3"/>
  <c r="C236" i="3"/>
  <c r="D236" i="3" s="1"/>
  <c r="E236" i="3" s="1"/>
  <c r="G236" i="3" s="1"/>
  <c r="L235" i="3"/>
  <c r="L234" i="3"/>
  <c r="C234" i="3"/>
  <c r="D234" i="3" s="1"/>
  <c r="E234" i="3" s="1"/>
  <c r="G234" i="3" s="1"/>
  <c r="L233" i="3"/>
  <c r="C233" i="3"/>
  <c r="D233" i="3" s="1"/>
  <c r="E233" i="3" s="1"/>
  <c r="G233" i="3" s="1"/>
  <c r="L232" i="3"/>
  <c r="C232" i="3"/>
  <c r="L231" i="3"/>
  <c r="D231" i="3"/>
  <c r="L230" i="3"/>
  <c r="L243" i="4"/>
  <c r="L242" i="4"/>
  <c r="L241" i="4"/>
  <c r="L240" i="4"/>
  <c r="L239" i="4"/>
  <c r="L238" i="4"/>
  <c r="L237" i="4"/>
  <c r="C237" i="4"/>
  <c r="D237" i="4" s="1"/>
  <c r="E237" i="4" s="1"/>
  <c r="G237" i="4" s="1"/>
  <c r="L236" i="4"/>
  <c r="C236" i="4"/>
  <c r="D236" i="4" s="1"/>
  <c r="E236" i="4" s="1"/>
  <c r="G236" i="4" s="1"/>
  <c r="L235" i="4"/>
  <c r="L234" i="4"/>
  <c r="C234" i="4"/>
  <c r="D234" i="4" s="1"/>
  <c r="E234" i="4" s="1"/>
  <c r="G234" i="4" s="1"/>
  <c r="L233" i="4"/>
  <c r="C233" i="4"/>
  <c r="D233" i="4" s="1"/>
  <c r="E233" i="4" s="1"/>
  <c r="G233" i="4" s="1"/>
  <c r="L232" i="4"/>
  <c r="C232" i="4"/>
  <c r="D232" i="4" s="1"/>
  <c r="L231" i="4"/>
  <c r="D231" i="4"/>
  <c r="E231" i="4" s="1"/>
  <c r="G231" i="4" s="1"/>
  <c r="L230" i="4"/>
  <c r="L243" i="1"/>
  <c r="L242" i="1"/>
  <c r="L241" i="1"/>
  <c r="L240" i="1"/>
  <c r="L239" i="1"/>
  <c r="L238" i="1"/>
  <c r="L237" i="1"/>
  <c r="C237" i="1"/>
  <c r="D237" i="1" s="1"/>
  <c r="E237" i="1" s="1"/>
  <c r="G237" i="1" s="1"/>
  <c r="L236" i="1"/>
  <c r="C236" i="1"/>
  <c r="D236" i="1" s="1"/>
  <c r="E236" i="1" s="1"/>
  <c r="G236" i="1" s="1"/>
  <c r="L235" i="1"/>
  <c r="L234" i="1"/>
  <c r="C234" i="1"/>
  <c r="D234" i="1" s="1"/>
  <c r="E234" i="1" s="1"/>
  <c r="G234" i="1" s="1"/>
  <c r="L233" i="1"/>
  <c r="C233" i="1"/>
  <c r="D233" i="1" s="1"/>
  <c r="E233" i="1" s="1"/>
  <c r="G233" i="1" s="1"/>
  <c r="L232" i="1"/>
  <c r="C232" i="1"/>
  <c r="D232" i="1" s="1"/>
  <c r="E232" i="1" s="1"/>
  <c r="G232" i="1" s="1"/>
  <c r="L231" i="1"/>
  <c r="D231" i="1"/>
  <c r="E231" i="1" s="1"/>
  <c r="G231" i="1" s="1"/>
  <c r="L230" i="1"/>
  <c r="D208" i="4"/>
  <c r="D208" i="3"/>
  <c r="D208" i="2"/>
  <c r="D208" i="1"/>
  <c r="D209" i="1" s="1"/>
  <c r="D210" i="1" s="1"/>
  <c r="B209" i="1" s="1"/>
  <c r="E232" i="4" l="1"/>
  <c r="G232" i="4" s="1"/>
  <c r="E232" i="2"/>
  <c r="G232" i="2" s="1"/>
  <c r="D233" i="2"/>
  <c r="E233" i="2" s="1"/>
  <c r="G233" i="2" s="1"/>
  <c r="E231" i="3"/>
  <c r="G231" i="3" s="1"/>
  <c r="D232" i="3"/>
  <c r="E232" i="3" s="1"/>
  <c r="G232" i="3" s="1"/>
  <c r="D209" i="2"/>
  <c r="D210" i="2" s="1"/>
  <c r="B209" i="2" s="1"/>
  <c r="D209" i="4"/>
  <c r="D210" i="4" s="1"/>
  <c r="B209" i="4" s="1"/>
  <c r="D209" i="3"/>
  <c r="D210" i="3" s="1"/>
  <c r="B209" i="3" s="1"/>
  <c r="D202" i="4"/>
  <c r="D202" i="3"/>
  <c r="D202" i="2"/>
  <c r="D202" i="1"/>
  <c r="D173" i="2" l="1"/>
  <c r="D173" i="3"/>
  <c r="D173" i="4"/>
  <c r="D173" i="1"/>
  <c r="D10" i="5"/>
  <c r="D11" i="5"/>
  <c r="B2" i="4" l="1"/>
  <c r="B3" i="4" s="1"/>
  <c r="B4" i="4"/>
  <c r="E5" i="4"/>
  <c r="S5" i="4"/>
  <c r="S6" i="4" s="1"/>
  <c r="E6" i="4"/>
  <c r="B131" i="4" s="1"/>
  <c r="Y6" i="4"/>
  <c r="AE6" i="4"/>
  <c r="AD6" i="4" s="1"/>
  <c r="B7" i="4"/>
  <c r="B8" i="4" s="1"/>
  <c r="L9" i="4"/>
  <c r="L10" i="4"/>
  <c r="L11" i="4"/>
  <c r="L12" i="4"/>
  <c r="L13" i="4"/>
  <c r="B14" i="4"/>
  <c r="B15" i="4" s="1"/>
  <c r="L14" i="4"/>
  <c r="L15" i="4"/>
  <c r="L16" i="4"/>
  <c r="L17" i="4"/>
  <c r="L18" i="4"/>
  <c r="L19" i="4"/>
  <c r="L20" i="4"/>
  <c r="B21" i="4"/>
  <c r="B22" i="4" s="1"/>
  <c r="L21" i="4"/>
  <c r="L22" i="4"/>
  <c r="B23" i="4"/>
  <c r="B24" i="4" s="1"/>
  <c r="L23" i="4"/>
  <c r="L24" i="4"/>
  <c r="B25" i="4"/>
  <c r="L25" i="4"/>
  <c r="L26" i="4"/>
  <c r="L27" i="4"/>
  <c r="L28" i="4"/>
  <c r="B29" i="4"/>
  <c r="L29" i="4"/>
  <c r="L30" i="4"/>
  <c r="B31" i="4"/>
  <c r="L31" i="4"/>
  <c r="B32" i="4"/>
  <c r="L32" i="4"/>
  <c r="L33" i="4"/>
  <c r="H34" i="4"/>
  <c r="L34" i="4"/>
  <c r="B35" i="4"/>
  <c r="L35" i="4"/>
  <c r="L36" i="4"/>
  <c r="H37" i="4"/>
  <c r="L37" i="4"/>
  <c r="L38" i="4"/>
  <c r="L39" i="4"/>
  <c r="I40" i="4"/>
  <c r="L40" i="4"/>
  <c r="L41" i="4"/>
  <c r="L42" i="4"/>
  <c r="L43" i="4"/>
  <c r="B44" i="4"/>
  <c r="L44" i="4"/>
  <c r="H45" i="4"/>
  <c r="B97" i="4" s="1"/>
  <c r="L45" i="4"/>
  <c r="H46" i="4"/>
  <c r="B93" i="4" s="1"/>
  <c r="L46" i="4"/>
  <c r="L47" i="4"/>
  <c r="L48" i="4"/>
  <c r="B49" i="4"/>
  <c r="L49" i="4"/>
  <c r="L50" i="4"/>
  <c r="B51" i="4"/>
  <c r="L51" i="4"/>
  <c r="L52" i="4"/>
  <c r="L53" i="4"/>
  <c r="L54" i="4"/>
  <c r="L55" i="4"/>
  <c r="L56" i="4"/>
  <c r="L57" i="4"/>
  <c r="L58" i="4"/>
  <c r="B59" i="4"/>
  <c r="L59" i="4"/>
  <c r="L60" i="4"/>
  <c r="L61" i="4"/>
  <c r="L62" i="4"/>
  <c r="L63" i="4"/>
  <c r="B64" i="4"/>
  <c r="L64" i="4"/>
  <c r="L65" i="4"/>
  <c r="B66" i="4"/>
  <c r="L66" i="4"/>
  <c r="L67" i="4"/>
  <c r="L68" i="4"/>
  <c r="L69" i="4"/>
  <c r="L70" i="4"/>
  <c r="L71" i="4"/>
  <c r="L72" i="4"/>
  <c r="L73" i="4"/>
  <c r="B74" i="4"/>
  <c r="L74" i="4"/>
  <c r="B75" i="4"/>
  <c r="L75" i="4"/>
  <c r="B76" i="4"/>
  <c r="L76" i="4"/>
  <c r="L77" i="4"/>
  <c r="L78" i="4"/>
  <c r="L79" i="4"/>
  <c r="L80" i="4"/>
  <c r="L81" i="4"/>
  <c r="L82" i="4"/>
  <c r="B83" i="4"/>
  <c r="L83" i="4"/>
  <c r="L84" i="4"/>
  <c r="L85" i="4"/>
  <c r="L86" i="4"/>
  <c r="L87" i="4"/>
  <c r="L88" i="4"/>
  <c r="L89" i="4"/>
  <c r="L90" i="4"/>
  <c r="L91" i="4"/>
  <c r="L92" i="4"/>
  <c r="L93" i="4"/>
  <c r="B94" i="4"/>
  <c r="L94" i="4"/>
  <c r="L95" i="4"/>
  <c r="B96" i="4"/>
  <c r="L96" i="4"/>
  <c r="L97" i="4"/>
  <c r="B98" i="4"/>
  <c r="L98" i="4"/>
  <c r="B99" i="4"/>
  <c r="L99" i="4"/>
  <c r="L100" i="4"/>
  <c r="L101" i="4"/>
  <c r="L102" i="4"/>
  <c r="L103" i="4"/>
  <c r="L104" i="4"/>
  <c r="L105" i="4"/>
  <c r="B106" i="4"/>
  <c r="B107" i="4" s="1"/>
  <c r="L106" i="4"/>
  <c r="L107" i="4"/>
  <c r="B108" i="4"/>
  <c r="L108" i="4"/>
  <c r="L109" i="4"/>
  <c r="B110" i="4"/>
  <c r="L110" i="4"/>
  <c r="L111" i="4"/>
  <c r="L112" i="4"/>
  <c r="L113" i="4"/>
  <c r="L114" i="4"/>
  <c r="B115" i="4"/>
  <c r="B119" i="4" s="1"/>
  <c r="L115" i="4"/>
  <c r="B116" i="4"/>
  <c r="L116" i="4"/>
  <c r="L117" i="4"/>
  <c r="B118" i="4"/>
  <c r="L118" i="4"/>
  <c r="L119" i="4"/>
  <c r="L120" i="4"/>
  <c r="L121" i="4"/>
  <c r="L122" i="4"/>
  <c r="L123" i="4"/>
  <c r="B124" i="4"/>
  <c r="L124" i="4"/>
  <c r="L125" i="4"/>
  <c r="L126" i="4"/>
  <c r="L127" i="4"/>
  <c r="L128" i="4"/>
  <c r="B129" i="4"/>
  <c r="B130" i="4" s="1"/>
  <c r="C128" i="4" s="1"/>
  <c r="C130" i="4" s="1"/>
  <c r="L129" i="4"/>
  <c r="L130" i="4"/>
  <c r="L131" i="4"/>
  <c r="B132" i="4"/>
  <c r="L132" i="4"/>
  <c r="L133" i="4"/>
  <c r="B134" i="4"/>
  <c r="B136" i="4" s="1"/>
  <c r="L134" i="4"/>
  <c r="L135" i="4"/>
  <c r="L136" i="4"/>
  <c r="L137" i="4"/>
  <c r="L138" i="4"/>
  <c r="L139" i="4"/>
  <c r="L140" i="4"/>
  <c r="L141" i="4"/>
  <c r="B142" i="4"/>
  <c r="B143" i="4" s="1"/>
  <c r="C141" i="4" s="1"/>
  <c r="C143" i="4" s="1"/>
  <c r="L142" i="4"/>
  <c r="L143" i="4"/>
  <c r="L144" i="4"/>
  <c r="L145" i="4"/>
  <c r="B146" i="4"/>
  <c r="B148" i="4" s="1"/>
  <c r="C146" i="4" s="1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D164" i="4"/>
  <c r="L164" i="4"/>
  <c r="L165" i="4"/>
  <c r="L166" i="4"/>
  <c r="L167" i="4"/>
  <c r="L168" i="4"/>
  <c r="L169" i="4"/>
  <c r="L170" i="4"/>
  <c r="L171" i="4"/>
  <c r="D172" i="4"/>
  <c r="D184" i="4" s="1"/>
  <c r="L172" i="4"/>
  <c r="L173" i="4"/>
  <c r="D174" i="4"/>
  <c r="D185" i="4" s="1"/>
  <c r="L174" i="4"/>
  <c r="D175" i="4"/>
  <c r="L175" i="4"/>
  <c r="L176" i="4"/>
  <c r="L177" i="4"/>
  <c r="A178" i="4"/>
  <c r="C178" i="4"/>
  <c r="L178" i="4"/>
  <c r="D179" i="4"/>
  <c r="L179" i="4"/>
  <c r="C180" i="4"/>
  <c r="L180" i="4"/>
  <c r="L181" i="4"/>
  <c r="L182" i="4"/>
  <c r="C183" i="4"/>
  <c r="G194" i="4" s="1"/>
  <c r="L183" i="4"/>
  <c r="C184" i="4"/>
  <c r="G195" i="4" s="1"/>
  <c r="L184" i="4"/>
  <c r="C185" i="4"/>
  <c r="L185" i="4"/>
  <c r="C186" i="4"/>
  <c r="D186" i="4"/>
  <c r="L186" i="4"/>
  <c r="L187" i="4"/>
  <c r="E188" i="4"/>
  <c r="L188" i="4"/>
  <c r="L189" i="4"/>
  <c r="L190" i="4"/>
  <c r="H191" i="4"/>
  <c r="L191" i="4"/>
  <c r="L192" i="4"/>
  <c r="L193" i="4"/>
  <c r="F194" i="4"/>
  <c r="L194" i="4"/>
  <c r="F195" i="4"/>
  <c r="H195" i="4"/>
  <c r="L195" i="4"/>
  <c r="L196" i="4"/>
  <c r="L197" i="4"/>
  <c r="L198" i="4"/>
  <c r="L200" i="4"/>
  <c r="L201" i="4"/>
  <c r="L202" i="4"/>
  <c r="D203" i="4"/>
  <c r="D204" i="4" s="1"/>
  <c r="B204" i="4" s="1"/>
  <c r="L203" i="4"/>
  <c r="L204" i="4"/>
  <c r="L205" i="4"/>
  <c r="L206" i="4"/>
  <c r="B207" i="4"/>
  <c r="B208" i="4" s="1"/>
  <c r="V11" i="5" s="1"/>
  <c r="V12" i="5" s="1"/>
  <c r="H207" i="4"/>
  <c r="I207" i="4"/>
  <c r="L207" i="4"/>
  <c r="L208" i="4"/>
  <c r="G209" i="4"/>
  <c r="L209" i="4"/>
  <c r="L210" i="4"/>
  <c r="L211" i="4"/>
  <c r="G212" i="4"/>
  <c r="G217" i="4" s="1"/>
  <c r="H212" i="4"/>
  <c r="L212" i="4"/>
  <c r="G213" i="4"/>
  <c r="H213" i="4"/>
  <c r="L213" i="4"/>
  <c r="L214" i="4"/>
  <c r="B215" i="4"/>
  <c r="B178" i="4" s="1"/>
  <c r="G215" i="4"/>
  <c r="G216" i="4" s="1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B2" i="3"/>
  <c r="B3" i="3" s="1"/>
  <c r="B4" i="3"/>
  <c r="E5" i="3"/>
  <c r="S5" i="3"/>
  <c r="E6" i="3"/>
  <c r="B131" i="3" s="1"/>
  <c r="Y6" i="3"/>
  <c r="AE6" i="3"/>
  <c r="AD6" i="3" s="1"/>
  <c r="B7" i="3"/>
  <c r="B8" i="3" s="1"/>
  <c r="L9" i="3"/>
  <c r="L10" i="3"/>
  <c r="L11" i="3"/>
  <c r="L12" i="3"/>
  <c r="L13" i="3"/>
  <c r="B14" i="3"/>
  <c r="B15" i="3" s="1"/>
  <c r="B16" i="3" s="1"/>
  <c r="B17" i="3" s="1"/>
  <c r="L14" i="3"/>
  <c r="L15" i="3"/>
  <c r="L16" i="3"/>
  <c r="L17" i="3"/>
  <c r="L18" i="3"/>
  <c r="L19" i="3"/>
  <c r="L20" i="3"/>
  <c r="B21" i="3"/>
  <c r="B22" i="3" s="1"/>
  <c r="L21" i="3"/>
  <c r="L22" i="3"/>
  <c r="B23" i="3"/>
  <c r="B24" i="3" s="1"/>
  <c r="L23" i="3"/>
  <c r="L24" i="3"/>
  <c r="B25" i="3"/>
  <c r="L25" i="3"/>
  <c r="L26" i="3"/>
  <c r="L27" i="3"/>
  <c r="L28" i="3"/>
  <c r="B29" i="3"/>
  <c r="L29" i="3"/>
  <c r="L30" i="3"/>
  <c r="B31" i="3"/>
  <c r="L31" i="3"/>
  <c r="B32" i="3"/>
  <c r="L32" i="3"/>
  <c r="L33" i="3"/>
  <c r="H34" i="3"/>
  <c r="L34" i="3"/>
  <c r="B35" i="3"/>
  <c r="B37" i="3" s="1"/>
  <c r="L35" i="3"/>
  <c r="L36" i="3"/>
  <c r="H37" i="3"/>
  <c r="L37" i="3"/>
  <c r="L38" i="3"/>
  <c r="L39" i="3"/>
  <c r="I40" i="3"/>
  <c r="L40" i="3"/>
  <c r="L41" i="3"/>
  <c r="L42" i="3"/>
  <c r="L43" i="3"/>
  <c r="B44" i="3"/>
  <c r="L44" i="3"/>
  <c r="H45" i="3"/>
  <c r="B97" i="3" s="1"/>
  <c r="L45" i="3"/>
  <c r="H46" i="3"/>
  <c r="B93" i="3" s="1"/>
  <c r="L46" i="3"/>
  <c r="L47" i="3"/>
  <c r="L48" i="3"/>
  <c r="B49" i="3"/>
  <c r="L49" i="3"/>
  <c r="L50" i="3"/>
  <c r="B51" i="3"/>
  <c r="L51" i="3"/>
  <c r="L52" i="3"/>
  <c r="L53" i="3"/>
  <c r="L54" i="3"/>
  <c r="L55" i="3"/>
  <c r="L56" i="3"/>
  <c r="L57" i="3"/>
  <c r="L58" i="3"/>
  <c r="B59" i="3"/>
  <c r="L59" i="3"/>
  <c r="L60" i="3"/>
  <c r="L61" i="3"/>
  <c r="L62" i="3"/>
  <c r="L63" i="3"/>
  <c r="B64" i="3"/>
  <c r="L64" i="3"/>
  <c r="L65" i="3"/>
  <c r="B66" i="3"/>
  <c r="L66" i="3"/>
  <c r="L67" i="3"/>
  <c r="L68" i="3"/>
  <c r="L69" i="3"/>
  <c r="L70" i="3"/>
  <c r="L71" i="3"/>
  <c r="L72" i="3"/>
  <c r="L73" i="3"/>
  <c r="B74" i="3"/>
  <c r="L74" i="3"/>
  <c r="B75" i="3"/>
  <c r="L75" i="3"/>
  <c r="B76" i="3"/>
  <c r="L76" i="3"/>
  <c r="L77" i="3"/>
  <c r="L78" i="3"/>
  <c r="L79" i="3"/>
  <c r="L80" i="3"/>
  <c r="L81" i="3"/>
  <c r="L82" i="3"/>
  <c r="B83" i="3"/>
  <c r="L83" i="3"/>
  <c r="L84" i="3"/>
  <c r="L85" i="3"/>
  <c r="L86" i="3"/>
  <c r="L87" i="3"/>
  <c r="L88" i="3"/>
  <c r="L89" i="3"/>
  <c r="L90" i="3"/>
  <c r="L91" i="3"/>
  <c r="L92" i="3"/>
  <c r="L93" i="3"/>
  <c r="B94" i="3"/>
  <c r="L94" i="3"/>
  <c r="L95" i="3"/>
  <c r="B96" i="3"/>
  <c r="L96" i="3"/>
  <c r="L97" i="3"/>
  <c r="B98" i="3"/>
  <c r="L98" i="3"/>
  <c r="B99" i="3"/>
  <c r="L99" i="3"/>
  <c r="L100" i="3"/>
  <c r="L101" i="3"/>
  <c r="L102" i="3"/>
  <c r="L103" i="3"/>
  <c r="L104" i="3"/>
  <c r="L105" i="3"/>
  <c r="B106" i="3"/>
  <c r="B107" i="3" s="1"/>
  <c r="L106" i="3"/>
  <c r="L107" i="3"/>
  <c r="B108" i="3"/>
  <c r="L108" i="3"/>
  <c r="L109" i="3"/>
  <c r="B110" i="3"/>
  <c r="L110" i="3"/>
  <c r="L111" i="3"/>
  <c r="L112" i="3"/>
  <c r="L113" i="3"/>
  <c r="L114" i="3"/>
  <c r="B115" i="3"/>
  <c r="L115" i="3"/>
  <c r="B116" i="3"/>
  <c r="L116" i="3"/>
  <c r="L117" i="3"/>
  <c r="B118" i="3"/>
  <c r="L118" i="3"/>
  <c r="L119" i="3"/>
  <c r="L120" i="3"/>
  <c r="L121" i="3"/>
  <c r="L122" i="3"/>
  <c r="L123" i="3"/>
  <c r="B124" i="3"/>
  <c r="L124" i="3"/>
  <c r="L125" i="3"/>
  <c r="L126" i="3"/>
  <c r="L127" i="3"/>
  <c r="L128" i="3"/>
  <c r="B129" i="3"/>
  <c r="B130" i="3" s="1"/>
  <c r="C128" i="3" s="1"/>
  <c r="C130" i="3" s="1"/>
  <c r="L129" i="3"/>
  <c r="L130" i="3"/>
  <c r="L131" i="3"/>
  <c r="B132" i="3"/>
  <c r="L132" i="3"/>
  <c r="L133" i="3"/>
  <c r="B134" i="3"/>
  <c r="B136" i="3" s="1"/>
  <c r="L134" i="3"/>
  <c r="L135" i="3"/>
  <c r="L136" i="3"/>
  <c r="L137" i="3"/>
  <c r="L138" i="3"/>
  <c r="L139" i="3"/>
  <c r="L140" i="3"/>
  <c r="L141" i="3"/>
  <c r="B142" i="3"/>
  <c r="B143" i="3" s="1"/>
  <c r="C141" i="3" s="1"/>
  <c r="C143" i="3" s="1"/>
  <c r="L142" i="3"/>
  <c r="L143" i="3"/>
  <c r="L144" i="3"/>
  <c r="L145" i="3"/>
  <c r="B146" i="3"/>
  <c r="B148" i="3" s="1"/>
  <c r="C146" i="3" s="1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D164" i="3"/>
  <c r="L164" i="3"/>
  <c r="L165" i="3"/>
  <c r="L166" i="3"/>
  <c r="L167" i="3"/>
  <c r="L168" i="3"/>
  <c r="L169" i="3"/>
  <c r="L170" i="3"/>
  <c r="L171" i="3"/>
  <c r="D172" i="3"/>
  <c r="D184" i="3" s="1"/>
  <c r="L172" i="3"/>
  <c r="L173" i="3"/>
  <c r="D174" i="3"/>
  <c r="I201" i="3" s="1"/>
  <c r="H201" i="3" s="1"/>
  <c r="L174" i="3"/>
  <c r="D175" i="3"/>
  <c r="L175" i="3"/>
  <c r="L176" i="3"/>
  <c r="L177" i="3"/>
  <c r="A178" i="3"/>
  <c r="C178" i="3"/>
  <c r="L178" i="3"/>
  <c r="D179" i="3"/>
  <c r="L179" i="3"/>
  <c r="C180" i="3"/>
  <c r="L180" i="3"/>
  <c r="L181" i="3"/>
  <c r="L182" i="3"/>
  <c r="C183" i="3"/>
  <c r="G194" i="3" s="1"/>
  <c r="L183" i="3"/>
  <c r="C184" i="3"/>
  <c r="L184" i="3"/>
  <c r="C185" i="3"/>
  <c r="L185" i="3"/>
  <c r="C186" i="3"/>
  <c r="D186" i="3"/>
  <c r="L186" i="3"/>
  <c r="L187" i="3"/>
  <c r="E188" i="3"/>
  <c r="L188" i="3"/>
  <c r="L189" i="3"/>
  <c r="L190" i="3"/>
  <c r="H191" i="3"/>
  <c r="L191" i="3"/>
  <c r="L192" i="3"/>
  <c r="L193" i="3"/>
  <c r="F194" i="3"/>
  <c r="L194" i="3"/>
  <c r="F195" i="3"/>
  <c r="H195" i="3"/>
  <c r="L195" i="3"/>
  <c r="L196" i="3"/>
  <c r="L197" i="3"/>
  <c r="L198" i="3"/>
  <c r="L200" i="3"/>
  <c r="L201" i="3"/>
  <c r="L202" i="3"/>
  <c r="D203" i="3"/>
  <c r="D204" i="3" s="1"/>
  <c r="B204" i="3" s="1"/>
  <c r="L203" i="3"/>
  <c r="L204" i="3"/>
  <c r="L205" i="3"/>
  <c r="L206" i="3"/>
  <c r="B207" i="3"/>
  <c r="H207" i="3"/>
  <c r="I207" i="3"/>
  <c r="L207" i="3"/>
  <c r="L208" i="3"/>
  <c r="G209" i="3"/>
  <c r="L209" i="3"/>
  <c r="L210" i="3"/>
  <c r="L211" i="3"/>
  <c r="G212" i="3"/>
  <c r="G217" i="3" s="1"/>
  <c r="H212" i="3"/>
  <c r="L212" i="3"/>
  <c r="G213" i="3"/>
  <c r="H213" i="3"/>
  <c r="L213" i="3"/>
  <c r="L214" i="3"/>
  <c r="B215" i="3"/>
  <c r="B178" i="3" s="1"/>
  <c r="G215" i="3"/>
  <c r="G216" i="3" s="1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B2" i="2"/>
  <c r="B3" i="2" s="1"/>
  <c r="B4" i="2"/>
  <c r="E5" i="2"/>
  <c r="S5" i="2"/>
  <c r="S6" i="2" s="1"/>
  <c r="E6" i="2"/>
  <c r="B131" i="2" s="1"/>
  <c r="Y6" i="2"/>
  <c r="X6" i="2" s="1"/>
  <c r="AE6" i="2"/>
  <c r="AE7" i="2" s="1"/>
  <c r="AD7" i="2" s="1"/>
  <c r="B7" i="2"/>
  <c r="B8" i="2" s="1"/>
  <c r="L9" i="2"/>
  <c r="L10" i="2"/>
  <c r="L11" i="2"/>
  <c r="L12" i="2"/>
  <c r="L13" i="2"/>
  <c r="B14" i="2"/>
  <c r="L14" i="2"/>
  <c r="L15" i="2"/>
  <c r="L16" i="2"/>
  <c r="L17" i="2"/>
  <c r="L18" i="2"/>
  <c r="L19" i="2"/>
  <c r="L20" i="2"/>
  <c r="B21" i="2"/>
  <c r="B22" i="2" s="1"/>
  <c r="L21" i="2"/>
  <c r="L22" i="2"/>
  <c r="B23" i="2"/>
  <c r="B24" i="2" s="1"/>
  <c r="L23" i="2"/>
  <c r="L24" i="2"/>
  <c r="B25" i="2"/>
  <c r="L25" i="2"/>
  <c r="L26" i="2"/>
  <c r="L27" i="2"/>
  <c r="L28" i="2"/>
  <c r="B29" i="2"/>
  <c r="L29" i="2"/>
  <c r="L30" i="2"/>
  <c r="B31" i="2"/>
  <c r="L31" i="2"/>
  <c r="B32" i="2"/>
  <c r="L32" i="2"/>
  <c r="L33" i="2"/>
  <c r="H34" i="2"/>
  <c r="L34" i="2"/>
  <c r="B35" i="2"/>
  <c r="B37" i="2" s="1"/>
  <c r="L35" i="2"/>
  <c r="L36" i="2"/>
  <c r="H37" i="2"/>
  <c r="L37" i="2"/>
  <c r="L38" i="2"/>
  <c r="L39" i="2"/>
  <c r="I40" i="2"/>
  <c r="L40" i="2"/>
  <c r="L41" i="2"/>
  <c r="L42" i="2"/>
  <c r="L43" i="2"/>
  <c r="B44" i="2"/>
  <c r="L44" i="2"/>
  <c r="H45" i="2"/>
  <c r="B97" i="2" s="1"/>
  <c r="L45" i="2"/>
  <c r="H46" i="2"/>
  <c r="B93" i="2" s="1"/>
  <c r="L46" i="2"/>
  <c r="L47" i="2"/>
  <c r="L48" i="2"/>
  <c r="B49" i="2"/>
  <c r="L49" i="2"/>
  <c r="L50" i="2"/>
  <c r="B51" i="2"/>
  <c r="L51" i="2"/>
  <c r="L52" i="2"/>
  <c r="L53" i="2"/>
  <c r="L54" i="2"/>
  <c r="L55" i="2"/>
  <c r="L56" i="2"/>
  <c r="L57" i="2"/>
  <c r="L58" i="2"/>
  <c r="B59" i="2"/>
  <c r="L59" i="2"/>
  <c r="L60" i="2"/>
  <c r="L61" i="2"/>
  <c r="L62" i="2"/>
  <c r="L63" i="2"/>
  <c r="B64" i="2"/>
  <c r="L64" i="2"/>
  <c r="L65" i="2"/>
  <c r="B66" i="2"/>
  <c r="L66" i="2"/>
  <c r="L67" i="2"/>
  <c r="L68" i="2"/>
  <c r="L69" i="2"/>
  <c r="L70" i="2"/>
  <c r="L71" i="2"/>
  <c r="L72" i="2"/>
  <c r="L73" i="2"/>
  <c r="B74" i="2"/>
  <c r="L74" i="2"/>
  <c r="B75" i="2"/>
  <c r="L75" i="2"/>
  <c r="B76" i="2"/>
  <c r="L76" i="2"/>
  <c r="L77" i="2"/>
  <c r="L78" i="2"/>
  <c r="L79" i="2"/>
  <c r="L80" i="2"/>
  <c r="L81" i="2"/>
  <c r="L82" i="2"/>
  <c r="B83" i="2"/>
  <c r="L83" i="2"/>
  <c r="L84" i="2"/>
  <c r="L85" i="2"/>
  <c r="L86" i="2"/>
  <c r="L87" i="2"/>
  <c r="L88" i="2"/>
  <c r="L89" i="2"/>
  <c r="L90" i="2"/>
  <c r="L91" i="2"/>
  <c r="L92" i="2"/>
  <c r="L93" i="2"/>
  <c r="B94" i="2"/>
  <c r="L94" i="2"/>
  <c r="L95" i="2"/>
  <c r="B96" i="2"/>
  <c r="L96" i="2"/>
  <c r="L97" i="2"/>
  <c r="B98" i="2"/>
  <c r="L98" i="2"/>
  <c r="B99" i="2"/>
  <c r="L99" i="2"/>
  <c r="L100" i="2"/>
  <c r="L101" i="2"/>
  <c r="L102" i="2"/>
  <c r="L103" i="2"/>
  <c r="L104" i="2"/>
  <c r="L105" i="2"/>
  <c r="B106" i="2"/>
  <c r="B107" i="2" s="1"/>
  <c r="L106" i="2"/>
  <c r="L107" i="2"/>
  <c r="B108" i="2"/>
  <c r="L108" i="2"/>
  <c r="L109" i="2"/>
  <c r="B110" i="2"/>
  <c r="L110" i="2"/>
  <c r="L111" i="2"/>
  <c r="L112" i="2"/>
  <c r="L113" i="2"/>
  <c r="L114" i="2"/>
  <c r="B115" i="2"/>
  <c r="B119" i="2" s="1"/>
  <c r="L115" i="2"/>
  <c r="B116" i="2"/>
  <c r="L116" i="2"/>
  <c r="L117" i="2"/>
  <c r="B118" i="2"/>
  <c r="L118" i="2"/>
  <c r="L119" i="2"/>
  <c r="L120" i="2"/>
  <c r="L121" i="2"/>
  <c r="L122" i="2"/>
  <c r="L123" i="2"/>
  <c r="B124" i="2"/>
  <c r="L124" i="2"/>
  <c r="L125" i="2"/>
  <c r="L126" i="2"/>
  <c r="L127" i="2"/>
  <c r="L128" i="2"/>
  <c r="B129" i="2"/>
  <c r="B130" i="2" s="1"/>
  <c r="C128" i="2" s="1"/>
  <c r="C130" i="2" s="1"/>
  <c r="L129" i="2"/>
  <c r="L130" i="2"/>
  <c r="L131" i="2"/>
  <c r="B132" i="2"/>
  <c r="L132" i="2"/>
  <c r="L133" i="2"/>
  <c r="B134" i="2"/>
  <c r="B136" i="2" s="1"/>
  <c r="L134" i="2"/>
  <c r="L135" i="2"/>
  <c r="L136" i="2"/>
  <c r="L137" i="2"/>
  <c r="L138" i="2"/>
  <c r="L139" i="2"/>
  <c r="L140" i="2"/>
  <c r="L141" i="2"/>
  <c r="B142" i="2"/>
  <c r="B143" i="2" s="1"/>
  <c r="C141" i="2" s="1"/>
  <c r="C143" i="2" s="1"/>
  <c r="L142" i="2"/>
  <c r="L143" i="2"/>
  <c r="L144" i="2"/>
  <c r="L145" i="2"/>
  <c r="B146" i="2"/>
  <c r="B148" i="2" s="1"/>
  <c r="C146" i="2" s="1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D164" i="2"/>
  <c r="L164" i="2"/>
  <c r="L165" i="2"/>
  <c r="L166" i="2"/>
  <c r="L167" i="2"/>
  <c r="L168" i="2"/>
  <c r="L169" i="2"/>
  <c r="L170" i="2"/>
  <c r="L171" i="2"/>
  <c r="D172" i="2"/>
  <c r="D184" i="2" s="1"/>
  <c r="L172" i="2"/>
  <c r="L173" i="2"/>
  <c r="D174" i="2"/>
  <c r="I201" i="2" s="1"/>
  <c r="H201" i="2" s="1"/>
  <c r="L174" i="2"/>
  <c r="D175" i="2"/>
  <c r="L175" i="2"/>
  <c r="L176" i="2"/>
  <c r="L177" i="2"/>
  <c r="A178" i="2"/>
  <c r="C178" i="2"/>
  <c r="L178" i="2"/>
  <c r="D179" i="2"/>
  <c r="L179" i="2"/>
  <c r="C180" i="2"/>
  <c r="L180" i="2"/>
  <c r="L181" i="2"/>
  <c r="L182" i="2"/>
  <c r="C183" i="2"/>
  <c r="G194" i="2" s="1"/>
  <c r="L183" i="2"/>
  <c r="C184" i="2"/>
  <c r="L184" i="2"/>
  <c r="C185" i="2"/>
  <c r="L185" i="2"/>
  <c r="C186" i="2"/>
  <c r="D186" i="2"/>
  <c r="L186" i="2"/>
  <c r="L187" i="2"/>
  <c r="E188" i="2"/>
  <c r="L188" i="2"/>
  <c r="L189" i="2"/>
  <c r="L190" i="2"/>
  <c r="H191" i="2"/>
  <c r="L191" i="2"/>
  <c r="L192" i="2"/>
  <c r="L193" i="2"/>
  <c r="F194" i="2"/>
  <c r="L194" i="2"/>
  <c r="F195" i="2"/>
  <c r="H195" i="2"/>
  <c r="L195" i="2"/>
  <c r="L196" i="2"/>
  <c r="L197" i="2"/>
  <c r="L198" i="2"/>
  <c r="L200" i="2"/>
  <c r="L201" i="2"/>
  <c r="L202" i="2"/>
  <c r="D203" i="2"/>
  <c r="D204" i="2" s="1"/>
  <c r="B204" i="2" s="1"/>
  <c r="L203" i="2"/>
  <c r="L204" i="2"/>
  <c r="L205" i="2"/>
  <c r="L206" i="2"/>
  <c r="B207" i="2"/>
  <c r="H207" i="2"/>
  <c r="I207" i="2"/>
  <c r="L207" i="2"/>
  <c r="L208" i="2"/>
  <c r="G209" i="2"/>
  <c r="L209" i="2"/>
  <c r="L210" i="2"/>
  <c r="L211" i="2"/>
  <c r="G212" i="2"/>
  <c r="G217" i="2" s="1"/>
  <c r="H212" i="2"/>
  <c r="L212" i="2"/>
  <c r="G213" i="2"/>
  <c r="H213" i="2"/>
  <c r="L213" i="2"/>
  <c r="L214" i="2"/>
  <c r="B215" i="2"/>
  <c r="B178" i="2" s="1"/>
  <c r="G215" i="2"/>
  <c r="G216" i="2" s="1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C183" i="1"/>
  <c r="C184" i="1"/>
  <c r="A5" i="5" l="1"/>
  <c r="A4" i="5"/>
  <c r="A3" i="5"/>
  <c r="C9" i="5"/>
  <c r="C8" i="5"/>
  <c r="B5" i="5"/>
  <c r="B4" i="5"/>
  <c r="B3" i="5"/>
  <c r="C5" i="5"/>
  <c r="C4" i="5"/>
  <c r="C3" i="5"/>
  <c r="B117" i="3"/>
  <c r="C179" i="3"/>
  <c r="E179" i="3" s="1"/>
  <c r="C179" i="4"/>
  <c r="E179" i="4" s="1"/>
  <c r="C179" i="2"/>
  <c r="E179" i="2" s="1"/>
  <c r="Y7" i="2"/>
  <c r="X7" i="2" s="1"/>
  <c r="B53" i="3"/>
  <c r="AE7" i="3"/>
  <c r="AE8" i="3" s="1"/>
  <c r="AD8" i="3" s="1"/>
  <c r="B68" i="4"/>
  <c r="AE8" i="2"/>
  <c r="AE9" i="2" s="1"/>
  <c r="B208" i="3"/>
  <c r="U11" i="5" s="1"/>
  <c r="U12" i="5" s="1"/>
  <c r="B208" i="2"/>
  <c r="T11" i="5" s="1"/>
  <c r="T12" i="5" s="1"/>
  <c r="B117" i="2"/>
  <c r="B81" i="3"/>
  <c r="B82" i="3" s="1"/>
  <c r="B84" i="3" s="1"/>
  <c r="B85" i="3" s="1"/>
  <c r="B86" i="3" s="1"/>
  <c r="B119" i="3"/>
  <c r="B120" i="3" s="1"/>
  <c r="B121" i="3" s="1"/>
  <c r="C119" i="3" s="1"/>
  <c r="C121" i="3" s="1"/>
  <c r="B77" i="2"/>
  <c r="B60" i="3"/>
  <c r="B62" i="3" s="1"/>
  <c r="B68" i="3"/>
  <c r="B120" i="2"/>
  <c r="B47" i="2"/>
  <c r="B111" i="2"/>
  <c r="B112" i="2" s="1"/>
  <c r="C110" i="2" s="1"/>
  <c r="C112" i="2" s="1"/>
  <c r="B47" i="4"/>
  <c r="D166" i="4"/>
  <c r="C148" i="3"/>
  <c r="C148" i="2"/>
  <c r="C148" i="4"/>
  <c r="AE7" i="4"/>
  <c r="AE8" i="4" s="1"/>
  <c r="B120" i="4"/>
  <c r="B117" i="4"/>
  <c r="B78" i="4"/>
  <c r="B79" i="4" s="1"/>
  <c r="C77" i="4" s="1"/>
  <c r="C79" i="4" s="1"/>
  <c r="B81" i="4"/>
  <c r="B82" i="4" s="1"/>
  <c r="B84" i="4" s="1"/>
  <c r="B85" i="4" s="1"/>
  <c r="B86" i="4" s="1"/>
  <c r="B60" i="4"/>
  <c r="B62" i="4" s="1"/>
  <c r="G193" i="2"/>
  <c r="G197" i="2" s="1"/>
  <c r="I201" i="4"/>
  <c r="H201" i="4" s="1"/>
  <c r="E186" i="3"/>
  <c r="I213" i="2"/>
  <c r="I195" i="4"/>
  <c r="E186" i="2"/>
  <c r="D185" i="2"/>
  <c r="E185" i="2" s="1"/>
  <c r="G193" i="4"/>
  <c r="G197" i="4" s="1"/>
  <c r="G193" i="3"/>
  <c r="G196" i="3" s="1"/>
  <c r="E186" i="4"/>
  <c r="I212" i="2"/>
  <c r="I212" i="4"/>
  <c r="I213" i="4"/>
  <c r="B126" i="3"/>
  <c r="C124" i="3" s="1"/>
  <c r="C126" i="3" s="1"/>
  <c r="E184" i="3"/>
  <c r="I213" i="3"/>
  <c r="B126" i="2"/>
  <c r="C124" i="2" s="1"/>
  <c r="C126" i="2" s="1"/>
  <c r="I212" i="3"/>
  <c r="B77" i="4"/>
  <c r="B60" i="2"/>
  <c r="B62" i="2" s="1"/>
  <c r="D185" i="3"/>
  <c r="E185" i="3" s="1"/>
  <c r="G195" i="3"/>
  <c r="I195" i="3" s="1"/>
  <c r="B30" i="2"/>
  <c r="B33" i="2"/>
  <c r="E184" i="2"/>
  <c r="G195" i="2"/>
  <c r="I195" i="2" s="1"/>
  <c r="B61" i="2"/>
  <c r="B111" i="3"/>
  <c r="B112" i="3" s="1"/>
  <c r="C110" i="3" s="1"/>
  <c r="C112" i="3" s="1"/>
  <c r="B78" i="2"/>
  <c r="B79" i="2" s="1"/>
  <c r="C77" i="2" s="1"/>
  <c r="C79" i="2" s="1"/>
  <c r="B202" i="4"/>
  <c r="B203" i="4" s="1"/>
  <c r="I202" i="4" s="1"/>
  <c r="H202" i="4" s="1"/>
  <c r="I200" i="4"/>
  <c r="B133" i="4"/>
  <c r="B135" i="4"/>
  <c r="B137" i="4" s="1"/>
  <c r="R6" i="4"/>
  <c r="S7" i="4"/>
  <c r="E185" i="4"/>
  <c r="B95" i="4"/>
  <c r="B103" i="4"/>
  <c r="B104" i="4" s="1"/>
  <c r="C102" i="4" s="1"/>
  <c r="H208" i="4"/>
  <c r="I208" i="4"/>
  <c r="I209" i="4" s="1"/>
  <c r="H209" i="4" s="1"/>
  <c r="B37" i="4"/>
  <c r="R5" i="4"/>
  <c r="AD7" i="4"/>
  <c r="B46" i="4"/>
  <c r="B126" i="4"/>
  <c r="C124" i="4" s="1"/>
  <c r="C126" i="4" s="1"/>
  <c r="B111" i="4"/>
  <c r="B112" i="4" s="1"/>
  <c r="C110" i="4" s="1"/>
  <c r="C112" i="4" s="1"/>
  <c r="B33" i="4"/>
  <c r="E184" i="4"/>
  <c r="B61" i="4"/>
  <c r="B16" i="4"/>
  <c r="B17" i="4" s="1"/>
  <c r="B53" i="4"/>
  <c r="B30" i="4"/>
  <c r="Y7" i="4"/>
  <c r="X6" i="4"/>
  <c r="I200" i="3"/>
  <c r="B202" i="3"/>
  <c r="B203" i="3" s="1"/>
  <c r="I202" i="3" s="1"/>
  <c r="H202" i="3" s="1"/>
  <c r="B133" i="3"/>
  <c r="B135" i="3"/>
  <c r="B137" i="3" s="1"/>
  <c r="S6" i="3"/>
  <c r="R5" i="3"/>
  <c r="B78" i="3"/>
  <c r="B79" i="3" s="1"/>
  <c r="C77" i="3" s="1"/>
  <c r="C79" i="3" s="1"/>
  <c r="B77" i="3"/>
  <c r="X6" i="3"/>
  <c r="Y7" i="3"/>
  <c r="B95" i="3"/>
  <c r="B103" i="3"/>
  <c r="B104" i="3" s="1"/>
  <c r="C102" i="3" s="1"/>
  <c r="B46" i="3"/>
  <c r="B30" i="3"/>
  <c r="B33" i="3"/>
  <c r="B61" i="3"/>
  <c r="B135" i="2"/>
  <c r="B137" i="2" s="1"/>
  <c r="B133" i="2"/>
  <c r="I200" i="2"/>
  <c r="B202" i="2"/>
  <c r="B203" i="2" s="1"/>
  <c r="I202" i="2" s="1"/>
  <c r="H202" i="2" s="1"/>
  <c r="B68" i="2"/>
  <c r="R6" i="2"/>
  <c r="S7" i="2"/>
  <c r="B103" i="2"/>
  <c r="B104" i="2" s="1"/>
  <c r="C102" i="2" s="1"/>
  <c r="B95" i="2"/>
  <c r="R5" i="2"/>
  <c r="B53" i="2"/>
  <c r="AD9" i="2"/>
  <c r="AE10" i="2"/>
  <c r="AD8" i="2"/>
  <c r="B46" i="2"/>
  <c r="B81" i="2"/>
  <c r="B82" i="2" s="1"/>
  <c r="AD6" i="2"/>
  <c r="B15" i="2"/>
  <c r="B16" i="2" s="1"/>
  <c r="B17" i="2" s="1"/>
  <c r="F5" i="5" l="1"/>
  <c r="F4" i="5"/>
  <c r="F3" i="5"/>
  <c r="Y8" i="2"/>
  <c r="AE9" i="3"/>
  <c r="B121" i="4"/>
  <c r="C119" i="4" s="1"/>
  <c r="C121" i="4" s="1"/>
  <c r="AD7" i="3"/>
  <c r="B121" i="2"/>
  <c r="C119" i="2" s="1"/>
  <c r="C121" i="2" s="1"/>
  <c r="I208" i="2"/>
  <c r="I209" i="2" s="1"/>
  <c r="H209" i="2" s="1"/>
  <c r="D166" i="3"/>
  <c r="I208" i="3"/>
  <c r="I209" i="3" s="1"/>
  <c r="H209" i="3" s="1"/>
  <c r="H208" i="3"/>
  <c r="H208" i="2"/>
  <c r="D166" i="2"/>
  <c r="B63" i="3"/>
  <c r="B65" i="3" s="1"/>
  <c r="B48" i="4"/>
  <c r="B50" i="4" s="1"/>
  <c r="B48" i="2"/>
  <c r="B50" i="2" s="1"/>
  <c r="B63" i="4"/>
  <c r="B65" i="4" s="1"/>
  <c r="C104" i="3"/>
  <c r="C104" i="2"/>
  <c r="C104" i="4"/>
  <c r="G196" i="2"/>
  <c r="G200" i="2"/>
  <c r="G203" i="2" s="1"/>
  <c r="G204" i="2" s="1"/>
  <c r="I214" i="2"/>
  <c r="G197" i="3"/>
  <c r="G200" i="3"/>
  <c r="G203" i="3" s="1"/>
  <c r="G204" i="3" s="1"/>
  <c r="G200" i="4"/>
  <c r="G203" i="4" s="1"/>
  <c r="G204" i="4" s="1"/>
  <c r="G196" i="4"/>
  <c r="I214" i="3"/>
  <c r="D165" i="2"/>
  <c r="I214" i="4"/>
  <c r="B87" i="4"/>
  <c r="B88" i="4" s="1"/>
  <c r="C86" i="4" s="1"/>
  <c r="C88" i="4" s="1"/>
  <c r="B34" i="2"/>
  <c r="B36" i="2" s="1"/>
  <c r="B38" i="2" s="1"/>
  <c r="B41" i="2" s="1"/>
  <c r="B42" i="2" s="1"/>
  <c r="C40" i="2" s="1"/>
  <c r="C42" i="2" s="1"/>
  <c r="B63" i="2"/>
  <c r="B65" i="2" s="1"/>
  <c r="B34" i="4"/>
  <c r="B36" i="4" s="1"/>
  <c r="B38" i="4" s="1"/>
  <c r="B39" i="4" s="1"/>
  <c r="S8" i="4"/>
  <c r="R7" i="4"/>
  <c r="X7" i="4"/>
  <c r="Y8" i="4"/>
  <c r="B101" i="4"/>
  <c r="B102" i="4"/>
  <c r="B138" i="4"/>
  <c r="B139" i="4"/>
  <c r="AD8" i="4"/>
  <c r="AE9" i="4"/>
  <c r="I203" i="4"/>
  <c r="I204" i="4"/>
  <c r="D165" i="4"/>
  <c r="B47" i="3"/>
  <c r="B48" i="3"/>
  <c r="B34" i="3"/>
  <c r="X7" i="3"/>
  <c r="Y8" i="3"/>
  <c r="B138" i="3"/>
  <c r="B139" i="3"/>
  <c r="D165" i="3"/>
  <c r="AD9" i="3"/>
  <c r="AE10" i="3"/>
  <c r="R6" i="3"/>
  <c r="S7" i="3"/>
  <c r="I203" i="3"/>
  <c r="I204" i="3"/>
  <c r="B87" i="3"/>
  <c r="B88" i="3" s="1"/>
  <c r="C86" i="3" s="1"/>
  <c r="C88" i="3" s="1"/>
  <c r="B102" i="3"/>
  <c r="B101" i="3"/>
  <c r="I203" i="2"/>
  <c r="I204" i="2"/>
  <c r="AE11" i="2"/>
  <c r="AD10" i="2"/>
  <c r="B102" i="2"/>
  <c r="B101" i="2"/>
  <c r="B84" i="2"/>
  <c r="B85" i="2" s="1"/>
  <c r="B86" i="2" s="1"/>
  <c r="S8" i="2"/>
  <c r="R7" i="2"/>
  <c r="B139" i="2"/>
  <c r="B138" i="2"/>
  <c r="Y9" i="2" l="1"/>
  <c r="X8" i="2"/>
  <c r="B52" i="2"/>
  <c r="B54" i="2" s="1"/>
  <c r="B55" i="2" s="1"/>
  <c r="B67" i="4"/>
  <c r="B69" i="4" s="1"/>
  <c r="B70" i="4" s="1"/>
  <c r="B52" i="4"/>
  <c r="B54" i="4" s="1"/>
  <c r="B56" i="4" s="1"/>
  <c r="B57" i="4" s="1"/>
  <c r="C55" i="4" s="1"/>
  <c r="C57" i="4" s="1"/>
  <c r="B67" i="3"/>
  <c r="B69" i="3" s="1"/>
  <c r="B71" i="3" s="1"/>
  <c r="B72" i="3" s="1"/>
  <c r="C70" i="3" s="1"/>
  <c r="C72" i="3" s="1"/>
  <c r="H200" i="2"/>
  <c r="H203" i="2"/>
  <c r="H200" i="3"/>
  <c r="H203" i="3"/>
  <c r="H200" i="4"/>
  <c r="H203" i="4"/>
  <c r="B39" i="2"/>
  <c r="B40" i="2"/>
  <c r="B41" i="4"/>
  <c r="B42" i="4" s="1"/>
  <c r="C40" i="4" s="1"/>
  <c r="C42" i="4" s="1"/>
  <c r="B40" i="4"/>
  <c r="B67" i="2"/>
  <c r="B69" i="2" s="1"/>
  <c r="B70" i="2" s="1"/>
  <c r="B87" i="2"/>
  <c r="B88" i="2" s="1"/>
  <c r="C86" i="2" s="1"/>
  <c r="C88" i="2" s="1"/>
  <c r="S9" i="4"/>
  <c r="R8" i="4"/>
  <c r="H204" i="4"/>
  <c r="G219" i="4"/>
  <c r="I42" i="4"/>
  <c r="C137" i="4"/>
  <c r="Y9" i="4"/>
  <c r="X8" i="4"/>
  <c r="AE10" i="4"/>
  <c r="AD9" i="4"/>
  <c r="X8" i="3"/>
  <c r="Y9" i="3"/>
  <c r="B36" i="3"/>
  <c r="B38" i="3" s="1"/>
  <c r="AE11" i="3"/>
  <c r="AD10" i="3"/>
  <c r="B50" i="3"/>
  <c r="B52" i="3"/>
  <c r="B54" i="3" s="1"/>
  <c r="S8" i="3"/>
  <c r="R7" i="3"/>
  <c r="H204" i="3"/>
  <c r="G219" i="3"/>
  <c r="I42" i="3"/>
  <c r="C137" i="3"/>
  <c r="I42" i="2"/>
  <c r="C137" i="2"/>
  <c r="H204" i="2"/>
  <c r="G219" i="2"/>
  <c r="S9" i="2"/>
  <c r="R8" i="2"/>
  <c r="AD11" i="2"/>
  <c r="AE12" i="2"/>
  <c r="X9" i="2" l="1"/>
  <c r="Y10" i="2"/>
  <c r="B56" i="2"/>
  <c r="B57" i="2" s="1"/>
  <c r="C55" i="2" s="1"/>
  <c r="C57" i="2" s="1"/>
  <c r="B71" i="4"/>
  <c r="B72" i="4" s="1"/>
  <c r="C70" i="4" s="1"/>
  <c r="C72" i="4" s="1"/>
  <c r="B70" i="3"/>
  <c r="B55" i="4"/>
  <c r="C139" i="3"/>
  <c r="C139" i="2"/>
  <c r="C139" i="4"/>
  <c r="B71" i="2"/>
  <c r="B72" i="2" s="1"/>
  <c r="C70" i="2" s="1"/>
  <c r="C72" i="2" s="1"/>
  <c r="AD10" i="4"/>
  <c r="AE11" i="4"/>
  <c r="X9" i="4"/>
  <c r="Y10" i="4"/>
  <c r="R9" i="4"/>
  <c r="S10" i="4"/>
  <c r="B39" i="3"/>
  <c r="B40" i="3"/>
  <c r="B55" i="3"/>
  <c r="B56" i="3"/>
  <c r="B57" i="3" s="1"/>
  <c r="C55" i="3" s="1"/>
  <c r="C57" i="3" s="1"/>
  <c r="AD11" i="3"/>
  <c r="AE12" i="3"/>
  <c r="B41" i="3"/>
  <c r="B42" i="3" s="1"/>
  <c r="X9" i="3"/>
  <c r="Y10" i="3"/>
  <c r="S9" i="3"/>
  <c r="R8" i="3"/>
  <c r="S10" i="2"/>
  <c r="R9" i="2"/>
  <c r="AE13" i="2"/>
  <c r="AD12" i="2"/>
  <c r="Y11" i="2" l="1"/>
  <c r="X10" i="2"/>
  <c r="B91" i="4"/>
  <c r="B90" i="4" s="1"/>
  <c r="B91" i="2"/>
  <c r="B90" i="2" s="1"/>
  <c r="R10" i="4"/>
  <c r="S11" i="4"/>
  <c r="Y11" i="4"/>
  <c r="X10" i="4"/>
  <c r="AE12" i="4"/>
  <c r="AD11" i="4"/>
  <c r="X10" i="3"/>
  <c r="Y11" i="3"/>
  <c r="AD12" i="3"/>
  <c r="AE13" i="3"/>
  <c r="B91" i="3"/>
  <c r="C40" i="3"/>
  <c r="C42" i="3" s="1"/>
  <c r="S10" i="3"/>
  <c r="R9" i="3"/>
  <c r="AD13" i="2"/>
  <c r="AE14" i="2"/>
  <c r="R10" i="2"/>
  <c r="S11" i="2"/>
  <c r="X11" i="2" l="1"/>
  <c r="Y12" i="2"/>
  <c r="B150" i="4"/>
  <c r="C89" i="4"/>
  <c r="B158" i="4"/>
  <c r="C158" i="4" s="1"/>
  <c r="V26" i="5" s="1"/>
  <c r="V27" i="5" s="1"/>
  <c r="V28" i="5" s="1"/>
  <c r="V36" i="5" s="1"/>
  <c r="B150" i="2"/>
  <c r="B158" i="2"/>
  <c r="C158" i="2" s="1"/>
  <c r="T26" i="5" s="1"/>
  <c r="T27" i="5" s="1"/>
  <c r="T28" i="5" s="1"/>
  <c r="T36" i="5" s="1"/>
  <c r="C89" i="2"/>
  <c r="C235" i="2" s="1"/>
  <c r="S12" i="4"/>
  <c r="R11" i="4"/>
  <c r="X11" i="4"/>
  <c r="Y12" i="4"/>
  <c r="AD12" i="4"/>
  <c r="AE13" i="4"/>
  <c r="AD13" i="3"/>
  <c r="AE14" i="3"/>
  <c r="R10" i="3"/>
  <c r="S11" i="3"/>
  <c r="C89" i="3"/>
  <c r="C235" i="3" s="1"/>
  <c r="B150" i="3"/>
  <c r="B158" i="3"/>
  <c r="C158" i="3" s="1"/>
  <c r="U26" i="5" s="1"/>
  <c r="U27" i="5" s="1"/>
  <c r="U28" i="5" s="1"/>
  <c r="U36" i="5" s="1"/>
  <c r="B90" i="3"/>
  <c r="X11" i="3"/>
  <c r="Y12" i="3"/>
  <c r="S12" i="2"/>
  <c r="R11" i="2"/>
  <c r="AD14" i="2"/>
  <c r="AE15" i="2"/>
  <c r="D158" i="4" l="1"/>
  <c r="E158" i="4" s="1"/>
  <c r="D158" i="2"/>
  <c r="E158" i="2" s="1"/>
  <c r="D235" i="3"/>
  <c r="C238" i="3"/>
  <c r="D235" i="2"/>
  <c r="C238" i="2"/>
  <c r="C91" i="4"/>
  <c r="C235" i="4"/>
  <c r="X12" i="2"/>
  <c r="Y13" i="2"/>
  <c r="H158" i="4"/>
  <c r="C91" i="3"/>
  <c r="C91" i="2"/>
  <c r="H158" i="2"/>
  <c r="AD13" i="4"/>
  <c r="AE14" i="4"/>
  <c r="X12" i="4"/>
  <c r="Y13" i="4"/>
  <c r="R12" i="4"/>
  <c r="S13" i="4"/>
  <c r="R11" i="3"/>
  <c r="S12" i="3"/>
  <c r="H158" i="3"/>
  <c r="D158" i="3"/>
  <c r="E158" i="3" s="1"/>
  <c r="X12" i="3"/>
  <c r="Y13" i="3"/>
  <c r="AD14" i="3"/>
  <c r="AE15" i="3"/>
  <c r="AD15" i="2"/>
  <c r="AE16" i="2"/>
  <c r="S13" i="2"/>
  <c r="R12" i="2"/>
  <c r="D235" i="4" l="1"/>
  <c r="C238" i="4"/>
  <c r="E235" i="2"/>
  <c r="G235" i="2" s="1"/>
  <c r="G238" i="2" s="1"/>
  <c r="G240" i="2" s="1"/>
  <c r="T2" i="5" s="1"/>
  <c r="D238" i="2"/>
  <c r="D239" i="2" s="1"/>
  <c r="G239" i="2" s="1"/>
  <c r="E235" i="3"/>
  <c r="G235" i="3" s="1"/>
  <c r="G238" i="3" s="1"/>
  <c r="G240" i="3" s="1"/>
  <c r="U2" i="5" s="1"/>
  <c r="D238" i="3"/>
  <c r="D239" i="3" s="1"/>
  <c r="G239" i="3" s="1"/>
  <c r="X13" i="2"/>
  <c r="Y14" i="2"/>
  <c r="Y14" i="4"/>
  <c r="X13" i="4"/>
  <c r="S14" i="4"/>
  <c r="R13" i="4"/>
  <c r="AD14" i="4"/>
  <c r="AE15" i="4"/>
  <c r="AD15" i="3"/>
  <c r="AE16" i="3"/>
  <c r="Y14" i="3"/>
  <c r="X13" i="3"/>
  <c r="S13" i="3"/>
  <c r="R12" i="3"/>
  <c r="S14" i="2"/>
  <c r="R13" i="2"/>
  <c r="AE17" i="2"/>
  <c r="AD16" i="2"/>
  <c r="U42" i="5" l="1"/>
  <c r="U43" i="5" s="1"/>
  <c r="U17" i="5"/>
  <c r="U39" i="5"/>
  <c r="T42" i="5"/>
  <c r="T43" i="5" s="1"/>
  <c r="T39" i="5"/>
  <c r="T17" i="5"/>
  <c r="E235" i="4"/>
  <c r="G235" i="4" s="1"/>
  <c r="G238" i="4" s="1"/>
  <c r="G240" i="4" s="1"/>
  <c r="V2" i="5" s="1"/>
  <c r="D238" i="4"/>
  <c r="D239" i="4" s="1"/>
  <c r="G239" i="4" s="1"/>
  <c r="X14" i="2"/>
  <c r="Y15" i="2"/>
  <c r="AD15" i="4"/>
  <c r="AE16" i="4"/>
  <c r="R14" i="4"/>
  <c r="S15" i="4"/>
  <c r="Y15" i="4"/>
  <c r="X14" i="4"/>
  <c r="Y15" i="3"/>
  <c r="X14" i="3"/>
  <c r="S14" i="3"/>
  <c r="R13" i="3"/>
  <c r="AD16" i="3"/>
  <c r="AE17" i="3"/>
  <c r="AE18" i="2"/>
  <c r="AD17" i="2"/>
  <c r="R14" i="2"/>
  <c r="S15" i="2"/>
  <c r="V42" i="5" l="1"/>
  <c r="V43" i="5" s="1"/>
  <c r="V39" i="5"/>
  <c r="V17" i="5"/>
  <c r="Y16" i="2"/>
  <c r="X15" i="2"/>
  <c r="Y16" i="4"/>
  <c r="X15" i="4"/>
  <c r="S16" i="4"/>
  <c r="R15" i="4"/>
  <c r="AE17" i="4"/>
  <c r="AD16" i="4"/>
  <c r="AD17" i="3"/>
  <c r="AE18" i="3"/>
  <c r="S15" i="3"/>
  <c r="R14" i="3"/>
  <c r="Y16" i="3"/>
  <c r="X15" i="3"/>
  <c r="R15" i="2"/>
  <c r="S16" i="2"/>
  <c r="AD18" i="2"/>
  <c r="AE19" i="2"/>
  <c r="X16" i="2" l="1"/>
  <c r="Y17" i="2"/>
  <c r="AE18" i="4"/>
  <c r="AD17" i="4"/>
  <c r="R16" i="4"/>
  <c r="S17" i="4"/>
  <c r="Y17" i="4"/>
  <c r="X16" i="4"/>
  <c r="Y17" i="3"/>
  <c r="X16" i="3"/>
  <c r="R15" i="3"/>
  <c r="S16" i="3"/>
  <c r="AD18" i="3"/>
  <c r="AE19" i="3"/>
  <c r="AD19" i="2"/>
  <c r="AE20" i="2"/>
  <c r="R16" i="2"/>
  <c r="S17" i="2"/>
  <c r="Y18" i="2" l="1"/>
  <c r="X17" i="2"/>
  <c r="X17" i="4"/>
  <c r="Y18" i="4"/>
  <c r="S18" i="4"/>
  <c r="R17" i="4"/>
  <c r="AD18" i="4"/>
  <c r="AE19" i="4"/>
  <c r="R16" i="3"/>
  <c r="S17" i="3"/>
  <c r="AD19" i="3"/>
  <c r="AE20" i="3"/>
  <c r="Y18" i="3"/>
  <c r="X17" i="3"/>
  <c r="S18" i="2"/>
  <c r="R17" i="2"/>
  <c r="AD20" i="2"/>
  <c r="AE21" i="2"/>
  <c r="X18" i="2" l="1"/>
  <c r="Y19" i="2"/>
  <c r="R18" i="4"/>
  <c r="S19" i="4"/>
  <c r="AD19" i="4"/>
  <c r="AE20" i="4"/>
  <c r="X18" i="4"/>
  <c r="Y19" i="4"/>
  <c r="AD20" i="3"/>
  <c r="AE21" i="3"/>
  <c r="X18" i="3"/>
  <c r="Y19" i="3"/>
  <c r="S18" i="3"/>
  <c r="R17" i="3"/>
  <c r="AD21" i="2"/>
  <c r="AE22" i="2"/>
  <c r="R18" i="2"/>
  <c r="S19" i="2"/>
  <c r="X19" i="2" l="1"/>
  <c r="Y20" i="2"/>
  <c r="X19" i="4"/>
  <c r="Y20" i="4"/>
  <c r="S20" i="4"/>
  <c r="R19" i="4"/>
  <c r="AD20" i="4"/>
  <c r="AE21" i="4"/>
  <c r="R18" i="3"/>
  <c r="S19" i="3"/>
  <c r="AD21" i="3"/>
  <c r="AE22" i="3"/>
  <c r="Y20" i="3"/>
  <c r="X19" i="3"/>
  <c r="S20" i="2"/>
  <c r="R19" i="2"/>
  <c r="AD22" i="2"/>
  <c r="AE23" i="2"/>
  <c r="X20" i="2" l="1"/>
  <c r="Y21" i="2"/>
  <c r="X20" i="4"/>
  <c r="Y21" i="4"/>
  <c r="AD21" i="4"/>
  <c r="AE22" i="4"/>
  <c r="R20" i="4"/>
  <c r="S21" i="4"/>
  <c r="X20" i="3"/>
  <c r="Y21" i="3"/>
  <c r="AD22" i="3"/>
  <c r="AE23" i="3"/>
  <c r="S20" i="3"/>
  <c r="R19" i="3"/>
  <c r="AD23" i="2"/>
  <c r="AE24" i="2"/>
  <c r="R20" i="2"/>
  <c r="S21" i="2"/>
  <c r="X21" i="2" l="1"/>
  <c r="Y22" i="2"/>
  <c r="S22" i="4"/>
  <c r="R21" i="4"/>
  <c r="AD22" i="4"/>
  <c r="AE23" i="4"/>
  <c r="Y22" i="4"/>
  <c r="X21" i="4"/>
  <c r="AD23" i="3"/>
  <c r="AE24" i="3"/>
  <c r="Y22" i="3"/>
  <c r="X21" i="3"/>
  <c r="S21" i="3"/>
  <c r="R20" i="3"/>
  <c r="AE25" i="2"/>
  <c r="AD24" i="2"/>
  <c r="B20" i="2" s="1"/>
  <c r="S22" i="2"/>
  <c r="R21" i="2"/>
  <c r="Y23" i="2" l="1"/>
  <c r="X22" i="2"/>
  <c r="AD23" i="4"/>
  <c r="AE24" i="4"/>
  <c r="X22" i="4"/>
  <c r="Y23" i="4"/>
  <c r="S23" i="4"/>
  <c r="R22" i="4"/>
  <c r="R21" i="3"/>
  <c r="S22" i="3"/>
  <c r="X22" i="3"/>
  <c r="Y23" i="3"/>
  <c r="AD24" i="3"/>
  <c r="B20" i="3" s="1"/>
  <c r="AE25" i="3"/>
  <c r="R22" i="2"/>
  <c r="S23" i="2"/>
  <c r="AE26" i="2"/>
  <c r="AD25" i="2"/>
  <c r="Y24" i="2" l="1"/>
  <c r="X23" i="2"/>
  <c r="Y24" i="4"/>
  <c r="X23" i="4"/>
  <c r="R23" i="4"/>
  <c r="S24" i="4"/>
  <c r="AD24" i="4"/>
  <c r="B20" i="4" s="1"/>
  <c r="AE25" i="4"/>
  <c r="AD25" i="3"/>
  <c r="AE26" i="3"/>
  <c r="Y24" i="3"/>
  <c r="X23" i="3"/>
  <c r="R22" i="3"/>
  <c r="S23" i="3"/>
  <c r="AE27" i="2"/>
  <c r="AD26" i="2"/>
  <c r="R23" i="2"/>
  <c r="S24" i="2"/>
  <c r="Y25" i="2" l="1"/>
  <c r="X24" i="2"/>
  <c r="R24" i="4"/>
  <c r="S25" i="4"/>
  <c r="AD25" i="4"/>
  <c r="AE26" i="4"/>
  <c r="Y25" i="4"/>
  <c r="X24" i="4"/>
  <c r="S24" i="3"/>
  <c r="R23" i="3"/>
  <c r="AD26" i="3"/>
  <c r="AE27" i="3"/>
  <c r="Y25" i="3"/>
  <c r="X24" i="3"/>
  <c r="R24" i="2"/>
  <c r="S25" i="2"/>
  <c r="AE28" i="2"/>
  <c r="AD27" i="2"/>
  <c r="X25" i="2" l="1"/>
  <c r="Y26" i="2"/>
  <c r="AD26" i="4"/>
  <c r="AE27" i="4"/>
  <c r="Y26" i="4"/>
  <c r="X25" i="4"/>
  <c r="S26" i="4"/>
  <c r="R25" i="4"/>
  <c r="Y26" i="3"/>
  <c r="X25" i="3"/>
  <c r="AD27" i="3"/>
  <c r="AE28" i="3"/>
  <c r="S25" i="3"/>
  <c r="R24" i="3"/>
  <c r="AD28" i="2"/>
  <c r="AE29" i="2"/>
  <c r="R25" i="2"/>
  <c r="S26" i="2"/>
  <c r="X26" i="2" l="1"/>
  <c r="Y27" i="2"/>
  <c r="S27" i="4"/>
  <c r="R26" i="4"/>
  <c r="X26" i="4"/>
  <c r="Y27" i="4"/>
  <c r="AE28" i="4"/>
  <c r="AD27" i="4"/>
  <c r="R25" i="3"/>
  <c r="S26" i="3"/>
  <c r="AD28" i="3"/>
  <c r="AE29" i="3"/>
  <c r="X26" i="3"/>
  <c r="Y27" i="3"/>
  <c r="AD29" i="2"/>
  <c r="AE30" i="2"/>
  <c r="S27" i="2"/>
  <c r="R26" i="2"/>
  <c r="Y28" i="2" l="1"/>
  <c r="X27" i="2"/>
  <c r="AD28" i="4"/>
  <c r="AE29" i="4"/>
  <c r="Y28" i="4"/>
  <c r="X27" i="4"/>
  <c r="R27" i="4"/>
  <c r="S28" i="4"/>
  <c r="AD29" i="3"/>
  <c r="AE30" i="3"/>
  <c r="Y28" i="3"/>
  <c r="X27" i="3"/>
  <c r="R26" i="3"/>
  <c r="S27" i="3"/>
  <c r="AD30" i="2"/>
  <c r="AE31" i="2"/>
  <c r="R27" i="2"/>
  <c r="S28" i="2"/>
  <c r="X28" i="2" l="1"/>
  <c r="Y29" i="2"/>
  <c r="R28" i="4"/>
  <c r="S29" i="4"/>
  <c r="X28" i="4"/>
  <c r="Y29" i="4"/>
  <c r="AD29" i="4"/>
  <c r="AE30" i="4"/>
  <c r="R27" i="3"/>
  <c r="S28" i="3"/>
  <c r="X28" i="3"/>
  <c r="Y29" i="3"/>
  <c r="AD30" i="3"/>
  <c r="AE31" i="3"/>
  <c r="S29" i="2"/>
  <c r="R28" i="2"/>
  <c r="AD31" i="2"/>
  <c r="AE32" i="2"/>
  <c r="Y30" i="2" l="1"/>
  <c r="X29" i="2"/>
  <c r="Y30" i="4"/>
  <c r="X29" i="4"/>
  <c r="AD30" i="4"/>
  <c r="AE31" i="4"/>
  <c r="S30" i="4"/>
  <c r="R29" i="4"/>
  <c r="AD31" i="3"/>
  <c r="AE32" i="3"/>
  <c r="R28" i="3"/>
  <c r="S29" i="3"/>
  <c r="Y30" i="3"/>
  <c r="X29" i="3"/>
  <c r="AD32" i="2"/>
  <c r="AE33" i="2"/>
  <c r="R29" i="2"/>
  <c r="S30" i="2"/>
  <c r="X30" i="2" l="1"/>
  <c r="Y31" i="2"/>
  <c r="R30" i="4"/>
  <c r="S31" i="4"/>
  <c r="AD31" i="4"/>
  <c r="AE32" i="4"/>
  <c r="Y31" i="4"/>
  <c r="X30" i="4"/>
  <c r="Y31" i="3"/>
  <c r="X30" i="3"/>
  <c r="S30" i="3"/>
  <c r="R29" i="3"/>
  <c r="AD32" i="3"/>
  <c r="AE33" i="3"/>
  <c r="R30" i="2"/>
  <c r="S31" i="2"/>
  <c r="AD33" i="2"/>
  <c r="AE34" i="2"/>
  <c r="Y32" i="2" l="1"/>
  <c r="X31" i="2"/>
  <c r="AD32" i="4"/>
  <c r="AE33" i="4"/>
  <c r="X31" i="4"/>
  <c r="Y32" i="4"/>
  <c r="S32" i="4"/>
  <c r="R31" i="4"/>
  <c r="AD33" i="3"/>
  <c r="AE34" i="3"/>
  <c r="Y32" i="3"/>
  <c r="X31" i="3"/>
  <c r="S31" i="3"/>
  <c r="R30" i="3"/>
  <c r="AD34" i="2"/>
  <c r="AE35" i="2"/>
  <c r="R31" i="2"/>
  <c r="S32" i="2"/>
  <c r="X32" i="2" l="1"/>
  <c r="Y33" i="2"/>
  <c r="X32" i="4"/>
  <c r="Y33" i="4"/>
  <c r="R32" i="4"/>
  <c r="S33" i="4"/>
  <c r="AD33" i="4"/>
  <c r="AE34" i="4"/>
  <c r="S32" i="3"/>
  <c r="R31" i="3"/>
  <c r="X32" i="3"/>
  <c r="Y33" i="3"/>
  <c r="AD34" i="3"/>
  <c r="AE35" i="3"/>
  <c r="R32" i="2"/>
  <c r="S33" i="2"/>
  <c r="AD35" i="2"/>
  <c r="AE36" i="2"/>
  <c r="Y34" i="2" l="1"/>
  <c r="X33" i="2"/>
  <c r="AE35" i="4"/>
  <c r="AD34" i="4"/>
  <c r="R33" i="4"/>
  <c r="S34" i="4"/>
  <c r="Y34" i="4"/>
  <c r="X33" i="4"/>
  <c r="R32" i="3"/>
  <c r="S33" i="3"/>
  <c r="AD35" i="3"/>
  <c r="AE36" i="3"/>
  <c r="Y34" i="3"/>
  <c r="X33" i="3"/>
  <c r="AD36" i="2"/>
  <c r="AE37" i="2"/>
  <c r="R33" i="2"/>
  <c r="S34" i="2"/>
  <c r="Y35" i="2" l="1"/>
  <c r="X34" i="2"/>
  <c r="Y35" i="4"/>
  <c r="X34" i="4"/>
  <c r="R34" i="4"/>
  <c r="S35" i="4"/>
  <c r="AE36" i="4"/>
  <c r="AD35" i="4"/>
  <c r="Y35" i="3"/>
  <c r="X34" i="3"/>
  <c r="AD36" i="3"/>
  <c r="AE37" i="3"/>
  <c r="S34" i="3"/>
  <c r="R33" i="3"/>
  <c r="R34" i="2"/>
  <c r="S35" i="2"/>
  <c r="AD37" i="2"/>
  <c r="AE38" i="2"/>
  <c r="Y36" i="2" l="1"/>
  <c r="X35" i="2"/>
  <c r="AE37" i="4"/>
  <c r="AD36" i="4"/>
  <c r="R35" i="4"/>
  <c r="S36" i="4"/>
  <c r="Y36" i="4"/>
  <c r="X35" i="4"/>
  <c r="AD37" i="3"/>
  <c r="AE38" i="3"/>
  <c r="R34" i="3"/>
  <c r="S35" i="3"/>
  <c r="Y36" i="3"/>
  <c r="X35" i="3"/>
  <c r="AD38" i="2"/>
  <c r="AE39" i="2"/>
  <c r="S36" i="2"/>
  <c r="R35" i="2"/>
  <c r="Y37" i="2" l="1"/>
  <c r="X36" i="2"/>
  <c r="S37" i="4"/>
  <c r="R36" i="4"/>
  <c r="X36" i="4"/>
  <c r="Y37" i="4"/>
  <c r="AD37" i="4"/>
  <c r="AE38" i="4"/>
  <c r="R35" i="3"/>
  <c r="S36" i="3"/>
  <c r="AD38" i="3"/>
  <c r="AE39" i="3"/>
  <c r="Y37" i="3"/>
  <c r="X36" i="3"/>
  <c r="AE40" i="2"/>
  <c r="AD39" i="2"/>
  <c r="R36" i="2"/>
  <c r="S37" i="2"/>
  <c r="X37" i="2" l="1"/>
  <c r="Y38" i="2"/>
  <c r="X37" i="4"/>
  <c r="Y38" i="4"/>
  <c r="AD38" i="4"/>
  <c r="AE39" i="4"/>
  <c r="S38" i="4"/>
  <c r="R37" i="4"/>
  <c r="X37" i="3"/>
  <c r="Y38" i="3"/>
  <c r="AD39" i="3"/>
  <c r="AE40" i="3"/>
  <c r="S37" i="3"/>
  <c r="R36" i="3"/>
  <c r="S38" i="2"/>
  <c r="R37" i="2"/>
  <c r="AD40" i="2"/>
  <c r="AE41" i="2"/>
  <c r="X38" i="2" l="1"/>
  <c r="Y39" i="2"/>
  <c r="R38" i="4"/>
  <c r="S39" i="4"/>
  <c r="AD39" i="4"/>
  <c r="AE40" i="4"/>
  <c r="X38" i="4"/>
  <c r="Y39" i="4"/>
  <c r="AE41" i="3"/>
  <c r="AD40" i="3"/>
  <c r="R37" i="3"/>
  <c r="S38" i="3"/>
  <c r="X38" i="3"/>
  <c r="Y39" i="3"/>
  <c r="AE42" i="2"/>
  <c r="AD41" i="2"/>
  <c r="S39" i="2"/>
  <c r="R38" i="2"/>
  <c r="X39" i="2" l="1"/>
  <c r="Y40" i="2"/>
  <c r="X39" i="4"/>
  <c r="Y40" i="4"/>
  <c r="AD40" i="4"/>
  <c r="AE41" i="4"/>
  <c r="R39" i="4"/>
  <c r="S40" i="4"/>
  <c r="X39" i="3"/>
  <c r="Y40" i="3"/>
  <c r="S39" i="3"/>
  <c r="R38" i="3"/>
  <c r="AE42" i="3"/>
  <c r="AD41" i="3"/>
  <c r="AD42" i="2"/>
  <c r="AE43" i="2"/>
  <c r="S40" i="2"/>
  <c r="R39" i="2"/>
  <c r="X40" i="2" l="1"/>
  <c r="Y41" i="2"/>
  <c r="AD41" i="4"/>
  <c r="AE42" i="4"/>
  <c r="R40" i="4"/>
  <c r="S41" i="4"/>
  <c r="Y41" i="4"/>
  <c r="X40" i="4"/>
  <c r="AD42" i="3"/>
  <c r="AE43" i="3"/>
  <c r="S40" i="3"/>
  <c r="R39" i="3"/>
  <c r="X40" i="3"/>
  <c r="Y41" i="3"/>
  <c r="R40" i="2"/>
  <c r="S41" i="2"/>
  <c r="AE44" i="2"/>
  <c r="AD43" i="2"/>
  <c r="Y42" i="2" l="1"/>
  <c r="X41" i="2"/>
  <c r="R41" i="4"/>
  <c r="S42" i="4"/>
  <c r="Y42" i="4"/>
  <c r="X41" i="4"/>
  <c r="AD42" i="4"/>
  <c r="AE43" i="4"/>
  <c r="R40" i="3"/>
  <c r="S41" i="3"/>
  <c r="X41" i="3"/>
  <c r="Y42" i="3"/>
  <c r="AE44" i="3"/>
  <c r="AD43" i="3"/>
  <c r="AE45" i="2"/>
  <c r="AD44" i="2"/>
  <c r="R41" i="2"/>
  <c r="S42" i="2"/>
  <c r="Y43" i="2" l="1"/>
  <c r="X42" i="2"/>
  <c r="AD43" i="4"/>
  <c r="AE44" i="4"/>
  <c r="Y43" i="4"/>
  <c r="X42" i="4"/>
  <c r="R42" i="4"/>
  <c r="S43" i="4"/>
  <c r="Y43" i="3"/>
  <c r="X42" i="3"/>
  <c r="AD44" i="3"/>
  <c r="AE45" i="3"/>
  <c r="R41" i="3"/>
  <c r="S42" i="3"/>
  <c r="AE46" i="2"/>
  <c r="AD45" i="2"/>
  <c r="R42" i="2"/>
  <c r="S43" i="2"/>
  <c r="Y44" i="2" l="1"/>
  <c r="X43" i="2"/>
  <c r="R43" i="4"/>
  <c r="S44" i="4"/>
  <c r="X43" i="4"/>
  <c r="Y44" i="4"/>
  <c r="AD44" i="4"/>
  <c r="AE45" i="4"/>
  <c r="R42" i="3"/>
  <c r="S43" i="3"/>
  <c r="AE46" i="3"/>
  <c r="AD45" i="3"/>
  <c r="Y44" i="3"/>
  <c r="X43" i="3"/>
  <c r="R43" i="2"/>
  <c r="S44" i="2"/>
  <c r="AE47" i="2"/>
  <c r="AD46" i="2"/>
  <c r="Y45" i="2" l="1"/>
  <c r="X44" i="2"/>
  <c r="AE46" i="4"/>
  <c r="AD45" i="4"/>
  <c r="Y45" i="4"/>
  <c r="X44" i="4"/>
  <c r="S45" i="4"/>
  <c r="R44" i="4"/>
  <c r="X44" i="3"/>
  <c r="Y45" i="3"/>
  <c r="AE47" i="3"/>
  <c r="AD46" i="3"/>
  <c r="R43" i="3"/>
  <c r="S44" i="3"/>
  <c r="AE48" i="2"/>
  <c r="AD47" i="2"/>
  <c r="R44" i="2"/>
  <c r="S45" i="2"/>
  <c r="Y46" i="2" l="1"/>
  <c r="X45" i="2"/>
  <c r="R45" i="4"/>
  <c r="S46" i="4"/>
  <c r="Y46" i="4"/>
  <c r="X45" i="4"/>
  <c r="AE47" i="4"/>
  <c r="AD46" i="4"/>
  <c r="R44" i="3"/>
  <c r="S45" i="3"/>
  <c r="AE48" i="3"/>
  <c r="AD47" i="3"/>
  <c r="X45" i="3"/>
  <c r="Y46" i="3"/>
  <c r="S46" i="2"/>
  <c r="R45" i="2"/>
  <c r="AE49" i="2"/>
  <c r="AD48" i="2"/>
  <c r="Y47" i="2" l="1"/>
  <c r="X46" i="2"/>
  <c r="AE48" i="4"/>
  <c r="AD47" i="4"/>
  <c r="Y47" i="4"/>
  <c r="X46" i="4"/>
  <c r="R46" i="4"/>
  <c r="S47" i="4"/>
  <c r="X46" i="3"/>
  <c r="Y47" i="3"/>
  <c r="AE49" i="3"/>
  <c r="AD48" i="3"/>
  <c r="R45" i="3"/>
  <c r="S46" i="3"/>
  <c r="AE50" i="2"/>
  <c r="AD49" i="2"/>
  <c r="R46" i="2"/>
  <c r="S47" i="2"/>
  <c r="Y48" i="2" l="1"/>
  <c r="X47" i="2"/>
  <c r="R47" i="4"/>
  <c r="S48" i="4"/>
  <c r="Y48" i="4"/>
  <c r="X47" i="4"/>
  <c r="AE49" i="4"/>
  <c r="AD48" i="4"/>
  <c r="R46" i="3"/>
  <c r="S47" i="3"/>
  <c r="AE50" i="3"/>
  <c r="AD49" i="3"/>
  <c r="Y48" i="3"/>
  <c r="X47" i="3"/>
  <c r="R47" i="2"/>
  <c r="S48" i="2"/>
  <c r="AE51" i="2"/>
  <c r="AD50" i="2"/>
  <c r="Y49" i="2" l="1"/>
  <c r="X48" i="2"/>
  <c r="Y49" i="4"/>
  <c r="X48" i="4"/>
  <c r="AE50" i="4"/>
  <c r="AD49" i="4"/>
  <c r="R48" i="4"/>
  <c r="S49" i="4"/>
  <c r="X48" i="3"/>
  <c r="Y49" i="3"/>
  <c r="AE51" i="3"/>
  <c r="AD50" i="3"/>
  <c r="S48" i="3"/>
  <c r="R47" i="3"/>
  <c r="AE52" i="2"/>
  <c r="AD51" i="2"/>
  <c r="R48" i="2"/>
  <c r="S49" i="2"/>
  <c r="X49" i="2" l="1"/>
  <c r="Y50" i="2"/>
  <c r="S50" i="4"/>
  <c r="R49" i="4"/>
  <c r="AE51" i="4"/>
  <c r="AD50" i="4"/>
  <c r="Y50" i="4"/>
  <c r="X49" i="4"/>
  <c r="R48" i="3"/>
  <c r="S49" i="3"/>
  <c r="AE52" i="3"/>
  <c r="AD51" i="3"/>
  <c r="Y50" i="3"/>
  <c r="X49" i="3"/>
  <c r="R49" i="2"/>
  <c r="S50" i="2"/>
  <c r="AE53" i="2"/>
  <c r="AD52" i="2"/>
  <c r="X50" i="2" l="1"/>
  <c r="Y51" i="2"/>
  <c r="X50" i="4"/>
  <c r="Y51" i="4"/>
  <c r="AE52" i="4"/>
  <c r="AD51" i="4"/>
  <c r="R50" i="4"/>
  <c r="S51" i="4"/>
  <c r="X50" i="3"/>
  <c r="Y51" i="3"/>
  <c r="AE53" i="3"/>
  <c r="AD52" i="3"/>
  <c r="S50" i="3"/>
  <c r="R49" i="3"/>
  <c r="AE54" i="2"/>
  <c r="AD53" i="2"/>
  <c r="R50" i="2"/>
  <c r="S51" i="2"/>
  <c r="X51" i="2" l="1"/>
  <c r="Y52" i="2"/>
  <c r="R51" i="4"/>
  <c r="S52" i="4"/>
  <c r="AE53" i="4"/>
  <c r="AD52" i="4"/>
  <c r="Y52" i="4"/>
  <c r="X51" i="4"/>
  <c r="R50" i="3"/>
  <c r="S51" i="3"/>
  <c r="X51" i="3"/>
  <c r="Y52" i="3"/>
  <c r="AE54" i="3"/>
  <c r="AD53" i="3"/>
  <c r="S52" i="2"/>
  <c r="R51" i="2"/>
  <c r="AD54" i="2"/>
  <c r="AE55" i="2"/>
  <c r="Y53" i="2" l="1"/>
  <c r="X52" i="2"/>
  <c r="X52" i="4"/>
  <c r="Y53" i="4"/>
  <c r="AE54" i="4"/>
  <c r="AD53" i="4"/>
  <c r="S53" i="4"/>
  <c r="R52" i="4"/>
  <c r="AE55" i="3"/>
  <c r="AD54" i="3"/>
  <c r="S52" i="3"/>
  <c r="R51" i="3"/>
  <c r="Y53" i="3"/>
  <c r="X52" i="3"/>
  <c r="R52" i="2"/>
  <c r="S53" i="2"/>
  <c r="AD55" i="2"/>
  <c r="AE56" i="2"/>
  <c r="X53" i="2" l="1"/>
  <c r="Y54" i="2"/>
  <c r="R53" i="4"/>
  <c r="S54" i="4"/>
  <c r="AD54" i="4"/>
  <c r="AE55" i="4"/>
  <c r="X53" i="4"/>
  <c r="Y54" i="4"/>
  <c r="X53" i="3"/>
  <c r="Y54" i="3"/>
  <c r="S53" i="3"/>
  <c r="R52" i="3"/>
  <c r="AD55" i="3"/>
  <c r="AE56" i="3"/>
  <c r="AD56" i="2"/>
  <c r="AE57" i="2"/>
  <c r="S54" i="2"/>
  <c r="R53" i="2"/>
  <c r="Y55" i="2" l="1"/>
  <c r="X54" i="2"/>
  <c r="AD55" i="4"/>
  <c r="AE56" i="4"/>
  <c r="Y55" i="4"/>
  <c r="X54" i="4"/>
  <c r="S55" i="4"/>
  <c r="R54" i="4"/>
  <c r="AD56" i="3"/>
  <c r="AE57" i="3"/>
  <c r="Y55" i="3"/>
  <c r="X54" i="3"/>
  <c r="S54" i="3"/>
  <c r="R53" i="3"/>
  <c r="R54" i="2"/>
  <c r="S55" i="2"/>
  <c r="AD57" i="2"/>
  <c r="AE58" i="2"/>
  <c r="X55" i="2" l="1"/>
  <c r="Y56" i="2"/>
  <c r="S56" i="4"/>
  <c r="R55" i="4"/>
  <c r="X55" i="4"/>
  <c r="Y56" i="4"/>
  <c r="AD56" i="4"/>
  <c r="AE57" i="4"/>
  <c r="AD57" i="3"/>
  <c r="AE58" i="3"/>
  <c r="R54" i="3"/>
  <c r="S55" i="3"/>
  <c r="Y56" i="3"/>
  <c r="X55" i="3"/>
  <c r="AD58" i="2"/>
  <c r="AE59" i="2"/>
  <c r="S56" i="2"/>
  <c r="R55" i="2"/>
  <c r="X56" i="2" l="1"/>
  <c r="Y57" i="2"/>
  <c r="Y57" i="4"/>
  <c r="X56" i="4"/>
  <c r="AD57" i="4"/>
  <c r="AE58" i="4"/>
  <c r="R56" i="4"/>
  <c r="S57" i="4"/>
  <c r="R55" i="3"/>
  <c r="S56" i="3"/>
  <c r="Y57" i="3"/>
  <c r="X56" i="3"/>
  <c r="AD58" i="3"/>
  <c r="AE59" i="3"/>
  <c r="R56" i="2"/>
  <c r="S57" i="2"/>
  <c r="AD59" i="2"/>
  <c r="AE60" i="2"/>
  <c r="Y58" i="2" l="1"/>
  <c r="X57" i="2"/>
  <c r="R57" i="4"/>
  <c r="S58" i="4"/>
  <c r="AD58" i="4"/>
  <c r="AE59" i="4"/>
  <c r="X57" i="4"/>
  <c r="Y58" i="4"/>
  <c r="AD59" i="3"/>
  <c r="AE60" i="3"/>
  <c r="X57" i="3"/>
  <c r="Y58" i="3"/>
  <c r="S57" i="3"/>
  <c r="R56" i="3"/>
  <c r="AD60" i="2"/>
  <c r="AE61" i="2"/>
  <c r="S58" i="2"/>
  <c r="R57" i="2"/>
  <c r="Y59" i="2" l="1"/>
  <c r="X58" i="2"/>
  <c r="AD59" i="4"/>
  <c r="AE60" i="4"/>
  <c r="Y59" i="4"/>
  <c r="X58" i="4"/>
  <c r="S59" i="4"/>
  <c r="R58" i="4"/>
  <c r="R57" i="3"/>
  <c r="S58" i="3"/>
  <c r="Y59" i="3"/>
  <c r="X58" i="3"/>
  <c r="AD60" i="3"/>
  <c r="AE61" i="3"/>
  <c r="R58" i="2"/>
  <c r="S59" i="2"/>
  <c r="AD61" i="2"/>
  <c r="AE62" i="2"/>
  <c r="X59" i="2" l="1"/>
  <c r="Y60" i="2"/>
  <c r="R59" i="4"/>
  <c r="S60" i="4"/>
  <c r="Y60" i="4"/>
  <c r="X59" i="4"/>
  <c r="AD60" i="4"/>
  <c r="AE61" i="4"/>
  <c r="AD61" i="3"/>
  <c r="AE62" i="3"/>
  <c r="Y60" i="3"/>
  <c r="X59" i="3"/>
  <c r="S59" i="3"/>
  <c r="R58" i="3"/>
  <c r="R59" i="2"/>
  <c r="S60" i="2"/>
  <c r="AD62" i="2"/>
  <c r="AE63" i="2"/>
  <c r="X60" i="2" l="1"/>
  <c r="Y61" i="2"/>
  <c r="AD61" i="4"/>
  <c r="AE62" i="4"/>
  <c r="X60" i="4"/>
  <c r="Y61" i="4"/>
  <c r="R60" i="4"/>
  <c r="S61" i="4"/>
  <c r="R59" i="3"/>
  <c r="S60" i="3"/>
  <c r="X60" i="3"/>
  <c r="Y61" i="3"/>
  <c r="AD62" i="3"/>
  <c r="AE63" i="3"/>
  <c r="AD63" i="2"/>
  <c r="AE64" i="2"/>
  <c r="S61" i="2"/>
  <c r="R60" i="2"/>
  <c r="Y62" i="2" l="1"/>
  <c r="X61" i="2"/>
  <c r="X61" i="4"/>
  <c r="Y62" i="4"/>
  <c r="R61" i="4"/>
  <c r="S62" i="4"/>
  <c r="AD62" i="4"/>
  <c r="AE63" i="4"/>
  <c r="X61" i="3"/>
  <c r="Y62" i="3"/>
  <c r="AD63" i="3"/>
  <c r="AE64" i="3"/>
  <c r="S61" i="3"/>
  <c r="R60" i="3"/>
  <c r="S62" i="2"/>
  <c r="R61" i="2"/>
  <c r="AD64" i="2"/>
  <c r="AE65" i="2"/>
  <c r="Y63" i="2" l="1"/>
  <c r="X62" i="2"/>
  <c r="AD63" i="4"/>
  <c r="AE64" i="4"/>
  <c r="S63" i="4"/>
  <c r="R62" i="4"/>
  <c r="X62" i="4"/>
  <c r="Y63" i="4"/>
  <c r="AD64" i="3"/>
  <c r="AE65" i="3"/>
  <c r="R61" i="3"/>
  <c r="S62" i="3"/>
  <c r="Y63" i="3"/>
  <c r="X62" i="3"/>
  <c r="AD65" i="2"/>
  <c r="AE66" i="2"/>
  <c r="R62" i="2"/>
  <c r="S63" i="2"/>
  <c r="X63" i="2" l="1"/>
  <c r="Y64" i="2"/>
  <c r="X63" i="4"/>
  <c r="Y64" i="4"/>
  <c r="R63" i="4"/>
  <c r="S64" i="4"/>
  <c r="AD64" i="4"/>
  <c r="AE65" i="4"/>
  <c r="Y64" i="3"/>
  <c r="X63" i="3"/>
  <c r="S63" i="3"/>
  <c r="R62" i="3"/>
  <c r="AD65" i="3"/>
  <c r="AE66" i="3"/>
  <c r="S64" i="2"/>
  <c r="R63" i="2"/>
  <c r="AD66" i="2"/>
  <c r="AE67" i="2"/>
  <c r="Y65" i="2" l="1"/>
  <c r="X64" i="2"/>
  <c r="S65" i="4"/>
  <c r="R64" i="4"/>
  <c r="AD65" i="4"/>
  <c r="AE66" i="4"/>
  <c r="X64" i="4"/>
  <c r="Y65" i="4"/>
  <c r="R63" i="3"/>
  <c r="S64" i="3"/>
  <c r="AD66" i="3"/>
  <c r="AE67" i="3"/>
  <c r="X64" i="3"/>
  <c r="Y65" i="3"/>
  <c r="AD67" i="2"/>
  <c r="AE68" i="2"/>
  <c r="R64" i="2"/>
  <c r="S65" i="2"/>
  <c r="X65" i="2" l="1"/>
  <c r="Y66" i="2"/>
  <c r="AD66" i="4"/>
  <c r="AE67" i="4"/>
  <c r="Y66" i="4"/>
  <c r="X65" i="4"/>
  <c r="R65" i="4"/>
  <c r="S66" i="4"/>
  <c r="Y66" i="3"/>
  <c r="X65" i="3"/>
  <c r="AD67" i="3"/>
  <c r="AE68" i="3"/>
  <c r="S65" i="3"/>
  <c r="R64" i="3"/>
  <c r="R65" i="2"/>
  <c r="S66" i="2"/>
  <c r="AD68" i="2"/>
  <c r="AE69" i="2"/>
  <c r="X66" i="2" l="1"/>
  <c r="Y67" i="2"/>
  <c r="R66" i="4"/>
  <c r="S67" i="4"/>
  <c r="Y67" i="4"/>
  <c r="X66" i="4"/>
  <c r="AD67" i="4"/>
  <c r="AE68" i="4"/>
  <c r="AD68" i="3"/>
  <c r="AE69" i="3"/>
  <c r="R65" i="3"/>
  <c r="S66" i="3"/>
  <c r="Y67" i="3"/>
  <c r="X66" i="3"/>
  <c r="AD69" i="2"/>
  <c r="AE70" i="2"/>
  <c r="R66" i="2"/>
  <c r="S67" i="2"/>
  <c r="X67" i="2" l="1"/>
  <c r="Y68" i="2"/>
  <c r="AD68" i="4"/>
  <c r="AE69" i="4"/>
  <c r="X67" i="4"/>
  <c r="Y68" i="4"/>
  <c r="R67" i="4"/>
  <c r="S68" i="4"/>
  <c r="Y68" i="3"/>
  <c r="X67" i="3"/>
  <c r="AD69" i="3"/>
  <c r="AE70" i="3"/>
  <c r="S67" i="3"/>
  <c r="R66" i="3"/>
  <c r="R67" i="2"/>
  <c r="S68" i="2"/>
  <c r="AD70" i="2"/>
  <c r="AE71" i="2"/>
  <c r="X68" i="2" l="1"/>
  <c r="Y69" i="2"/>
  <c r="Y69" i="4"/>
  <c r="X68" i="4"/>
  <c r="R68" i="4"/>
  <c r="S69" i="4"/>
  <c r="AD69" i="4"/>
  <c r="AE70" i="4"/>
  <c r="AD70" i="3"/>
  <c r="AE71" i="3"/>
  <c r="R67" i="3"/>
  <c r="S68" i="3"/>
  <c r="X68" i="3"/>
  <c r="Y69" i="3"/>
  <c r="AD71" i="2"/>
  <c r="AE72" i="2"/>
  <c r="S69" i="2"/>
  <c r="R68" i="2"/>
  <c r="Y70" i="2" l="1"/>
  <c r="X69" i="2"/>
  <c r="S70" i="4"/>
  <c r="R69" i="4"/>
  <c r="AD70" i="4"/>
  <c r="AE71" i="4"/>
  <c r="Y70" i="4"/>
  <c r="X69" i="4"/>
  <c r="AD71" i="3"/>
  <c r="AE72" i="3"/>
  <c r="Y70" i="3"/>
  <c r="X69" i="3"/>
  <c r="S69" i="3"/>
  <c r="R68" i="3"/>
  <c r="R69" i="2"/>
  <c r="S70" i="2"/>
  <c r="AD72" i="2"/>
  <c r="AE73" i="2"/>
  <c r="Y71" i="2" l="1"/>
  <c r="X70" i="2"/>
  <c r="Y71" i="4"/>
  <c r="X70" i="4"/>
  <c r="AD71" i="4"/>
  <c r="AE72" i="4"/>
  <c r="R70" i="4"/>
  <c r="S71" i="4"/>
  <c r="R69" i="3"/>
  <c r="S70" i="3"/>
  <c r="Y71" i="3"/>
  <c r="X70" i="3"/>
  <c r="AE73" i="3"/>
  <c r="AD72" i="3"/>
  <c r="AE74" i="2"/>
  <c r="AD73" i="2"/>
  <c r="S71" i="2"/>
  <c r="R70" i="2"/>
  <c r="X71" i="2" l="1"/>
  <c r="Y72" i="2"/>
  <c r="AE73" i="4"/>
  <c r="AD72" i="4"/>
  <c r="S72" i="4"/>
  <c r="R71" i="4"/>
  <c r="X71" i="4"/>
  <c r="Y72" i="4"/>
  <c r="AD73" i="3"/>
  <c r="AE74" i="3"/>
  <c r="Y72" i="3"/>
  <c r="X71" i="3"/>
  <c r="S71" i="3"/>
  <c r="R70" i="3"/>
  <c r="S72" i="2"/>
  <c r="R71" i="2"/>
  <c r="AE75" i="2"/>
  <c r="AD74" i="2"/>
  <c r="X72" i="2" l="1"/>
  <c r="Y73" i="2"/>
  <c r="X72" i="4"/>
  <c r="Y73" i="4"/>
  <c r="S73" i="4"/>
  <c r="R72" i="4"/>
  <c r="AE74" i="4"/>
  <c r="AD73" i="4"/>
  <c r="R71" i="3"/>
  <c r="S72" i="3"/>
  <c r="X72" i="3"/>
  <c r="Y73" i="3"/>
  <c r="AD74" i="3"/>
  <c r="AE75" i="3"/>
  <c r="AD75" i="2"/>
  <c r="AE76" i="2"/>
  <c r="S73" i="2"/>
  <c r="R72" i="2"/>
  <c r="Y74" i="2" l="1"/>
  <c r="X73" i="2"/>
  <c r="AD74" i="4"/>
  <c r="AE75" i="4"/>
  <c r="R73" i="4"/>
  <c r="S74" i="4"/>
  <c r="Y74" i="4"/>
  <c r="X73" i="4"/>
  <c r="AD75" i="3"/>
  <c r="AE76" i="3"/>
  <c r="Y74" i="3"/>
  <c r="X73" i="3"/>
  <c r="R72" i="3"/>
  <c r="S73" i="3"/>
  <c r="R73" i="2"/>
  <c r="S74" i="2"/>
  <c r="AD76" i="2"/>
  <c r="AE77" i="2"/>
  <c r="Y75" i="2" l="1"/>
  <c r="X74" i="2"/>
  <c r="S75" i="4"/>
  <c r="R74" i="4"/>
  <c r="Y75" i="4"/>
  <c r="X74" i="4"/>
  <c r="AE76" i="4"/>
  <c r="AD75" i="4"/>
  <c r="S74" i="3"/>
  <c r="R73" i="3"/>
  <c r="Y75" i="3"/>
  <c r="X74" i="3"/>
  <c r="AD76" i="3"/>
  <c r="AE77" i="3"/>
  <c r="AD77" i="2"/>
  <c r="AE78" i="2"/>
  <c r="R74" i="2"/>
  <c r="S75" i="2"/>
  <c r="Y76" i="2" l="1"/>
  <c r="X75" i="2"/>
  <c r="AD76" i="4"/>
  <c r="AE77" i="4"/>
  <c r="Y76" i="4"/>
  <c r="X75" i="4"/>
  <c r="S76" i="4"/>
  <c r="R75" i="4"/>
  <c r="AD77" i="3"/>
  <c r="AE78" i="3"/>
  <c r="Y76" i="3"/>
  <c r="X75" i="3"/>
  <c r="S75" i="3"/>
  <c r="R74" i="3"/>
  <c r="R75" i="2"/>
  <c r="S76" i="2"/>
  <c r="AD78" i="2"/>
  <c r="AE79" i="2"/>
  <c r="X76" i="2" l="1"/>
  <c r="Y77" i="2"/>
  <c r="R76" i="4"/>
  <c r="S77" i="4"/>
  <c r="X76" i="4"/>
  <c r="Y77" i="4"/>
  <c r="AE78" i="4"/>
  <c r="AD77" i="4"/>
  <c r="S76" i="3"/>
  <c r="R75" i="3"/>
  <c r="Y77" i="3"/>
  <c r="X76" i="3"/>
  <c r="AE79" i="3"/>
  <c r="AD78" i="3"/>
  <c r="AE80" i="2"/>
  <c r="AD79" i="2"/>
  <c r="R76" i="2"/>
  <c r="S77" i="2"/>
  <c r="X77" i="2" l="1"/>
  <c r="Y78" i="2"/>
  <c r="X77" i="4"/>
  <c r="Y78" i="4"/>
  <c r="AE79" i="4"/>
  <c r="AD78" i="4"/>
  <c r="R77" i="4"/>
  <c r="S78" i="4"/>
  <c r="AD79" i="3"/>
  <c r="AE80" i="3"/>
  <c r="X77" i="3"/>
  <c r="Y78" i="3"/>
  <c r="R76" i="3"/>
  <c r="S77" i="3"/>
  <c r="R77" i="2"/>
  <c r="S78" i="2"/>
  <c r="AD80" i="2"/>
  <c r="AE81" i="2"/>
  <c r="Y79" i="2" l="1"/>
  <c r="X78" i="2"/>
  <c r="S79" i="4"/>
  <c r="R78" i="4"/>
  <c r="AD79" i="4"/>
  <c r="AE80" i="4"/>
  <c r="X78" i="4"/>
  <c r="Y79" i="4"/>
  <c r="S78" i="3"/>
  <c r="R77" i="3"/>
  <c r="X78" i="3"/>
  <c r="Y79" i="3"/>
  <c r="AE81" i="3"/>
  <c r="AD80" i="3"/>
  <c r="S79" i="2"/>
  <c r="R78" i="2"/>
  <c r="AE82" i="2"/>
  <c r="AD81" i="2"/>
  <c r="X79" i="2" l="1"/>
  <c r="Y80" i="2"/>
  <c r="Y80" i="4"/>
  <c r="X79" i="4"/>
  <c r="AD80" i="4"/>
  <c r="AE81" i="4"/>
  <c r="R79" i="4"/>
  <c r="S80" i="4"/>
  <c r="X79" i="3"/>
  <c r="Y80" i="3"/>
  <c r="AD81" i="3"/>
  <c r="AE82" i="3"/>
  <c r="S79" i="3"/>
  <c r="R78" i="3"/>
  <c r="AD82" i="2"/>
  <c r="AE83" i="2"/>
  <c r="R79" i="2"/>
  <c r="S80" i="2"/>
  <c r="X80" i="2" l="1"/>
  <c r="Y81" i="2"/>
  <c r="S81" i="4"/>
  <c r="R80" i="4"/>
  <c r="AD81" i="4"/>
  <c r="AE82" i="4"/>
  <c r="X80" i="4"/>
  <c r="Y81" i="4"/>
  <c r="AE83" i="3"/>
  <c r="AD82" i="3"/>
  <c r="S80" i="3"/>
  <c r="R79" i="3"/>
  <c r="X80" i="3"/>
  <c r="Y81" i="3"/>
  <c r="S81" i="2"/>
  <c r="R80" i="2"/>
  <c r="AE84" i="2"/>
  <c r="AD83" i="2"/>
  <c r="X81" i="2" l="1"/>
  <c r="Y82" i="2"/>
  <c r="AD82" i="4"/>
  <c r="AE83" i="4"/>
  <c r="X81" i="4"/>
  <c r="Y82" i="4"/>
  <c r="S82" i="4"/>
  <c r="R81" i="4"/>
  <c r="X81" i="3"/>
  <c r="Y82" i="3"/>
  <c r="R80" i="3"/>
  <c r="S81" i="3"/>
  <c r="AD83" i="3"/>
  <c r="AE84" i="3"/>
  <c r="AD84" i="2"/>
  <c r="AE85" i="2"/>
  <c r="R81" i="2"/>
  <c r="S82" i="2"/>
  <c r="X82" i="2" l="1"/>
  <c r="Y83" i="2"/>
  <c r="X82" i="4"/>
  <c r="Y83" i="4"/>
  <c r="R82" i="4"/>
  <c r="S83" i="4"/>
  <c r="AD83" i="4"/>
  <c r="AE84" i="4"/>
  <c r="X82" i="3"/>
  <c r="Y83" i="3"/>
  <c r="AE85" i="3"/>
  <c r="AD84" i="3"/>
  <c r="S82" i="3"/>
  <c r="R81" i="3"/>
  <c r="AD85" i="2"/>
  <c r="AE86" i="2"/>
  <c r="R82" i="2"/>
  <c r="S83" i="2"/>
  <c r="X83" i="2" l="1"/>
  <c r="Y84" i="2"/>
  <c r="S84" i="4"/>
  <c r="R83" i="4"/>
  <c r="AE85" i="4"/>
  <c r="AD84" i="4"/>
  <c r="X83" i="4"/>
  <c r="Y84" i="4"/>
  <c r="R82" i="3"/>
  <c r="S83" i="3"/>
  <c r="AD85" i="3"/>
  <c r="AE86" i="3"/>
  <c r="X83" i="3"/>
  <c r="Y84" i="3"/>
  <c r="R83" i="2"/>
  <c r="S84" i="2"/>
  <c r="AD86" i="2"/>
  <c r="AE87" i="2"/>
  <c r="X84" i="2" l="1"/>
  <c r="Y85" i="2"/>
  <c r="X84" i="4"/>
  <c r="Y85" i="4"/>
  <c r="AD85" i="4"/>
  <c r="AE86" i="4"/>
  <c r="R84" i="4"/>
  <c r="S85" i="4"/>
  <c r="AE87" i="3"/>
  <c r="AD86" i="3"/>
  <c r="X84" i="3"/>
  <c r="Y85" i="3"/>
  <c r="S84" i="3"/>
  <c r="R83" i="3"/>
  <c r="AD87" i="2"/>
  <c r="AE88" i="2"/>
  <c r="R84" i="2"/>
  <c r="S85" i="2"/>
  <c r="X85" i="2" l="1"/>
  <c r="Y86" i="2"/>
  <c r="AD86" i="4"/>
  <c r="AE87" i="4"/>
  <c r="S86" i="4"/>
  <c r="R85" i="4"/>
  <c r="X85" i="4"/>
  <c r="Y86" i="4"/>
  <c r="X85" i="3"/>
  <c r="Y86" i="3"/>
  <c r="R84" i="3"/>
  <c r="S85" i="3"/>
  <c r="AD87" i="3"/>
  <c r="AE88" i="3"/>
  <c r="S86" i="2"/>
  <c r="R85" i="2"/>
  <c r="AD88" i="2"/>
  <c r="AE89" i="2"/>
  <c r="X86" i="2" l="1"/>
  <c r="B19" i="2" s="1"/>
  <c r="B26" i="2" s="1"/>
  <c r="Y87" i="2"/>
  <c r="X86" i="4"/>
  <c r="B19" i="4" s="1"/>
  <c r="B26" i="4" s="1"/>
  <c r="Y87" i="4"/>
  <c r="S87" i="4"/>
  <c r="R86" i="4"/>
  <c r="AE88" i="4"/>
  <c r="AD87" i="4"/>
  <c r="S86" i="3"/>
  <c r="R85" i="3"/>
  <c r="AE89" i="3"/>
  <c r="AD88" i="3"/>
  <c r="X86" i="3"/>
  <c r="B19" i="3" s="1"/>
  <c r="B26" i="3" s="1"/>
  <c r="Y87" i="3"/>
  <c r="AD89" i="2"/>
  <c r="AE90" i="2"/>
  <c r="S87" i="2"/>
  <c r="R86" i="2"/>
  <c r="Y88" i="2" l="1"/>
  <c r="X87" i="2"/>
  <c r="B157" i="2"/>
  <c r="C24" i="2"/>
  <c r="C26" i="2" s="1"/>
  <c r="B157" i="3"/>
  <c r="C24" i="3"/>
  <c r="C26" i="3" s="1"/>
  <c r="C24" i="4"/>
  <c r="C26" i="4" s="1"/>
  <c r="B157" i="4"/>
  <c r="AE89" i="4"/>
  <c r="AD88" i="4"/>
  <c r="R87" i="4"/>
  <c r="S88" i="4"/>
  <c r="X87" i="4"/>
  <c r="Y88" i="4"/>
  <c r="X87" i="3"/>
  <c r="Y88" i="3"/>
  <c r="AE90" i="3"/>
  <c r="AD89" i="3"/>
  <c r="S87" i="3"/>
  <c r="R86" i="3"/>
  <c r="S88" i="2"/>
  <c r="R87" i="2"/>
  <c r="AE91" i="2"/>
  <c r="AD90" i="2"/>
  <c r="B159" i="2" l="1"/>
  <c r="C159" i="2" s="1"/>
  <c r="H164" i="2" s="1"/>
  <c r="H165" i="2" s="1"/>
  <c r="H166" i="2" s="1"/>
  <c r="H167" i="2" s="1"/>
  <c r="C157" i="2"/>
  <c r="Y89" i="2"/>
  <c r="X88" i="2"/>
  <c r="C157" i="3"/>
  <c r="B159" i="3"/>
  <c r="C159" i="3" s="1"/>
  <c r="H164" i="3" s="1"/>
  <c r="H165" i="3" s="1"/>
  <c r="H166" i="3" s="1"/>
  <c r="H167" i="3" s="1"/>
  <c r="C157" i="4"/>
  <c r="B159" i="4"/>
  <c r="C159" i="4" s="1"/>
  <c r="H164" i="4" s="1"/>
  <c r="H165" i="4" s="1"/>
  <c r="H166" i="4" s="1"/>
  <c r="H167" i="4" s="1"/>
  <c r="R88" i="4"/>
  <c r="S89" i="4"/>
  <c r="X88" i="4"/>
  <c r="Y89" i="4"/>
  <c r="AD89" i="4"/>
  <c r="AE90" i="4"/>
  <c r="S88" i="3"/>
  <c r="R87" i="3"/>
  <c r="AD90" i="3"/>
  <c r="AE91" i="3"/>
  <c r="Y89" i="3"/>
  <c r="X88" i="3"/>
  <c r="AD91" i="2"/>
  <c r="AE92" i="2"/>
  <c r="R88" i="2"/>
  <c r="S89" i="2"/>
  <c r="Y90" i="2" l="1"/>
  <c r="X89" i="2"/>
  <c r="D157" i="2"/>
  <c r="H157" i="2"/>
  <c r="H159" i="2" s="1"/>
  <c r="H161" i="2" s="1"/>
  <c r="H157" i="3"/>
  <c r="H159" i="3" s="1"/>
  <c r="H161" i="3" s="1"/>
  <c r="D157" i="3"/>
  <c r="H157" i="4"/>
  <c r="H159" i="4" s="1"/>
  <c r="H161" i="4" s="1"/>
  <c r="D157" i="4"/>
  <c r="AD90" i="4"/>
  <c r="AE91" i="4"/>
  <c r="X89" i="4"/>
  <c r="Y90" i="4"/>
  <c r="R89" i="4"/>
  <c r="S90" i="4"/>
  <c r="X89" i="3"/>
  <c r="Y90" i="3"/>
  <c r="AD91" i="3"/>
  <c r="AE92" i="3"/>
  <c r="R88" i="3"/>
  <c r="S89" i="3"/>
  <c r="AE93" i="2"/>
  <c r="AD92" i="2"/>
  <c r="R89" i="2"/>
  <c r="S90" i="2"/>
  <c r="E157" i="2" l="1"/>
  <c r="H168" i="2"/>
  <c r="I193" i="2"/>
  <c r="D159" i="2"/>
  <c r="G241" i="2" s="1"/>
  <c r="D167" i="2"/>
  <c r="D168" i="2" s="1"/>
  <c r="D178" i="2" s="1"/>
  <c r="Y91" i="2"/>
  <c r="X90" i="2"/>
  <c r="D159" i="3"/>
  <c r="G241" i="3" s="1"/>
  <c r="H168" i="3"/>
  <c r="D167" i="3"/>
  <c r="D168" i="3" s="1"/>
  <c r="D178" i="3" s="1"/>
  <c r="I193" i="3"/>
  <c r="E157" i="3"/>
  <c r="I193" i="4"/>
  <c r="D167" i="4"/>
  <c r="D168" i="4" s="1"/>
  <c r="D178" i="4" s="1"/>
  <c r="E157" i="4"/>
  <c r="D159" i="4"/>
  <c r="G241" i="4" s="1"/>
  <c r="H168" i="4"/>
  <c r="Y91" i="4"/>
  <c r="X90" i="4"/>
  <c r="R90" i="4"/>
  <c r="S91" i="4"/>
  <c r="AE92" i="4"/>
  <c r="AD91" i="4"/>
  <c r="R89" i="3"/>
  <c r="S90" i="3"/>
  <c r="AE93" i="3"/>
  <c r="AD92" i="3"/>
  <c r="Y91" i="3"/>
  <c r="X90" i="3"/>
  <c r="R90" i="2"/>
  <c r="S91" i="2"/>
  <c r="AE94" i="2"/>
  <c r="AD93" i="2"/>
  <c r="T4" i="5" l="1"/>
  <c r="G242" i="2"/>
  <c r="U4" i="5"/>
  <c r="G242" i="3"/>
  <c r="V4" i="5"/>
  <c r="G242" i="4"/>
  <c r="V3" i="5"/>
  <c r="V7" i="5"/>
  <c r="V37" i="5"/>
  <c r="V38" i="5" s="1"/>
  <c r="V5" i="5"/>
  <c r="V6" i="5"/>
  <c r="V21" i="5"/>
  <c r="V18" i="5"/>
  <c r="V20" i="5" s="1"/>
  <c r="V19" i="5" s="1"/>
  <c r="U3" i="5"/>
  <c r="U37" i="5"/>
  <c r="U38" i="5" s="1"/>
  <c r="U6" i="5"/>
  <c r="U5" i="5"/>
  <c r="U7" i="5"/>
  <c r="U21" i="5"/>
  <c r="U18" i="5"/>
  <c r="U20" i="5" s="1"/>
  <c r="U19" i="5" s="1"/>
  <c r="T37" i="5"/>
  <c r="T38" i="5" s="1"/>
  <c r="T3" i="5"/>
  <c r="T7" i="5"/>
  <c r="T6" i="5"/>
  <c r="T5" i="5"/>
  <c r="T21" i="5"/>
  <c r="T18" i="5"/>
  <c r="T20" i="5" s="1"/>
  <c r="T19" i="5" s="1"/>
  <c r="G243" i="3"/>
  <c r="G243" i="2"/>
  <c r="G243" i="4"/>
  <c r="X91" i="2"/>
  <c r="Y92" i="2"/>
  <c r="C160" i="2"/>
  <c r="H163" i="2"/>
  <c r="H160" i="2"/>
  <c r="D160" i="2"/>
  <c r="H162" i="2" s="1"/>
  <c r="I197" i="2"/>
  <c r="H193" i="2"/>
  <c r="H217" i="2" s="1"/>
  <c r="I217" i="2" s="1"/>
  <c r="E178" i="2"/>
  <c r="D180" i="2"/>
  <c r="I197" i="3"/>
  <c r="H193" i="3"/>
  <c r="H217" i="3" s="1"/>
  <c r="I217" i="3" s="1"/>
  <c r="E178" i="3"/>
  <c r="D180" i="3"/>
  <c r="D160" i="3"/>
  <c r="H162" i="3" s="1"/>
  <c r="H160" i="3"/>
  <c r="H163" i="3"/>
  <c r="C160" i="3"/>
  <c r="D180" i="4"/>
  <c r="E178" i="4"/>
  <c r="H163" i="4"/>
  <c r="H160" i="4"/>
  <c r="C160" i="4"/>
  <c r="D160" i="4"/>
  <c r="H162" i="4" s="1"/>
  <c r="I197" i="4"/>
  <c r="H193" i="4"/>
  <c r="H217" i="4" s="1"/>
  <c r="I217" i="4" s="1"/>
  <c r="R91" i="4"/>
  <c r="S92" i="4"/>
  <c r="AD92" i="4"/>
  <c r="AE93" i="4"/>
  <c r="X91" i="4"/>
  <c r="Y92" i="4"/>
  <c r="X91" i="3"/>
  <c r="Y92" i="3"/>
  <c r="AE94" i="3"/>
  <c r="AD93" i="3"/>
  <c r="R90" i="3"/>
  <c r="S91" i="3"/>
  <c r="AE95" i="2"/>
  <c r="AD94" i="2"/>
  <c r="S92" i="2"/>
  <c r="R91" i="2"/>
  <c r="D5" i="5" l="1"/>
  <c r="D4" i="5"/>
  <c r="H197" i="2"/>
  <c r="I216" i="2"/>
  <c r="H216" i="2" s="1"/>
  <c r="D3" i="5"/>
  <c r="E180" i="2"/>
  <c r="Y93" i="2"/>
  <c r="X92" i="2"/>
  <c r="E180" i="3"/>
  <c r="H197" i="3"/>
  <c r="I216" i="3"/>
  <c r="H216" i="3" s="1"/>
  <c r="I216" i="4"/>
  <c r="H216" i="4" s="1"/>
  <c r="H197" i="4"/>
  <c r="E180" i="4"/>
  <c r="AE94" i="4"/>
  <c r="AD93" i="4"/>
  <c r="X92" i="4"/>
  <c r="Y93" i="4"/>
  <c r="R92" i="4"/>
  <c r="S93" i="4"/>
  <c r="R91" i="3"/>
  <c r="S92" i="3"/>
  <c r="AD94" i="3"/>
  <c r="AE95" i="3"/>
  <c r="Y93" i="3"/>
  <c r="X92" i="3"/>
  <c r="R92" i="2"/>
  <c r="S93" i="2"/>
  <c r="AD95" i="2"/>
  <c r="AE96" i="2"/>
  <c r="E5" i="5" l="1"/>
  <c r="E4" i="5"/>
  <c r="E3" i="5"/>
  <c r="Y94" i="2"/>
  <c r="X93" i="2"/>
  <c r="R93" i="4"/>
  <c r="S94" i="4"/>
  <c r="Y94" i="4"/>
  <c r="X93" i="4"/>
  <c r="AE95" i="4"/>
  <c r="AD94" i="4"/>
  <c r="X93" i="3"/>
  <c r="Y94" i="3"/>
  <c r="R92" i="3"/>
  <c r="S93" i="3"/>
  <c r="AD95" i="3"/>
  <c r="AE96" i="3"/>
  <c r="AE97" i="2"/>
  <c r="AD96" i="2"/>
  <c r="R93" i="2"/>
  <c r="S94" i="2"/>
  <c r="Y95" i="2" l="1"/>
  <c r="X94" i="2"/>
  <c r="AE96" i="4"/>
  <c r="AD95" i="4"/>
  <c r="X94" i="4"/>
  <c r="Y95" i="4"/>
  <c r="S95" i="4"/>
  <c r="R94" i="4"/>
  <c r="AD96" i="3"/>
  <c r="AE97" i="3"/>
  <c r="R93" i="3"/>
  <c r="S94" i="3"/>
  <c r="Y95" i="3"/>
  <c r="X94" i="3"/>
  <c r="R94" i="2"/>
  <c r="S95" i="2"/>
  <c r="AE98" i="2"/>
  <c r="AD97" i="2"/>
  <c r="Y96" i="2" l="1"/>
  <c r="X95" i="2"/>
  <c r="X95" i="4"/>
  <c r="Y96" i="4"/>
  <c r="R95" i="4"/>
  <c r="S96" i="4"/>
  <c r="AE97" i="4"/>
  <c r="AD96" i="4"/>
  <c r="Y96" i="3"/>
  <c r="X95" i="3"/>
  <c r="R94" i="3"/>
  <c r="S95" i="3"/>
  <c r="AD97" i="3"/>
  <c r="AE98" i="3"/>
  <c r="AE99" i="2"/>
  <c r="AD98" i="2"/>
  <c r="R95" i="2"/>
  <c r="S96" i="2"/>
  <c r="Y97" i="2" l="1"/>
  <c r="X96" i="2"/>
  <c r="S97" i="4"/>
  <c r="R96" i="4"/>
  <c r="AE98" i="4"/>
  <c r="AD97" i="4"/>
  <c r="X96" i="4"/>
  <c r="Y97" i="4"/>
  <c r="S96" i="3"/>
  <c r="R95" i="3"/>
  <c r="AD98" i="3"/>
  <c r="AE99" i="3"/>
  <c r="Y97" i="3"/>
  <c r="X96" i="3"/>
  <c r="AD99" i="2"/>
  <c r="AE100" i="2"/>
  <c r="R96" i="2"/>
  <c r="S97" i="2"/>
  <c r="Y98" i="2" l="1"/>
  <c r="X97" i="2"/>
  <c r="X97" i="4"/>
  <c r="Y98" i="4"/>
  <c r="AE99" i="4"/>
  <c r="AD98" i="4"/>
  <c r="S98" i="4"/>
  <c r="R97" i="4"/>
  <c r="Y98" i="3"/>
  <c r="X97" i="3"/>
  <c r="AD99" i="3"/>
  <c r="AE100" i="3"/>
  <c r="S97" i="3"/>
  <c r="R96" i="3"/>
  <c r="R97" i="2"/>
  <c r="S98" i="2"/>
  <c r="AE101" i="2"/>
  <c r="AD100" i="2"/>
  <c r="Y99" i="2" l="1"/>
  <c r="X98" i="2"/>
  <c r="S99" i="4"/>
  <c r="R98" i="4"/>
  <c r="AD99" i="4"/>
  <c r="AE100" i="4"/>
  <c r="Y99" i="4"/>
  <c r="X98" i="4"/>
  <c r="AD100" i="3"/>
  <c r="AE101" i="3"/>
  <c r="R97" i="3"/>
  <c r="S98" i="3"/>
  <c r="Y99" i="3"/>
  <c r="X98" i="3"/>
  <c r="AD101" i="2"/>
  <c r="AE102" i="2"/>
  <c r="R98" i="2"/>
  <c r="S99" i="2"/>
  <c r="Y100" i="2" l="1"/>
  <c r="X99" i="2"/>
  <c r="X99" i="4"/>
  <c r="Y100" i="4"/>
  <c r="AD100" i="4"/>
  <c r="AE101" i="4"/>
  <c r="R99" i="4"/>
  <c r="S100" i="4"/>
  <c r="R98" i="3"/>
  <c r="S99" i="3"/>
  <c r="Y100" i="3"/>
  <c r="X99" i="3"/>
  <c r="AD101" i="3"/>
  <c r="AE102" i="3"/>
  <c r="AD102" i="2"/>
  <c r="AE103" i="2"/>
  <c r="R99" i="2"/>
  <c r="S100" i="2"/>
  <c r="Y101" i="2" l="1"/>
  <c r="X100" i="2"/>
  <c r="AE102" i="4"/>
  <c r="AD101" i="4"/>
  <c r="R100" i="4"/>
  <c r="S101" i="4"/>
  <c r="Y101" i="4"/>
  <c r="X100" i="4"/>
  <c r="AD102" i="3"/>
  <c r="AE103" i="3"/>
  <c r="Y101" i="3"/>
  <c r="X100" i="3"/>
  <c r="S100" i="3"/>
  <c r="R99" i="3"/>
  <c r="R100" i="2"/>
  <c r="S101" i="2"/>
  <c r="AD103" i="2"/>
  <c r="AE104" i="2"/>
  <c r="X101" i="2" l="1"/>
  <c r="Y102" i="2"/>
  <c r="Y102" i="4"/>
  <c r="X101" i="4"/>
  <c r="R101" i="4"/>
  <c r="S102" i="4"/>
  <c r="AE103" i="4"/>
  <c r="AD102" i="4"/>
  <c r="S101" i="3"/>
  <c r="R100" i="3"/>
  <c r="AD103" i="3"/>
  <c r="AE104" i="3"/>
  <c r="Y102" i="3"/>
  <c r="X101" i="3"/>
  <c r="AE105" i="2"/>
  <c r="AD104" i="2"/>
  <c r="R101" i="2"/>
  <c r="S102" i="2"/>
  <c r="X102" i="2" l="1"/>
  <c r="Y103" i="2"/>
  <c r="R102" i="4"/>
  <c r="S103" i="4"/>
  <c r="AE104" i="4"/>
  <c r="AD103" i="4"/>
  <c r="Y103" i="4"/>
  <c r="X102" i="4"/>
  <c r="Y103" i="3"/>
  <c r="X102" i="3"/>
  <c r="AE105" i="3"/>
  <c r="AD104" i="3"/>
  <c r="S102" i="3"/>
  <c r="R101" i="3"/>
  <c r="R102" i="2"/>
  <c r="S103" i="2"/>
  <c r="AE106" i="2"/>
  <c r="AD105" i="2"/>
  <c r="X103" i="2" l="1"/>
  <c r="Y104" i="2"/>
  <c r="X103" i="4"/>
  <c r="Y104" i="4"/>
  <c r="AD104" i="4"/>
  <c r="AE105" i="4"/>
  <c r="S104" i="4"/>
  <c r="R103" i="4"/>
  <c r="R102" i="3"/>
  <c r="S103" i="3"/>
  <c r="AD105" i="3"/>
  <c r="AE106" i="3"/>
  <c r="Y104" i="3"/>
  <c r="X103" i="3"/>
  <c r="AD106" i="2"/>
  <c r="AE107" i="2"/>
  <c r="R103" i="2"/>
  <c r="S104" i="2"/>
  <c r="X104" i="2" l="1"/>
  <c r="Y105" i="2"/>
  <c r="AE106" i="4"/>
  <c r="AD105" i="4"/>
  <c r="R104" i="4"/>
  <c r="S105" i="4"/>
  <c r="X104" i="4"/>
  <c r="Y105" i="4"/>
  <c r="X104" i="3"/>
  <c r="Y105" i="3"/>
  <c r="AD106" i="3"/>
  <c r="AE107" i="3"/>
  <c r="S104" i="3"/>
  <c r="R103" i="3"/>
  <c r="R104" i="2"/>
  <c r="S105" i="2"/>
  <c r="AD107" i="2"/>
  <c r="AE108" i="2"/>
  <c r="X105" i="2" l="1"/>
  <c r="Y106" i="2"/>
  <c r="S106" i="4"/>
  <c r="R105" i="4"/>
  <c r="Y106" i="4"/>
  <c r="X105" i="4"/>
  <c r="AE107" i="4"/>
  <c r="AD106" i="4"/>
  <c r="AD107" i="3"/>
  <c r="AE108" i="3"/>
  <c r="S105" i="3"/>
  <c r="R104" i="3"/>
  <c r="Y106" i="3"/>
  <c r="X105" i="3"/>
  <c r="AE109" i="2"/>
  <c r="AD108" i="2"/>
  <c r="R105" i="2"/>
  <c r="S106" i="2"/>
  <c r="X106" i="2" l="1"/>
  <c r="Y107" i="2"/>
  <c r="AE108" i="4"/>
  <c r="AD107" i="4"/>
  <c r="Y107" i="4"/>
  <c r="X106" i="4"/>
  <c r="R106" i="4"/>
  <c r="S107" i="4"/>
  <c r="Y107" i="3"/>
  <c r="X106" i="3"/>
  <c r="R105" i="3"/>
  <c r="S106" i="3"/>
  <c r="AD108" i="3"/>
  <c r="AE109" i="3"/>
  <c r="R106" i="2"/>
  <c r="S107" i="2"/>
  <c r="AD109" i="2"/>
  <c r="AE110" i="2"/>
  <c r="Y108" i="2" l="1"/>
  <c r="X107" i="2"/>
  <c r="R107" i="4"/>
  <c r="S108" i="4"/>
  <c r="X107" i="4"/>
  <c r="Y108" i="4"/>
  <c r="AE109" i="4"/>
  <c r="AD108" i="4"/>
  <c r="AD109" i="3"/>
  <c r="AE110" i="3"/>
  <c r="R106" i="3"/>
  <c r="S107" i="3"/>
  <c r="Y108" i="3"/>
  <c r="X107" i="3"/>
  <c r="AD110" i="2"/>
  <c r="AE111" i="2"/>
  <c r="R107" i="2"/>
  <c r="S108" i="2"/>
  <c r="X108" i="2" l="1"/>
  <c r="Y109" i="2"/>
  <c r="Y109" i="4"/>
  <c r="X108" i="4"/>
  <c r="AE110" i="4"/>
  <c r="AD109" i="4"/>
  <c r="R108" i="4"/>
  <c r="S109" i="4"/>
  <c r="S108" i="3"/>
  <c r="R107" i="3"/>
  <c r="Y109" i="3"/>
  <c r="X108" i="3"/>
  <c r="AD110" i="3"/>
  <c r="AE111" i="3"/>
  <c r="R108" i="2"/>
  <c r="S109" i="2"/>
  <c r="AD111" i="2"/>
  <c r="AE112" i="2"/>
  <c r="X109" i="2" l="1"/>
  <c r="Y110" i="2"/>
  <c r="R109" i="4"/>
  <c r="S110" i="4"/>
  <c r="AE111" i="4"/>
  <c r="AD110" i="4"/>
  <c r="X109" i="4"/>
  <c r="Y110" i="4"/>
  <c r="AD111" i="3"/>
  <c r="AE112" i="3"/>
  <c r="S109" i="3"/>
  <c r="R108" i="3"/>
  <c r="Y110" i="3"/>
  <c r="X109" i="3"/>
  <c r="AE113" i="2"/>
  <c r="AD112" i="2"/>
  <c r="R109" i="2"/>
  <c r="S110" i="2"/>
  <c r="X110" i="2" l="1"/>
  <c r="Y111" i="2"/>
  <c r="X110" i="4"/>
  <c r="Y111" i="4"/>
  <c r="AE112" i="4"/>
  <c r="AD111" i="4"/>
  <c r="S111" i="4"/>
  <c r="R110" i="4"/>
  <c r="Y111" i="3"/>
  <c r="X110" i="3"/>
  <c r="R109" i="3"/>
  <c r="S110" i="3"/>
  <c r="AE113" i="3"/>
  <c r="AD112" i="3"/>
  <c r="S111" i="2"/>
  <c r="R110" i="2"/>
  <c r="AE114" i="2"/>
  <c r="AD113" i="2"/>
  <c r="Y112" i="2" l="1"/>
  <c r="X111" i="2"/>
  <c r="R111" i="4"/>
  <c r="S112" i="4"/>
  <c r="AD112" i="4"/>
  <c r="AE113" i="4"/>
  <c r="X111" i="4"/>
  <c r="Y112" i="4"/>
  <c r="S111" i="3"/>
  <c r="R110" i="3"/>
  <c r="AD113" i="3"/>
  <c r="AE114" i="3"/>
  <c r="Y112" i="3"/>
  <c r="X111" i="3"/>
  <c r="AE115" i="2"/>
  <c r="AD114" i="2"/>
  <c r="S112" i="2"/>
  <c r="R111" i="2"/>
  <c r="Y113" i="2" l="1"/>
  <c r="X112" i="2"/>
  <c r="X112" i="4"/>
  <c r="Y113" i="4"/>
  <c r="AE114" i="4"/>
  <c r="AD113" i="4"/>
  <c r="S113" i="4"/>
  <c r="R112" i="4"/>
  <c r="AD114" i="3"/>
  <c r="AE115" i="3"/>
  <c r="X112" i="3"/>
  <c r="Y113" i="3"/>
  <c r="R111" i="3"/>
  <c r="S112" i="3"/>
  <c r="R112" i="2"/>
  <c r="S113" i="2"/>
  <c r="AD115" i="2"/>
  <c r="AE116" i="2"/>
  <c r="Y114" i="2" l="1"/>
  <c r="X113" i="2"/>
  <c r="S114" i="4"/>
  <c r="R113" i="4"/>
  <c r="AD114" i="4"/>
  <c r="AE115" i="4"/>
  <c r="Y114" i="4"/>
  <c r="X113" i="4"/>
  <c r="Y114" i="3"/>
  <c r="X113" i="3"/>
  <c r="S113" i="3"/>
  <c r="R112" i="3"/>
  <c r="AD115" i="3"/>
  <c r="AE116" i="3"/>
  <c r="AE117" i="2"/>
  <c r="AD116" i="2"/>
  <c r="R113" i="2"/>
  <c r="S114" i="2"/>
  <c r="X114" i="2" l="1"/>
  <c r="Y115" i="2"/>
  <c r="AE116" i="4"/>
  <c r="AD115" i="4"/>
  <c r="X114" i="4"/>
  <c r="Y115" i="4"/>
  <c r="S115" i="4"/>
  <c r="R114" i="4"/>
  <c r="AD116" i="3"/>
  <c r="AE117" i="3"/>
  <c r="R113" i="3"/>
  <c r="S114" i="3"/>
  <c r="X114" i="3"/>
  <c r="Y115" i="3"/>
  <c r="R114" i="2"/>
  <c r="S115" i="2"/>
  <c r="AD117" i="2"/>
  <c r="AE118" i="2"/>
  <c r="X115" i="2" l="1"/>
  <c r="Y116" i="2"/>
  <c r="S116" i="4"/>
  <c r="R115" i="4"/>
  <c r="X115" i="4"/>
  <c r="Y116" i="4"/>
  <c r="AE117" i="4"/>
  <c r="AD116" i="4"/>
  <c r="Y116" i="3"/>
  <c r="X115" i="3"/>
  <c r="S115" i="3"/>
  <c r="R114" i="3"/>
  <c r="AD117" i="3"/>
  <c r="AE118" i="3"/>
  <c r="AD118" i="2"/>
  <c r="AE119" i="2"/>
  <c r="R115" i="2"/>
  <c r="S116" i="2"/>
  <c r="X116" i="2" l="1"/>
  <c r="Y117" i="2"/>
  <c r="AD117" i="4"/>
  <c r="AE118" i="4"/>
  <c r="Y117" i="4"/>
  <c r="X116" i="4"/>
  <c r="S117" i="4"/>
  <c r="R116" i="4"/>
  <c r="AD118" i="3"/>
  <c r="AE119" i="3"/>
  <c r="S116" i="3"/>
  <c r="R115" i="3"/>
  <c r="Y117" i="3"/>
  <c r="X116" i="3"/>
  <c r="AD119" i="2"/>
  <c r="AE120" i="2"/>
  <c r="R116" i="2"/>
  <c r="S117" i="2"/>
  <c r="X117" i="2" l="1"/>
  <c r="Y118" i="2"/>
  <c r="S118" i="4"/>
  <c r="R117" i="4"/>
  <c r="X117" i="4"/>
  <c r="Y118" i="4"/>
  <c r="AE119" i="4"/>
  <c r="AD118" i="4"/>
  <c r="S117" i="3"/>
  <c r="R116" i="3"/>
  <c r="Y118" i="3"/>
  <c r="X117" i="3"/>
  <c r="AD119" i="3"/>
  <c r="AE120" i="3"/>
  <c r="R117" i="2"/>
  <c r="S118" i="2"/>
  <c r="AE121" i="2"/>
  <c r="AD120" i="2"/>
  <c r="X118" i="2" l="1"/>
  <c r="Y119" i="2"/>
  <c r="Y119" i="4"/>
  <c r="X118" i="4"/>
  <c r="AE120" i="4"/>
  <c r="AD119" i="4"/>
  <c r="S119" i="4"/>
  <c r="R118" i="4"/>
  <c r="AD120" i="3"/>
  <c r="AE121" i="3"/>
  <c r="Y119" i="3"/>
  <c r="X118" i="3"/>
  <c r="R117" i="3"/>
  <c r="S118" i="3"/>
  <c r="R118" i="2"/>
  <c r="S119" i="2"/>
  <c r="AD121" i="2"/>
  <c r="AE122" i="2"/>
  <c r="Y120" i="2" l="1"/>
  <c r="X119" i="2"/>
  <c r="R119" i="4"/>
  <c r="B5" i="4" s="1"/>
  <c r="B9" i="4" s="1"/>
  <c r="B10" i="4" s="1"/>
  <c r="S120" i="4"/>
  <c r="AE121" i="4"/>
  <c r="AD120" i="4"/>
  <c r="X119" i="4"/>
  <c r="Y120" i="4"/>
  <c r="S119" i="3"/>
  <c r="R118" i="3"/>
  <c r="Y120" i="3"/>
  <c r="X119" i="3"/>
  <c r="AE122" i="3"/>
  <c r="AD121" i="3"/>
  <c r="AD122" i="2"/>
  <c r="AE123" i="2"/>
  <c r="R119" i="2"/>
  <c r="B5" i="2" s="1"/>
  <c r="B9" i="2" s="1"/>
  <c r="B10" i="2" s="1"/>
  <c r="S120" i="2"/>
  <c r="X120" i="2" l="1"/>
  <c r="Y121" i="2"/>
  <c r="C8" i="2"/>
  <c r="C10" i="2" s="1"/>
  <c r="B173" i="2"/>
  <c r="C173" i="2" s="1"/>
  <c r="D183" i="2" s="1"/>
  <c r="C8" i="4"/>
  <c r="C10" i="4" s="1"/>
  <c r="B173" i="4"/>
  <c r="C173" i="4" s="1"/>
  <c r="D183" i="4" s="1"/>
  <c r="X120" i="4"/>
  <c r="Y121" i="4"/>
  <c r="AD121" i="4"/>
  <c r="AE122" i="4"/>
  <c r="S121" i="4"/>
  <c r="R120" i="4"/>
  <c r="AD122" i="3"/>
  <c r="AE123" i="3"/>
  <c r="Y121" i="3"/>
  <c r="X120" i="3"/>
  <c r="S120" i="3"/>
  <c r="R119" i="3"/>
  <c r="B5" i="3" s="1"/>
  <c r="B9" i="3" s="1"/>
  <c r="B10" i="3" s="1"/>
  <c r="AD123" i="2"/>
  <c r="AE124" i="2"/>
  <c r="R120" i="2"/>
  <c r="S121" i="2"/>
  <c r="Y122" i="2" l="1"/>
  <c r="X121" i="2"/>
  <c r="B173" i="3"/>
  <c r="C173" i="3" s="1"/>
  <c r="D183" i="3" s="1"/>
  <c r="C8" i="3"/>
  <c r="C10" i="3" s="1"/>
  <c r="I194" i="2"/>
  <c r="I196" i="2" s="1"/>
  <c r="H194" i="2"/>
  <c r="E183" i="2"/>
  <c r="H194" i="4"/>
  <c r="I194" i="4"/>
  <c r="I196" i="4" s="1"/>
  <c r="E183" i="4"/>
  <c r="AD122" i="4"/>
  <c r="AE123" i="4"/>
  <c r="R121" i="4"/>
  <c r="S122" i="4"/>
  <c r="X121" i="4"/>
  <c r="Y122" i="4"/>
  <c r="R120" i="3"/>
  <c r="S121" i="3"/>
  <c r="X121" i="3"/>
  <c r="Y122" i="3"/>
  <c r="AD123" i="3"/>
  <c r="AE124" i="3"/>
  <c r="R121" i="2"/>
  <c r="S122" i="2"/>
  <c r="AD124" i="2"/>
  <c r="AE125" i="2"/>
  <c r="X122" i="2" l="1"/>
  <c r="Y123" i="2"/>
  <c r="E187" i="2"/>
  <c r="E189" i="2"/>
  <c r="I215" i="2"/>
  <c r="H215" i="2" s="1"/>
  <c r="H196" i="2"/>
  <c r="H194" i="3"/>
  <c r="I194" i="3"/>
  <c r="I196" i="3" s="1"/>
  <c r="E183" i="3"/>
  <c r="H196" i="4"/>
  <c r="I215" i="4"/>
  <c r="H215" i="4" s="1"/>
  <c r="E187" i="4"/>
  <c r="E189" i="4"/>
  <c r="Y123" i="4"/>
  <c r="X122" i="4"/>
  <c r="S123" i="4"/>
  <c r="R122" i="4"/>
  <c r="AE124" i="4"/>
  <c r="AD123" i="4"/>
  <c r="AD124" i="3"/>
  <c r="AE125" i="3"/>
  <c r="X122" i="3"/>
  <c r="Y123" i="3"/>
  <c r="R121" i="3"/>
  <c r="S122" i="3"/>
  <c r="R122" i="2"/>
  <c r="S123" i="2"/>
  <c r="AD125" i="2"/>
  <c r="AE126" i="2"/>
  <c r="Y124" i="2" l="1"/>
  <c r="X123" i="2"/>
  <c r="H196" i="3"/>
  <c r="I215" i="3"/>
  <c r="H215" i="3" s="1"/>
  <c r="E187" i="3"/>
  <c r="E189" i="3"/>
  <c r="AD124" i="4"/>
  <c r="AE125" i="4"/>
  <c r="R123" i="4"/>
  <c r="S124" i="4"/>
  <c r="Y124" i="4"/>
  <c r="X123" i="4"/>
  <c r="S123" i="3"/>
  <c r="R122" i="3"/>
  <c r="Y124" i="3"/>
  <c r="X123" i="3"/>
  <c r="AD125" i="3"/>
  <c r="AE126" i="3"/>
  <c r="AD126" i="2"/>
  <c r="AE127" i="2"/>
  <c r="S124" i="2"/>
  <c r="R123" i="2"/>
  <c r="Y125" i="2" l="1"/>
  <c r="X124" i="2"/>
  <c r="Y125" i="4"/>
  <c r="X124" i="4"/>
  <c r="S125" i="4"/>
  <c r="R124" i="4"/>
  <c r="AE126" i="4"/>
  <c r="AD125" i="4"/>
  <c r="AD126" i="3"/>
  <c r="AE127" i="3"/>
  <c r="Y125" i="3"/>
  <c r="X124" i="3"/>
  <c r="R123" i="3"/>
  <c r="S124" i="3"/>
  <c r="R124" i="2"/>
  <c r="S125" i="2"/>
  <c r="AD127" i="2"/>
  <c r="AE128" i="2"/>
  <c r="X125" i="2" l="1"/>
  <c r="Y126" i="2"/>
  <c r="AE127" i="4"/>
  <c r="AD126" i="4"/>
  <c r="S126" i="4"/>
  <c r="R125" i="4"/>
  <c r="X125" i="4"/>
  <c r="Y126" i="4"/>
  <c r="S125" i="3"/>
  <c r="R124" i="3"/>
  <c r="Y126" i="3"/>
  <c r="X125" i="3"/>
  <c r="AD127" i="3"/>
  <c r="AE128" i="3"/>
  <c r="AD128" i="2"/>
  <c r="AE129" i="2"/>
  <c r="S126" i="2"/>
  <c r="R125" i="2"/>
  <c r="X126" i="2" l="1"/>
  <c r="Y127" i="2"/>
  <c r="R126" i="4"/>
  <c r="S127" i="4"/>
  <c r="X126" i="4"/>
  <c r="Y127" i="4"/>
  <c r="AD127" i="4"/>
  <c r="AE128" i="4"/>
  <c r="AD128" i="3"/>
  <c r="AE129" i="3"/>
  <c r="X126" i="3"/>
  <c r="Y127" i="3"/>
  <c r="R125" i="3"/>
  <c r="S126" i="3"/>
  <c r="AD129" i="2"/>
  <c r="AE130" i="2"/>
  <c r="R126" i="2"/>
  <c r="S127" i="2"/>
  <c r="X127" i="2" l="1"/>
  <c r="Y128" i="2"/>
  <c r="AE129" i="4"/>
  <c r="AD128" i="4"/>
  <c r="Y128" i="4"/>
  <c r="X127" i="4"/>
  <c r="S128" i="4"/>
  <c r="R127" i="4"/>
  <c r="S127" i="3"/>
  <c r="R126" i="3"/>
  <c r="X127" i="3"/>
  <c r="Y128" i="3"/>
  <c r="AE130" i="3"/>
  <c r="AD129" i="3"/>
  <c r="S128" i="2"/>
  <c r="R127" i="2"/>
  <c r="AD130" i="2"/>
  <c r="AE131" i="2"/>
  <c r="X128" i="2" l="1"/>
  <c r="Y129" i="2"/>
  <c r="R128" i="4"/>
  <c r="S129" i="4"/>
  <c r="Y129" i="4"/>
  <c r="X128" i="4"/>
  <c r="AE130" i="4"/>
  <c r="AD129" i="4"/>
  <c r="AD130" i="3"/>
  <c r="AE131" i="3"/>
  <c r="X128" i="3"/>
  <c r="Y129" i="3"/>
  <c r="S128" i="3"/>
  <c r="R127" i="3"/>
  <c r="AD131" i="2"/>
  <c r="AE132" i="2"/>
  <c r="S129" i="2"/>
  <c r="R128" i="2"/>
  <c r="Y130" i="2" l="1"/>
  <c r="X129" i="2"/>
  <c r="AE131" i="4"/>
  <c r="AD130" i="4"/>
  <c r="Y130" i="4"/>
  <c r="X129" i="4"/>
  <c r="R129" i="4"/>
  <c r="S130" i="4"/>
  <c r="X129" i="3"/>
  <c r="Y130" i="3"/>
  <c r="R128" i="3"/>
  <c r="S129" i="3"/>
  <c r="AE132" i="3"/>
  <c r="AD131" i="3"/>
  <c r="S130" i="2"/>
  <c r="R129" i="2"/>
  <c r="AD132" i="2"/>
  <c r="AE133" i="2"/>
  <c r="X130" i="2" l="1"/>
  <c r="Y131" i="2"/>
  <c r="S131" i="4"/>
  <c r="R130" i="4"/>
  <c r="X130" i="4"/>
  <c r="Y131" i="4"/>
  <c r="AE132" i="4"/>
  <c r="AD131" i="4"/>
  <c r="AE133" i="3"/>
  <c r="AD132" i="3"/>
  <c r="R129" i="3"/>
  <c r="S130" i="3"/>
  <c r="X130" i="3"/>
  <c r="Y131" i="3"/>
  <c r="AD133" i="2"/>
  <c r="AE134" i="2"/>
  <c r="S131" i="2"/>
  <c r="R130" i="2"/>
  <c r="Y132" i="2" l="1"/>
  <c r="X131" i="2"/>
  <c r="Y132" i="4"/>
  <c r="X131" i="4"/>
  <c r="AE133" i="4"/>
  <c r="AD132" i="4"/>
  <c r="R131" i="4"/>
  <c r="S132" i="4"/>
  <c r="R130" i="3"/>
  <c r="S131" i="3"/>
  <c r="Y132" i="3"/>
  <c r="X131" i="3"/>
  <c r="AE134" i="3"/>
  <c r="AD133" i="3"/>
  <c r="S132" i="2"/>
  <c r="R131" i="2"/>
  <c r="AD134" i="2"/>
  <c r="AE135" i="2"/>
  <c r="X132" i="2" l="1"/>
  <c r="Y133" i="2"/>
  <c r="R132" i="4"/>
  <c r="S133" i="4"/>
  <c r="AE134" i="4"/>
  <c r="AD133" i="4"/>
  <c r="Y133" i="4"/>
  <c r="X132" i="4"/>
  <c r="AD134" i="3"/>
  <c r="AE135" i="3"/>
  <c r="X132" i="3"/>
  <c r="Y133" i="3"/>
  <c r="R131" i="3"/>
  <c r="S132" i="3"/>
  <c r="AD135" i="2"/>
  <c r="AE136" i="2"/>
  <c r="S133" i="2"/>
  <c r="R132" i="2"/>
  <c r="X133" i="2" l="1"/>
  <c r="Y134" i="2"/>
  <c r="X133" i="4"/>
  <c r="Y134" i="4"/>
  <c r="AE135" i="4"/>
  <c r="AD134" i="4"/>
  <c r="S134" i="4"/>
  <c r="R133" i="4"/>
  <c r="Y134" i="3"/>
  <c r="X133" i="3"/>
  <c r="R132" i="3"/>
  <c r="S133" i="3"/>
  <c r="AE136" i="3"/>
  <c r="AD135" i="3"/>
  <c r="S134" i="2"/>
  <c r="R133" i="2"/>
  <c r="AD136" i="2"/>
  <c r="AE137" i="2"/>
  <c r="Y135" i="2" l="1"/>
  <c r="X134" i="2"/>
  <c r="R134" i="4"/>
  <c r="S135" i="4"/>
  <c r="AE136" i="4"/>
  <c r="AD135" i="4"/>
  <c r="Y135" i="4"/>
  <c r="X134" i="4"/>
  <c r="Y135" i="3"/>
  <c r="X134" i="3"/>
  <c r="R133" i="3"/>
  <c r="S134" i="3"/>
  <c r="AE137" i="3"/>
  <c r="AD136" i="3"/>
  <c r="AE138" i="2"/>
  <c r="AD137" i="2"/>
  <c r="S135" i="2"/>
  <c r="R134" i="2"/>
  <c r="Y136" i="2" l="1"/>
  <c r="X135" i="2"/>
  <c r="Y136" i="4"/>
  <c r="X135" i="4"/>
  <c r="AE137" i="4"/>
  <c r="AD136" i="4"/>
  <c r="S136" i="4"/>
  <c r="R135" i="4"/>
  <c r="R134" i="3"/>
  <c r="S135" i="3"/>
  <c r="AE138" i="3"/>
  <c r="AD137" i="3"/>
  <c r="X135" i="3"/>
  <c r="Y136" i="3"/>
  <c r="S136" i="2"/>
  <c r="R135" i="2"/>
  <c r="AD138" i="2"/>
  <c r="AE139" i="2"/>
  <c r="Y137" i="2" l="1"/>
  <c r="X136" i="2"/>
  <c r="AD137" i="4"/>
  <c r="AE138" i="4"/>
  <c r="R136" i="4"/>
  <c r="S137" i="4"/>
  <c r="Y137" i="4"/>
  <c r="X136" i="4"/>
  <c r="X136" i="3"/>
  <c r="Y137" i="3"/>
  <c r="AE139" i="3"/>
  <c r="AD138" i="3"/>
  <c r="R135" i="3"/>
  <c r="S136" i="3"/>
  <c r="AE140" i="2"/>
  <c r="AD139" i="2"/>
  <c r="S137" i="2"/>
  <c r="R136" i="2"/>
  <c r="X137" i="2" l="1"/>
  <c r="Y138" i="2"/>
  <c r="S138" i="4"/>
  <c r="R137" i="4"/>
  <c r="Y138" i="4"/>
  <c r="X137" i="4"/>
  <c r="AD138" i="4"/>
  <c r="AE139" i="4"/>
  <c r="R136" i="3"/>
  <c r="S137" i="3"/>
  <c r="AD139" i="3"/>
  <c r="AE140" i="3"/>
  <c r="X137" i="3"/>
  <c r="Y138" i="3"/>
  <c r="R137" i="2"/>
  <c r="S138" i="2"/>
  <c r="AD140" i="2"/>
  <c r="AE141" i="2"/>
  <c r="X138" i="2" l="1"/>
  <c r="Y139" i="2"/>
  <c r="AD139" i="4"/>
  <c r="AE140" i="4"/>
  <c r="Y139" i="4"/>
  <c r="X138" i="4"/>
  <c r="S139" i="4"/>
  <c r="R138" i="4"/>
  <c r="AE141" i="3"/>
  <c r="AD140" i="3"/>
  <c r="Y139" i="3"/>
  <c r="X138" i="3"/>
  <c r="R137" i="3"/>
  <c r="S138" i="3"/>
  <c r="AE142" i="2"/>
  <c r="AD141" i="2"/>
  <c r="R138" i="2"/>
  <c r="S139" i="2"/>
  <c r="X139" i="2" l="1"/>
  <c r="Y140" i="2"/>
  <c r="X139" i="4"/>
  <c r="Y140" i="4"/>
  <c r="R139" i="4"/>
  <c r="S140" i="4"/>
  <c r="AD140" i="4"/>
  <c r="AE141" i="4"/>
  <c r="X139" i="3"/>
  <c r="Y140" i="3"/>
  <c r="R138" i="3"/>
  <c r="S139" i="3"/>
  <c r="AE142" i="3"/>
  <c r="AD141" i="3"/>
  <c r="R139" i="2"/>
  <c r="S140" i="2"/>
  <c r="AD142" i="2"/>
  <c r="AE143" i="2"/>
  <c r="X140" i="2" l="1"/>
  <c r="Y141" i="2"/>
  <c r="AD141" i="4"/>
  <c r="AE142" i="4"/>
  <c r="S141" i="4"/>
  <c r="R140" i="4"/>
  <c r="Y141" i="4"/>
  <c r="X140" i="4"/>
  <c r="Y141" i="3"/>
  <c r="X140" i="3"/>
  <c r="AE143" i="3"/>
  <c r="AD142" i="3"/>
  <c r="S140" i="3"/>
  <c r="R139" i="3"/>
  <c r="AE144" i="2"/>
  <c r="AD143" i="2"/>
  <c r="S141" i="2"/>
  <c r="R140" i="2"/>
  <c r="Y142" i="2" l="1"/>
  <c r="X141" i="2"/>
  <c r="Y142" i="4"/>
  <c r="X141" i="4"/>
  <c r="S142" i="4"/>
  <c r="R141" i="4"/>
  <c r="AD142" i="4"/>
  <c r="AE143" i="4"/>
  <c r="AD143" i="3"/>
  <c r="AE144" i="3"/>
  <c r="R140" i="3"/>
  <c r="S141" i="3"/>
  <c r="X141" i="3"/>
  <c r="Y142" i="3"/>
  <c r="R141" i="2"/>
  <c r="S142" i="2"/>
  <c r="AE145" i="2"/>
  <c r="AD144" i="2"/>
  <c r="X142" i="2" l="1"/>
  <c r="Y143" i="2"/>
  <c r="AD143" i="4"/>
  <c r="AE144" i="4"/>
  <c r="S143" i="4"/>
  <c r="R142" i="4"/>
  <c r="Y143" i="4"/>
  <c r="X142" i="4"/>
  <c r="R141" i="3"/>
  <c r="S142" i="3"/>
  <c r="Y143" i="3"/>
  <c r="X142" i="3"/>
  <c r="AE145" i="3"/>
  <c r="AD144" i="3"/>
  <c r="AD145" i="2"/>
  <c r="AE146" i="2"/>
  <c r="S143" i="2"/>
  <c r="R142" i="2"/>
  <c r="Y144" i="2" l="1"/>
  <c r="X143" i="2"/>
  <c r="Y144" i="4"/>
  <c r="X143" i="4"/>
  <c r="S144" i="4"/>
  <c r="R143" i="4"/>
  <c r="AD144" i="4"/>
  <c r="AE145" i="4"/>
  <c r="AE146" i="3"/>
  <c r="AD145" i="3"/>
  <c r="Y144" i="3"/>
  <c r="X143" i="3"/>
  <c r="R142" i="3"/>
  <c r="S143" i="3"/>
  <c r="R143" i="2"/>
  <c r="S144" i="2"/>
  <c r="AE147" i="2"/>
  <c r="AD146" i="2"/>
  <c r="X144" i="2" l="1"/>
  <c r="Y145" i="2"/>
  <c r="AE146" i="4"/>
  <c r="AD145" i="4"/>
  <c r="S145" i="4"/>
  <c r="R144" i="4"/>
  <c r="X144" i="4"/>
  <c r="Y145" i="4"/>
  <c r="S144" i="3"/>
  <c r="R143" i="3"/>
  <c r="AE147" i="3"/>
  <c r="AD146" i="3"/>
  <c r="X144" i="3"/>
  <c r="Y145" i="3"/>
  <c r="AE148" i="2"/>
  <c r="AD147" i="2"/>
  <c r="S145" i="2"/>
  <c r="R144" i="2"/>
  <c r="Y146" i="2" l="1"/>
  <c r="X145" i="2"/>
  <c r="Y146" i="4"/>
  <c r="X145" i="4"/>
  <c r="R145" i="4"/>
  <c r="S146" i="4"/>
  <c r="AD146" i="4"/>
  <c r="AE147" i="4"/>
  <c r="R144" i="3"/>
  <c r="S145" i="3"/>
  <c r="X145" i="3"/>
  <c r="Y146" i="3"/>
  <c r="AE148" i="3"/>
  <c r="AD147" i="3"/>
  <c r="S146" i="2"/>
  <c r="R145" i="2"/>
  <c r="AE149" i="2"/>
  <c r="AD148" i="2"/>
  <c r="X146" i="2" l="1"/>
  <c r="Y147" i="2"/>
  <c r="S147" i="4"/>
  <c r="R146" i="4"/>
  <c r="AE148" i="4"/>
  <c r="AD147" i="4"/>
  <c r="Y147" i="4"/>
  <c r="X146" i="4"/>
  <c r="Y147" i="3"/>
  <c r="X146" i="3"/>
  <c r="AE149" i="3"/>
  <c r="AD148" i="3"/>
  <c r="R145" i="3"/>
  <c r="S146" i="3"/>
  <c r="AD149" i="2"/>
  <c r="AE150" i="2"/>
  <c r="S147" i="2"/>
  <c r="R146" i="2"/>
  <c r="Y148" i="2" l="1"/>
  <c r="X147" i="2"/>
  <c r="X147" i="4"/>
  <c r="Y148" i="4"/>
  <c r="AD148" i="4"/>
  <c r="AE149" i="4"/>
  <c r="R147" i="4"/>
  <c r="S148" i="4"/>
  <c r="R146" i="3"/>
  <c r="S147" i="3"/>
  <c r="AE150" i="3"/>
  <c r="AD149" i="3"/>
  <c r="X147" i="3"/>
  <c r="Y148" i="3"/>
  <c r="S148" i="2"/>
  <c r="R147" i="2"/>
  <c r="AE151" i="2"/>
  <c r="AD150" i="2"/>
  <c r="Y149" i="2" l="1"/>
  <c r="X148" i="2"/>
  <c r="AE150" i="4"/>
  <c r="AD149" i="4"/>
  <c r="S149" i="4"/>
  <c r="R148" i="4"/>
  <c r="Y149" i="4"/>
  <c r="X148" i="4"/>
  <c r="Y149" i="3"/>
  <c r="X148" i="3"/>
  <c r="AE151" i="3"/>
  <c r="AD150" i="3"/>
  <c r="R147" i="3"/>
  <c r="S148" i="3"/>
  <c r="S149" i="2"/>
  <c r="R148" i="2"/>
  <c r="AD151" i="2"/>
  <c r="AE152" i="2"/>
  <c r="X149" i="2" l="1"/>
  <c r="Y150" i="2"/>
  <c r="X149" i="4"/>
  <c r="Y150" i="4"/>
  <c r="R149" i="4"/>
  <c r="S150" i="4"/>
  <c r="AD150" i="4"/>
  <c r="AE151" i="4"/>
  <c r="R148" i="3"/>
  <c r="S149" i="3"/>
  <c r="AD151" i="3"/>
  <c r="AE152" i="3"/>
  <c r="X149" i="3"/>
  <c r="Y150" i="3"/>
  <c r="AE153" i="2"/>
  <c r="AD152" i="2"/>
  <c r="R149" i="2"/>
  <c r="S150" i="2"/>
  <c r="Y151" i="2" l="1"/>
  <c r="X150" i="2"/>
  <c r="AD151" i="4"/>
  <c r="AE152" i="4"/>
  <c r="S151" i="4"/>
  <c r="R150" i="4"/>
  <c r="X150" i="4"/>
  <c r="Y151" i="4"/>
  <c r="X150" i="3"/>
  <c r="Y151" i="3"/>
  <c r="AE153" i="3"/>
  <c r="AD152" i="3"/>
  <c r="R149" i="3"/>
  <c r="S150" i="3"/>
  <c r="S151" i="2"/>
  <c r="R150" i="2"/>
  <c r="AE154" i="2"/>
  <c r="AD154" i="2" s="1"/>
  <c r="AD153" i="2"/>
  <c r="X151" i="2" l="1"/>
  <c r="Y152" i="2"/>
  <c r="Y152" i="4"/>
  <c r="X151" i="4"/>
  <c r="R151" i="4"/>
  <c r="S152" i="4"/>
  <c r="AE153" i="4"/>
  <c r="AD152" i="4"/>
  <c r="R150" i="3"/>
  <c r="S151" i="3"/>
  <c r="AD153" i="3"/>
  <c r="AE154" i="3"/>
  <c r="AD154" i="3" s="1"/>
  <c r="X151" i="3"/>
  <c r="Y152" i="3"/>
  <c r="S152" i="2"/>
  <c r="R151" i="2"/>
  <c r="Y153" i="2" l="1"/>
  <c r="X152" i="2"/>
  <c r="R152" i="4"/>
  <c r="S153" i="4"/>
  <c r="AE154" i="4"/>
  <c r="AD154" i="4" s="1"/>
  <c r="AD153" i="4"/>
  <c r="X152" i="4"/>
  <c r="Y153" i="4"/>
  <c r="X152" i="3"/>
  <c r="Y153" i="3"/>
  <c r="R151" i="3"/>
  <c r="S152" i="3"/>
  <c r="S153" i="2"/>
  <c r="R152" i="2"/>
  <c r="Y154" i="2" l="1"/>
  <c r="X154" i="2" s="1"/>
  <c r="X153" i="2"/>
  <c r="Y154" i="4"/>
  <c r="X154" i="4" s="1"/>
  <c r="X153" i="4"/>
  <c r="R153" i="4"/>
  <c r="S154" i="4"/>
  <c r="R152" i="3"/>
  <c r="S153" i="3"/>
  <c r="X153" i="3"/>
  <c r="Y154" i="3"/>
  <c r="X154" i="3" s="1"/>
  <c r="R153" i="2"/>
  <c r="S154" i="2"/>
  <c r="R154" i="4" l="1"/>
  <c r="S155" i="4"/>
  <c r="S154" i="3"/>
  <c r="R153" i="3"/>
  <c r="S155" i="2"/>
  <c r="R154" i="2"/>
  <c r="S156" i="4" l="1"/>
  <c r="R155" i="4"/>
  <c r="R154" i="3"/>
  <c r="S155" i="3"/>
  <c r="R155" i="2"/>
  <c r="S156" i="2"/>
  <c r="R156" i="4" l="1"/>
  <c r="S157" i="4"/>
  <c r="S156" i="3"/>
  <c r="R155" i="3"/>
  <c r="R156" i="2"/>
  <c r="S157" i="2"/>
  <c r="R157" i="4" l="1"/>
  <c r="S158" i="4"/>
  <c r="R156" i="3"/>
  <c r="S157" i="3"/>
  <c r="R157" i="2"/>
  <c r="S158" i="2"/>
  <c r="R158" i="4" l="1"/>
  <c r="S159" i="4"/>
  <c r="R157" i="3"/>
  <c r="S158" i="3"/>
  <c r="S159" i="2"/>
  <c r="R158" i="2"/>
  <c r="R159" i="4" l="1"/>
  <c r="S160" i="4"/>
  <c r="R158" i="3"/>
  <c r="S159" i="3"/>
  <c r="S160" i="2"/>
  <c r="R159" i="2"/>
  <c r="R160" i="4" l="1"/>
  <c r="S161" i="4"/>
  <c r="R159" i="3"/>
  <c r="S160" i="3"/>
  <c r="R160" i="2"/>
  <c r="S161" i="2"/>
  <c r="S162" i="4" l="1"/>
  <c r="R161" i="4"/>
  <c r="S161" i="3"/>
  <c r="R160" i="3"/>
  <c r="R161" i="2"/>
  <c r="S162" i="2"/>
  <c r="R162" i="4" l="1"/>
  <c r="S163" i="4"/>
  <c r="R161" i="3"/>
  <c r="S162" i="3"/>
  <c r="R162" i="2"/>
  <c r="S163" i="2"/>
  <c r="S164" i="4" l="1"/>
  <c r="R163" i="4"/>
  <c r="S163" i="3"/>
  <c r="R162" i="3"/>
  <c r="S164" i="2"/>
  <c r="R163" i="2"/>
  <c r="R164" i="4" l="1"/>
  <c r="S165" i="4"/>
  <c r="R163" i="3"/>
  <c r="S164" i="3"/>
  <c r="S165" i="2"/>
  <c r="R164" i="2"/>
  <c r="S166" i="4" l="1"/>
  <c r="R165" i="4"/>
  <c r="R164" i="3"/>
  <c r="S165" i="3"/>
  <c r="R165" i="2"/>
  <c r="S166" i="2"/>
  <c r="R166" i="4" l="1"/>
  <c r="S167" i="4"/>
  <c r="S166" i="3"/>
  <c r="R165" i="3"/>
  <c r="S167" i="2"/>
  <c r="R166" i="2"/>
  <c r="S168" i="4" l="1"/>
  <c r="R167" i="4"/>
  <c r="R166" i="3"/>
  <c r="S167" i="3"/>
  <c r="R167" i="2"/>
  <c r="S168" i="2"/>
  <c r="S169" i="4" l="1"/>
  <c r="R168" i="4"/>
  <c r="S168" i="3"/>
  <c r="R167" i="3"/>
  <c r="S169" i="2"/>
  <c r="R168" i="2"/>
  <c r="R169" i="4" l="1"/>
  <c r="S170" i="4"/>
  <c r="R168" i="3"/>
  <c r="S169" i="3"/>
  <c r="R169" i="2"/>
  <c r="S170" i="2"/>
  <c r="R170" i="4" l="1"/>
  <c r="S171" i="4"/>
  <c r="S170" i="3"/>
  <c r="R169" i="3"/>
  <c r="S171" i="2"/>
  <c r="R170" i="2"/>
  <c r="S172" i="4" l="1"/>
  <c r="R171" i="4"/>
  <c r="R170" i="3"/>
  <c r="S171" i="3"/>
  <c r="S172" i="2"/>
  <c r="R171" i="2"/>
  <c r="R172" i="4" l="1"/>
  <c r="S173" i="4"/>
  <c r="S172" i="3"/>
  <c r="R171" i="3"/>
  <c r="S173" i="2"/>
  <c r="R172" i="2"/>
  <c r="R173" i="4" l="1"/>
  <c r="S174" i="4"/>
  <c r="R172" i="3"/>
  <c r="S173" i="3"/>
  <c r="S174" i="2"/>
  <c r="R173" i="2"/>
  <c r="S175" i="4" l="1"/>
  <c r="R174" i="4"/>
  <c r="S174" i="3"/>
  <c r="R173" i="3"/>
  <c r="R174" i="2"/>
  <c r="S175" i="2"/>
  <c r="S176" i="4" l="1"/>
  <c r="R175" i="4"/>
  <c r="R174" i="3"/>
  <c r="S175" i="3"/>
  <c r="R175" i="2"/>
  <c r="S176" i="2"/>
  <c r="R176" i="4" l="1"/>
  <c r="S177" i="4"/>
  <c r="S176" i="3"/>
  <c r="R175" i="3"/>
  <c r="S177" i="2"/>
  <c r="R176" i="2"/>
  <c r="S178" i="4" l="1"/>
  <c r="R177" i="4"/>
  <c r="R176" i="3"/>
  <c r="S177" i="3"/>
  <c r="S178" i="2"/>
  <c r="R177" i="2"/>
  <c r="R178" i="4" l="1"/>
  <c r="S179" i="4"/>
  <c r="R177" i="3"/>
  <c r="S178" i="3"/>
  <c r="S179" i="2"/>
  <c r="R178" i="2"/>
  <c r="S180" i="4" l="1"/>
  <c r="R179" i="4"/>
  <c r="S179" i="3"/>
  <c r="R178" i="3"/>
  <c r="R179" i="2"/>
  <c r="S180" i="2"/>
  <c r="R180" i="4" l="1"/>
  <c r="S181" i="4"/>
  <c r="S180" i="3"/>
  <c r="R179" i="3"/>
  <c r="R180" i="2"/>
  <c r="S181" i="2"/>
  <c r="S182" i="4" l="1"/>
  <c r="R181" i="4"/>
  <c r="R180" i="3"/>
  <c r="S181" i="3"/>
  <c r="R181" i="2"/>
  <c r="S182" i="2"/>
  <c r="S183" i="4" l="1"/>
  <c r="R182" i="4"/>
  <c r="R181" i="3"/>
  <c r="S182" i="3"/>
  <c r="S183" i="2"/>
  <c r="R182" i="2"/>
  <c r="S184" i="4" l="1"/>
  <c r="R183" i="4"/>
  <c r="S183" i="3"/>
  <c r="R182" i="3"/>
  <c r="S184" i="2"/>
  <c r="R183" i="2"/>
  <c r="S185" i="4" l="1"/>
  <c r="R184" i="4"/>
  <c r="S184" i="3"/>
  <c r="R183" i="3"/>
  <c r="S185" i="2"/>
  <c r="R184" i="2"/>
  <c r="R185" i="4" l="1"/>
  <c r="S186" i="4"/>
  <c r="S185" i="3"/>
  <c r="R184" i="3"/>
  <c r="S186" i="2"/>
  <c r="R185" i="2"/>
  <c r="S187" i="4" l="1"/>
  <c r="R186" i="4"/>
  <c r="S186" i="3"/>
  <c r="R185" i="3"/>
  <c r="R186" i="2"/>
  <c r="S187" i="2"/>
  <c r="R187" i="4" l="1"/>
  <c r="S188" i="4"/>
  <c r="S187" i="3"/>
  <c r="R186" i="3"/>
  <c r="S188" i="2"/>
  <c r="R187" i="2"/>
  <c r="S189" i="4" l="1"/>
  <c r="R188" i="4"/>
  <c r="R187" i="3"/>
  <c r="S188" i="3"/>
  <c r="R188" i="2"/>
  <c r="S189" i="2"/>
  <c r="R189" i="4" l="1"/>
  <c r="S190" i="4"/>
  <c r="S189" i="3"/>
  <c r="R188" i="3"/>
  <c r="S190" i="2"/>
  <c r="R189" i="2"/>
  <c r="R190" i="4" l="1"/>
  <c r="S191" i="4"/>
  <c r="R189" i="3"/>
  <c r="S190" i="3"/>
  <c r="R190" i="2"/>
  <c r="S191" i="2"/>
  <c r="R191" i="4" l="1"/>
  <c r="S192" i="4"/>
  <c r="S191" i="3"/>
  <c r="R190" i="3"/>
  <c r="S192" i="2"/>
  <c r="R191" i="2"/>
  <c r="R192" i="4" l="1"/>
  <c r="S193" i="4"/>
  <c r="R191" i="3"/>
  <c r="S192" i="3"/>
  <c r="S193" i="2"/>
  <c r="R192" i="2"/>
  <c r="S194" i="4" l="1"/>
  <c r="R193" i="4"/>
  <c r="S193" i="3"/>
  <c r="R192" i="3"/>
  <c r="S194" i="2"/>
  <c r="R193" i="2"/>
  <c r="R194" i="4" l="1"/>
  <c r="S195" i="4"/>
  <c r="R193" i="3"/>
  <c r="S194" i="3"/>
  <c r="R194" i="2"/>
  <c r="S195" i="2"/>
  <c r="R195" i="4" l="1"/>
  <c r="S196" i="4"/>
  <c r="R194" i="3"/>
  <c r="S195" i="3"/>
  <c r="S196" i="2"/>
  <c r="R195" i="2"/>
  <c r="S197" i="4" l="1"/>
  <c r="R196" i="4"/>
  <c r="R195" i="3"/>
  <c r="S196" i="3"/>
  <c r="S197" i="2"/>
  <c r="R196" i="2"/>
  <c r="S198" i="4" l="1"/>
  <c r="R197" i="4"/>
  <c r="R196" i="3"/>
  <c r="S197" i="3"/>
  <c r="S198" i="2"/>
  <c r="R197" i="2"/>
  <c r="R198" i="4" l="1"/>
  <c r="S199" i="4"/>
  <c r="R197" i="3"/>
  <c r="S198" i="3"/>
  <c r="R198" i="2"/>
  <c r="S199" i="2"/>
  <c r="S200" i="4" l="1"/>
  <c r="R199" i="4"/>
  <c r="S199" i="3"/>
  <c r="R198" i="3"/>
  <c r="R199" i="2"/>
  <c r="S200" i="2"/>
  <c r="S201" i="4" l="1"/>
  <c r="R200" i="4"/>
  <c r="R199" i="3"/>
  <c r="S200" i="3"/>
  <c r="S201" i="2"/>
  <c r="R200" i="2"/>
  <c r="S202" i="4" l="1"/>
  <c r="R201" i="4"/>
  <c r="S201" i="3"/>
  <c r="R200" i="3"/>
  <c r="S202" i="2"/>
  <c r="R201" i="2"/>
  <c r="S203" i="4" l="1"/>
  <c r="R203" i="4" s="1"/>
  <c r="R202" i="4"/>
  <c r="S202" i="3"/>
  <c r="R201" i="3"/>
  <c r="R202" i="2"/>
  <c r="S203" i="2"/>
  <c r="R203" i="2" s="1"/>
  <c r="R202" i="3" l="1"/>
  <c r="S203" i="3"/>
  <c r="R203" i="3" s="1"/>
  <c r="B215" i="1" l="1"/>
  <c r="L415" i="1" l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G215" i="1"/>
  <c r="G216" i="1" s="1"/>
  <c r="L214" i="1"/>
  <c r="L213" i="1"/>
  <c r="H213" i="1"/>
  <c r="G213" i="1"/>
  <c r="L212" i="1"/>
  <c r="H212" i="1"/>
  <c r="G212" i="1"/>
  <c r="G217" i="1" s="1"/>
  <c r="L211" i="1"/>
  <c r="L210" i="1"/>
  <c r="L209" i="1"/>
  <c r="G209" i="1"/>
  <c r="L208" i="1"/>
  <c r="L207" i="1"/>
  <c r="I207" i="1"/>
  <c r="H207" i="1"/>
  <c r="B207" i="1"/>
  <c r="L206" i="1"/>
  <c r="L205" i="1"/>
  <c r="L204" i="1"/>
  <c r="L203" i="1"/>
  <c r="D203" i="1"/>
  <c r="D204" i="1" s="1"/>
  <c r="B204" i="1" s="1"/>
  <c r="L202" i="1"/>
  <c r="L201" i="1"/>
  <c r="L200" i="1"/>
  <c r="L198" i="1"/>
  <c r="L197" i="1"/>
  <c r="L196" i="1"/>
  <c r="L195" i="1"/>
  <c r="H195" i="1"/>
  <c r="F195" i="1"/>
  <c r="L194" i="1"/>
  <c r="F194" i="1"/>
  <c r="L193" i="1"/>
  <c r="L192" i="1"/>
  <c r="L191" i="1"/>
  <c r="H191" i="1"/>
  <c r="L190" i="1"/>
  <c r="L189" i="1"/>
  <c r="L188" i="1"/>
  <c r="E188" i="1"/>
  <c r="L187" i="1"/>
  <c r="L186" i="1"/>
  <c r="D186" i="1"/>
  <c r="C186" i="1"/>
  <c r="L185" i="1"/>
  <c r="C185" i="1"/>
  <c r="L184" i="1"/>
  <c r="L183" i="1"/>
  <c r="L182" i="1"/>
  <c r="L181" i="1"/>
  <c r="L180" i="1"/>
  <c r="C180" i="1"/>
  <c r="L179" i="1"/>
  <c r="D179" i="1"/>
  <c r="L178" i="1"/>
  <c r="C178" i="1"/>
  <c r="B178" i="1"/>
  <c r="A178" i="1"/>
  <c r="L177" i="1"/>
  <c r="L176" i="1"/>
  <c r="L175" i="1"/>
  <c r="D175" i="1"/>
  <c r="L174" i="1"/>
  <c r="D174" i="1"/>
  <c r="L173" i="1"/>
  <c r="L172" i="1"/>
  <c r="D172" i="1"/>
  <c r="D184" i="1" s="1"/>
  <c r="L171" i="1"/>
  <c r="L170" i="1"/>
  <c r="L169" i="1"/>
  <c r="L168" i="1"/>
  <c r="L167" i="1"/>
  <c r="L166" i="1"/>
  <c r="L165" i="1"/>
  <c r="L164" i="1"/>
  <c r="D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B146" i="1"/>
  <c r="B148" i="1" s="1"/>
  <c r="C146" i="1" s="1"/>
  <c r="L145" i="1"/>
  <c r="L144" i="1"/>
  <c r="L143" i="1"/>
  <c r="L142" i="1"/>
  <c r="B142" i="1"/>
  <c r="B143" i="1" s="1"/>
  <c r="C141" i="1" s="1"/>
  <c r="C143" i="1" s="1"/>
  <c r="L141" i="1"/>
  <c r="L140" i="1"/>
  <c r="L139" i="1"/>
  <c r="L138" i="1"/>
  <c r="L137" i="1"/>
  <c r="L136" i="1"/>
  <c r="L135" i="1"/>
  <c r="L134" i="1"/>
  <c r="B134" i="1"/>
  <c r="B136" i="1" s="1"/>
  <c r="L133" i="1"/>
  <c r="L132" i="1"/>
  <c r="B132" i="1"/>
  <c r="L131" i="1"/>
  <c r="L130" i="1"/>
  <c r="L129" i="1"/>
  <c r="B129" i="1"/>
  <c r="B130" i="1" s="1"/>
  <c r="C128" i="1" s="1"/>
  <c r="C130" i="1" s="1"/>
  <c r="L128" i="1"/>
  <c r="L127" i="1"/>
  <c r="L126" i="1"/>
  <c r="L125" i="1"/>
  <c r="L124" i="1"/>
  <c r="B124" i="1"/>
  <c r="L123" i="1"/>
  <c r="L122" i="1"/>
  <c r="L121" i="1"/>
  <c r="L120" i="1"/>
  <c r="L119" i="1"/>
  <c r="L118" i="1"/>
  <c r="B118" i="1"/>
  <c r="L117" i="1"/>
  <c r="L116" i="1"/>
  <c r="B116" i="1"/>
  <c r="L115" i="1"/>
  <c r="B115" i="1"/>
  <c r="L114" i="1"/>
  <c r="L113" i="1"/>
  <c r="L112" i="1"/>
  <c r="L111" i="1"/>
  <c r="L110" i="1"/>
  <c r="B110" i="1"/>
  <c r="L109" i="1"/>
  <c r="L108" i="1"/>
  <c r="B108" i="1"/>
  <c r="L107" i="1"/>
  <c r="L106" i="1"/>
  <c r="B106" i="1"/>
  <c r="B107" i="1" s="1"/>
  <c r="L105" i="1"/>
  <c r="L104" i="1"/>
  <c r="L103" i="1"/>
  <c r="L102" i="1"/>
  <c r="L101" i="1"/>
  <c r="L100" i="1"/>
  <c r="L99" i="1"/>
  <c r="B99" i="1"/>
  <c r="L98" i="1"/>
  <c r="B98" i="1"/>
  <c r="L97" i="1"/>
  <c r="L96" i="1"/>
  <c r="B96" i="1"/>
  <c r="L95" i="1"/>
  <c r="L94" i="1"/>
  <c r="B94" i="1"/>
  <c r="L93" i="1"/>
  <c r="L92" i="1"/>
  <c r="L91" i="1"/>
  <c r="L90" i="1"/>
  <c r="L89" i="1"/>
  <c r="L88" i="1"/>
  <c r="L87" i="1"/>
  <c r="L86" i="1"/>
  <c r="L85" i="1"/>
  <c r="L84" i="1"/>
  <c r="L83" i="1"/>
  <c r="B83" i="1"/>
  <c r="L82" i="1"/>
  <c r="L81" i="1"/>
  <c r="L80" i="1"/>
  <c r="L79" i="1"/>
  <c r="L78" i="1"/>
  <c r="L77" i="1"/>
  <c r="L76" i="1"/>
  <c r="B76" i="1"/>
  <c r="L75" i="1"/>
  <c r="B75" i="1"/>
  <c r="L74" i="1"/>
  <c r="B74" i="1"/>
  <c r="L73" i="1"/>
  <c r="L72" i="1"/>
  <c r="L71" i="1"/>
  <c r="L70" i="1"/>
  <c r="L69" i="1"/>
  <c r="L68" i="1"/>
  <c r="L67" i="1"/>
  <c r="L66" i="1"/>
  <c r="B66" i="1"/>
  <c r="L65" i="1"/>
  <c r="L64" i="1"/>
  <c r="B64" i="1"/>
  <c r="L63" i="1"/>
  <c r="L62" i="1"/>
  <c r="L61" i="1"/>
  <c r="L60" i="1"/>
  <c r="L59" i="1"/>
  <c r="B59" i="1"/>
  <c r="L58" i="1"/>
  <c r="L57" i="1"/>
  <c r="L56" i="1"/>
  <c r="L55" i="1"/>
  <c r="L54" i="1"/>
  <c r="L53" i="1"/>
  <c r="L52" i="1"/>
  <c r="L51" i="1"/>
  <c r="B51" i="1"/>
  <c r="L50" i="1"/>
  <c r="L49" i="1"/>
  <c r="B49" i="1"/>
  <c r="L48" i="1"/>
  <c r="L47" i="1"/>
  <c r="L46" i="1"/>
  <c r="H46" i="1"/>
  <c r="B93" i="1" s="1"/>
  <c r="L45" i="1"/>
  <c r="H45" i="1"/>
  <c r="B97" i="1" s="1"/>
  <c r="L44" i="1"/>
  <c r="B44" i="1"/>
  <c r="L43" i="1"/>
  <c r="L42" i="1"/>
  <c r="L41" i="1"/>
  <c r="L40" i="1"/>
  <c r="I40" i="1"/>
  <c r="L39" i="1"/>
  <c r="L38" i="1"/>
  <c r="L37" i="1"/>
  <c r="H37" i="1"/>
  <c r="L36" i="1"/>
  <c r="L35" i="1"/>
  <c r="B35" i="1"/>
  <c r="L34" i="1"/>
  <c r="H34" i="1"/>
  <c r="L33" i="1"/>
  <c r="L32" i="1"/>
  <c r="B32" i="1"/>
  <c r="L31" i="1"/>
  <c r="B31" i="1"/>
  <c r="L30" i="1"/>
  <c r="L29" i="1"/>
  <c r="B29" i="1"/>
  <c r="L28" i="1"/>
  <c r="L27" i="1"/>
  <c r="L26" i="1"/>
  <c r="L25" i="1"/>
  <c r="B25" i="1"/>
  <c r="L24" i="1"/>
  <c r="L23" i="1"/>
  <c r="B23" i="1"/>
  <c r="B24" i="1" s="1"/>
  <c r="L22" i="1"/>
  <c r="L21" i="1"/>
  <c r="B21" i="1"/>
  <c r="B22" i="1" s="1"/>
  <c r="L20" i="1"/>
  <c r="L19" i="1"/>
  <c r="L18" i="1"/>
  <c r="L17" i="1"/>
  <c r="L16" i="1"/>
  <c r="L15" i="1"/>
  <c r="L14" i="1"/>
  <c r="B14" i="1"/>
  <c r="B15" i="1" s="1"/>
  <c r="L13" i="1"/>
  <c r="L12" i="1"/>
  <c r="L11" i="1"/>
  <c r="L10" i="1"/>
  <c r="L9" i="1"/>
  <c r="B7" i="1"/>
  <c r="B8" i="1" s="1"/>
  <c r="AE6" i="1"/>
  <c r="AE7" i="1" s="1"/>
  <c r="Y6" i="1"/>
  <c r="Y7" i="1" s="1"/>
  <c r="X7" i="1" s="1"/>
  <c r="E6" i="1"/>
  <c r="B131" i="1" s="1"/>
  <c r="S5" i="1"/>
  <c r="R5" i="1" s="1"/>
  <c r="E5" i="1"/>
  <c r="B4" i="1"/>
  <c r="B2" i="1"/>
  <c r="B3" i="1" s="1"/>
  <c r="A2" i="5" l="1"/>
  <c r="C11" i="5"/>
  <c r="E11" i="5" s="1"/>
  <c r="C10" i="5"/>
  <c r="E10" i="5" s="1"/>
  <c r="D9" i="5"/>
  <c r="E9" i="5" s="1"/>
  <c r="B2" i="5"/>
  <c r="C2" i="5"/>
  <c r="B208" i="1"/>
  <c r="S11" i="5" s="1"/>
  <c r="S12" i="5" s="1"/>
  <c r="C148" i="1"/>
  <c r="G195" i="1"/>
  <c r="I195" i="1" s="1"/>
  <c r="C179" i="1"/>
  <c r="E179" i="1" s="1"/>
  <c r="B117" i="1"/>
  <c r="B126" i="1"/>
  <c r="C124" i="1" s="1"/>
  <c r="C126" i="1" s="1"/>
  <c r="S6" i="1"/>
  <c r="S7" i="1" s="1"/>
  <c r="R7" i="1" s="1"/>
  <c r="X6" i="1"/>
  <c r="B68" i="1"/>
  <c r="I213" i="1"/>
  <c r="E186" i="1"/>
  <c r="B47" i="1"/>
  <c r="Y8" i="1"/>
  <c r="X8" i="1" s="1"/>
  <c r="B37" i="1"/>
  <c r="AD6" i="1"/>
  <c r="B103" i="1"/>
  <c r="B101" i="1" s="1"/>
  <c r="B135" i="1"/>
  <c r="B137" i="1" s="1"/>
  <c r="I212" i="1"/>
  <c r="B95" i="1"/>
  <c r="B53" i="1"/>
  <c r="B33" i="1"/>
  <c r="B60" i="1"/>
  <c r="B62" i="1" s="1"/>
  <c r="AD7" i="1"/>
  <c r="AE8" i="1"/>
  <c r="B133" i="1"/>
  <c r="D185" i="1"/>
  <c r="E185" i="1" s="1"/>
  <c r="I201" i="1"/>
  <c r="H201" i="1" s="1"/>
  <c r="B16" i="1"/>
  <c r="B17" i="1" s="1"/>
  <c r="G194" i="1"/>
  <c r="B77" i="1"/>
  <c r="B78" i="1"/>
  <c r="B79" i="1" s="1"/>
  <c r="C77" i="1" s="1"/>
  <c r="C79" i="1" s="1"/>
  <c r="B202" i="1"/>
  <c r="B203" i="1" s="1"/>
  <c r="I202" i="1" s="1"/>
  <c r="H202" i="1" s="1"/>
  <c r="I200" i="1"/>
  <c r="B81" i="1"/>
  <c r="B82" i="1" s="1"/>
  <c r="B30" i="1"/>
  <c r="B46" i="1"/>
  <c r="B119" i="1"/>
  <c r="B120" i="1" s="1"/>
  <c r="B61" i="1"/>
  <c r="B111" i="1"/>
  <c r="B112" i="1" s="1"/>
  <c r="C110" i="1" s="1"/>
  <c r="C112" i="1" s="1"/>
  <c r="E184" i="1"/>
  <c r="G193" i="1"/>
  <c r="F2" i="5" l="1"/>
  <c r="S8" i="1"/>
  <c r="H208" i="1"/>
  <c r="I208" i="1"/>
  <c r="I209" i="1" s="1"/>
  <c r="H209" i="1" s="1"/>
  <c r="D166" i="1"/>
  <c r="B104" i="1"/>
  <c r="C102" i="1" s="1"/>
  <c r="I214" i="1"/>
  <c r="R6" i="1"/>
  <c r="B121" i="1"/>
  <c r="C119" i="1" s="1"/>
  <c r="C121" i="1" s="1"/>
  <c r="B48" i="1"/>
  <c r="B52" i="1" s="1"/>
  <c r="B54" i="1" s="1"/>
  <c r="Y9" i="1"/>
  <c r="Y10" i="1" s="1"/>
  <c r="B102" i="1"/>
  <c r="B34" i="1"/>
  <c r="B36" i="1" s="1"/>
  <c r="B38" i="1" s="1"/>
  <c r="B41" i="1" s="1"/>
  <c r="B42" i="1" s="1"/>
  <c r="B63" i="1"/>
  <c r="B65" i="1" s="1"/>
  <c r="B84" i="1"/>
  <c r="B85" i="1" s="1"/>
  <c r="B86" i="1" s="1"/>
  <c r="I204" i="1"/>
  <c r="I203" i="1"/>
  <c r="B139" i="1"/>
  <c r="B138" i="1"/>
  <c r="D165" i="1"/>
  <c r="G196" i="1"/>
  <c r="G197" i="1"/>
  <c r="G200" i="1"/>
  <c r="G203" i="1" s="1"/>
  <c r="G204" i="1" s="1"/>
  <c r="AD8" i="1"/>
  <c r="AE9" i="1"/>
  <c r="S9" i="1"/>
  <c r="R8" i="1"/>
  <c r="C104" i="1" l="1"/>
  <c r="B50" i="1"/>
  <c r="B55" i="1" s="1"/>
  <c r="X9" i="1"/>
  <c r="B67" i="1"/>
  <c r="B69" i="1" s="1"/>
  <c r="B70" i="1" s="1"/>
  <c r="H203" i="1"/>
  <c r="H200" i="1"/>
  <c r="C40" i="1"/>
  <c r="C42" i="1" s="1"/>
  <c r="S10" i="1"/>
  <c r="R9" i="1"/>
  <c r="I42" i="1"/>
  <c r="C137" i="1"/>
  <c r="C139" i="1" s="1"/>
  <c r="X10" i="1"/>
  <c r="Y11" i="1"/>
  <c r="B87" i="1"/>
  <c r="B88" i="1" s="1"/>
  <c r="C86" i="1" s="1"/>
  <c r="C88" i="1" s="1"/>
  <c r="G219" i="1"/>
  <c r="H204" i="1"/>
  <c r="AE10" i="1"/>
  <c r="AD9" i="1"/>
  <c r="B40" i="1"/>
  <c r="B39" i="1"/>
  <c r="B56" i="1" l="1"/>
  <c r="B57" i="1" s="1"/>
  <c r="C55" i="1" s="1"/>
  <c r="C57" i="1" s="1"/>
  <c r="B71" i="1"/>
  <c r="B72" i="1" s="1"/>
  <c r="C70" i="1" s="1"/>
  <c r="C72" i="1" s="1"/>
  <c r="R10" i="1"/>
  <c r="S11" i="1"/>
  <c r="Y12" i="1"/>
  <c r="X11" i="1"/>
  <c r="AD10" i="1"/>
  <c r="AE11" i="1"/>
  <c r="B91" i="1" l="1"/>
  <c r="B150" i="1" s="1"/>
  <c r="S12" i="1"/>
  <c r="R11" i="1"/>
  <c r="X12" i="1"/>
  <c r="Y13" i="1"/>
  <c r="AE12" i="1"/>
  <c r="AD11" i="1"/>
  <c r="B158" i="1" l="1"/>
  <c r="C158" i="1" s="1"/>
  <c r="S26" i="5" s="1"/>
  <c r="S27" i="5" s="1"/>
  <c r="S28" i="5" s="1"/>
  <c r="S36" i="5" s="1"/>
  <c r="C89" i="1"/>
  <c r="C235" i="1" s="1"/>
  <c r="B90" i="1"/>
  <c r="R12" i="1"/>
  <c r="S13" i="1"/>
  <c r="AD12" i="1"/>
  <c r="AE13" i="1"/>
  <c r="Y14" i="1"/>
  <c r="X13" i="1"/>
  <c r="H158" i="1" l="1"/>
  <c r="D235" i="1"/>
  <c r="C238" i="1"/>
  <c r="C91" i="1"/>
  <c r="D158" i="1"/>
  <c r="E158" i="1" s="1"/>
  <c r="S14" i="1"/>
  <c r="R13" i="1"/>
  <c r="X14" i="1"/>
  <c r="Y15" i="1"/>
  <c r="AE14" i="1"/>
  <c r="AD13" i="1"/>
  <c r="E235" i="1" l="1"/>
  <c r="G235" i="1" s="1"/>
  <c r="G238" i="1" s="1"/>
  <c r="G240" i="1" s="1"/>
  <c r="S2" i="5" s="1"/>
  <c r="D238" i="1"/>
  <c r="D239" i="1" s="1"/>
  <c r="G239" i="1" s="1"/>
  <c r="Y16" i="1"/>
  <c r="X15" i="1"/>
  <c r="S15" i="1"/>
  <c r="R14" i="1"/>
  <c r="AD14" i="1"/>
  <c r="AE15" i="1"/>
  <c r="S42" i="5" l="1"/>
  <c r="S43" i="5" s="1"/>
  <c r="S39" i="5"/>
  <c r="S17" i="5"/>
  <c r="S16" i="1"/>
  <c r="R15" i="1"/>
  <c r="Y17" i="1"/>
  <c r="X16" i="1"/>
  <c r="AE16" i="1"/>
  <c r="AD15" i="1"/>
  <c r="X17" i="1" l="1"/>
  <c r="Y18" i="1"/>
  <c r="S17" i="1"/>
  <c r="R16" i="1"/>
  <c r="AE17" i="1"/>
  <c r="AD16" i="1"/>
  <c r="X18" i="1" l="1"/>
  <c r="Y19" i="1"/>
  <c r="AD17" i="1"/>
  <c r="AE18" i="1"/>
  <c r="R17" i="1"/>
  <c r="S18" i="1"/>
  <c r="AE19" i="1" l="1"/>
  <c r="AD18" i="1"/>
  <c r="X19" i="1"/>
  <c r="Y20" i="1"/>
  <c r="S19" i="1"/>
  <c r="R18" i="1"/>
  <c r="X20" i="1" l="1"/>
  <c r="Y21" i="1"/>
  <c r="AD19" i="1"/>
  <c r="AE20" i="1"/>
  <c r="R19" i="1"/>
  <c r="S20" i="1"/>
  <c r="S21" i="1" l="1"/>
  <c r="R20" i="1"/>
  <c r="X21" i="1"/>
  <c r="Y22" i="1"/>
  <c r="AE21" i="1"/>
  <c r="AD20" i="1"/>
  <c r="X22" i="1" l="1"/>
  <c r="Y23" i="1"/>
  <c r="AD21" i="1"/>
  <c r="AE22" i="1"/>
  <c r="S22" i="1"/>
  <c r="R21" i="1"/>
  <c r="R22" i="1" l="1"/>
  <c r="S23" i="1"/>
  <c r="AE23" i="1"/>
  <c r="AD22" i="1"/>
  <c r="X23" i="1"/>
  <c r="Y24" i="1"/>
  <c r="S24" i="1" l="1"/>
  <c r="R23" i="1"/>
  <c r="Y25" i="1"/>
  <c r="X24" i="1"/>
  <c r="AE24" i="1"/>
  <c r="AD23" i="1"/>
  <c r="S25" i="1" l="1"/>
  <c r="R24" i="1"/>
  <c r="AE25" i="1"/>
  <c r="AD24" i="1"/>
  <c r="B20" i="1" s="1"/>
  <c r="Y26" i="1"/>
  <c r="X25" i="1"/>
  <c r="X26" i="1" l="1"/>
  <c r="Y27" i="1"/>
  <c r="AD25" i="1"/>
  <c r="AE26" i="1"/>
  <c r="S26" i="1"/>
  <c r="R25" i="1"/>
  <c r="R26" i="1" l="1"/>
  <c r="S27" i="1"/>
  <c r="Y28" i="1"/>
  <c r="X27" i="1"/>
  <c r="AD26" i="1"/>
  <c r="AE27" i="1"/>
  <c r="AE28" i="1" l="1"/>
  <c r="AD27" i="1"/>
  <c r="X28" i="1"/>
  <c r="Y29" i="1"/>
  <c r="S28" i="1"/>
  <c r="R27" i="1"/>
  <c r="Y30" i="1" l="1"/>
  <c r="X29" i="1"/>
  <c r="AD28" i="1"/>
  <c r="AE29" i="1"/>
  <c r="R28" i="1"/>
  <c r="S29" i="1"/>
  <c r="S30" i="1" l="1"/>
  <c r="R29" i="1"/>
  <c r="AE30" i="1"/>
  <c r="AD29" i="1"/>
  <c r="X30" i="1"/>
  <c r="Y31" i="1"/>
  <c r="R30" i="1" l="1"/>
  <c r="S31" i="1"/>
  <c r="Y32" i="1"/>
  <c r="X31" i="1"/>
  <c r="AD30" i="1"/>
  <c r="AE31" i="1"/>
  <c r="X32" i="1" l="1"/>
  <c r="Y33" i="1"/>
  <c r="S32" i="1"/>
  <c r="R31" i="1"/>
  <c r="AE32" i="1"/>
  <c r="AD31" i="1"/>
  <c r="Y34" i="1" l="1"/>
  <c r="X33" i="1"/>
  <c r="R32" i="1"/>
  <c r="S33" i="1"/>
  <c r="AD32" i="1"/>
  <c r="AE33" i="1"/>
  <c r="AE34" i="1" l="1"/>
  <c r="AD33" i="1"/>
  <c r="X34" i="1"/>
  <c r="Y35" i="1"/>
  <c r="S34" i="1"/>
  <c r="R33" i="1"/>
  <c r="AD34" i="1" l="1"/>
  <c r="AE35" i="1"/>
  <c r="X35" i="1"/>
  <c r="Y36" i="1"/>
  <c r="S35" i="1"/>
  <c r="R34" i="1"/>
  <c r="Y37" i="1" l="1"/>
  <c r="X36" i="1"/>
  <c r="AE36" i="1"/>
  <c r="AD35" i="1"/>
  <c r="S36" i="1"/>
  <c r="R35" i="1"/>
  <c r="AD36" i="1" l="1"/>
  <c r="AE37" i="1"/>
  <c r="S37" i="1"/>
  <c r="R36" i="1"/>
  <c r="X37" i="1"/>
  <c r="Y38" i="1"/>
  <c r="AD37" i="1" l="1"/>
  <c r="AE38" i="1"/>
  <c r="Y39" i="1"/>
  <c r="X38" i="1"/>
  <c r="R37" i="1"/>
  <c r="S38" i="1"/>
  <c r="R38" i="1" l="1"/>
  <c r="S39" i="1"/>
  <c r="AD38" i="1"/>
  <c r="AE39" i="1"/>
  <c r="X39" i="1"/>
  <c r="Y40" i="1"/>
  <c r="AD39" i="1" l="1"/>
  <c r="AE40" i="1"/>
  <c r="X40" i="1"/>
  <c r="Y41" i="1"/>
  <c r="R39" i="1"/>
  <c r="S40" i="1"/>
  <c r="AE41" i="1" l="1"/>
  <c r="AD40" i="1"/>
  <c r="S41" i="1"/>
  <c r="R40" i="1"/>
  <c r="X41" i="1"/>
  <c r="Y42" i="1"/>
  <c r="Y43" i="1" l="1"/>
  <c r="X42" i="1"/>
  <c r="R41" i="1"/>
  <c r="S42" i="1"/>
  <c r="AD41" i="1"/>
  <c r="AE42" i="1"/>
  <c r="R42" i="1" l="1"/>
  <c r="S43" i="1"/>
  <c r="Y44" i="1"/>
  <c r="X43" i="1"/>
  <c r="AD42" i="1"/>
  <c r="AE43" i="1"/>
  <c r="AE44" i="1" l="1"/>
  <c r="AD43" i="1"/>
  <c r="X44" i="1"/>
  <c r="Y45" i="1"/>
  <c r="S44" i="1"/>
  <c r="R43" i="1"/>
  <c r="Y46" i="1" l="1"/>
  <c r="X45" i="1"/>
  <c r="AE45" i="1"/>
  <c r="AD44" i="1"/>
  <c r="R44" i="1"/>
  <c r="S45" i="1"/>
  <c r="S46" i="1" l="1"/>
  <c r="R45" i="1"/>
  <c r="Y47" i="1"/>
  <c r="X46" i="1"/>
  <c r="AD45" i="1"/>
  <c r="AE46" i="1"/>
  <c r="R46" i="1" l="1"/>
  <c r="S47" i="1"/>
  <c r="AD46" i="1"/>
  <c r="AE47" i="1"/>
  <c r="Y48" i="1"/>
  <c r="X47" i="1"/>
  <c r="S48" i="1" l="1"/>
  <c r="R47" i="1"/>
  <c r="Y49" i="1"/>
  <c r="X48" i="1"/>
  <c r="AE48" i="1"/>
  <c r="AD47" i="1"/>
  <c r="AD48" i="1" l="1"/>
  <c r="AE49" i="1"/>
  <c r="Y50" i="1"/>
  <c r="X49" i="1"/>
  <c r="R48" i="1"/>
  <c r="S49" i="1"/>
  <c r="S50" i="1" l="1"/>
  <c r="R49" i="1"/>
  <c r="AE50" i="1"/>
  <c r="AD49" i="1"/>
  <c r="Y51" i="1"/>
  <c r="X50" i="1"/>
  <c r="AD50" i="1" l="1"/>
  <c r="AE51" i="1"/>
  <c r="S51" i="1"/>
  <c r="R50" i="1"/>
  <c r="Y52" i="1"/>
  <c r="X51" i="1"/>
  <c r="AE52" i="1" l="1"/>
  <c r="AD51" i="1"/>
  <c r="R51" i="1"/>
  <c r="S52" i="1"/>
  <c r="Y53" i="1"/>
  <c r="X52" i="1"/>
  <c r="S53" i="1" l="1"/>
  <c r="R52" i="1"/>
  <c r="AE53" i="1"/>
  <c r="AD52" i="1"/>
  <c r="Y54" i="1"/>
  <c r="X53" i="1"/>
  <c r="R53" i="1" l="1"/>
  <c r="S54" i="1"/>
  <c r="AD53" i="1"/>
  <c r="AE54" i="1"/>
  <c r="Y55" i="1"/>
  <c r="X54" i="1"/>
  <c r="S55" i="1" l="1"/>
  <c r="R54" i="1"/>
  <c r="AE55" i="1"/>
  <c r="AD54" i="1"/>
  <c r="X55" i="1"/>
  <c r="Y56" i="1"/>
  <c r="AD55" i="1" l="1"/>
  <c r="AE56" i="1"/>
  <c r="X56" i="1"/>
  <c r="Y57" i="1"/>
  <c r="R55" i="1"/>
  <c r="S56" i="1"/>
  <c r="Y58" i="1" l="1"/>
  <c r="X57" i="1"/>
  <c r="S57" i="1"/>
  <c r="R56" i="1"/>
  <c r="AE57" i="1"/>
  <c r="AD56" i="1"/>
  <c r="AD57" i="1" l="1"/>
  <c r="AE58" i="1"/>
  <c r="S58" i="1"/>
  <c r="R57" i="1"/>
  <c r="X58" i="1"/>
  <c r="Y59" i="1"/>
  <c r="R58" i="1" l="1"/>
  <c r="S59" i="1"/>
  <c r="AD58" i="1"/>
  <c r="AE59" i="1"/>
  <c r="X59" i="1"/>
  <c r="Y60" i="1"/>
  <c r="AE60" i="1" l="1"/>
  <c r="AD59" i="1"/>
  <c r="S60" i="1"/>
  <c r="R59" i="1"/>
  <c r="X60" i="1"/>
  <c r="Y61" i="1"/>
  <c r="AE61" i="1" l="1"/>
  <c r="AD60" i="1"/>
  <c r="X61" i="1"/>
  <c r="Y62" i="1"/>
  <c r="R60" i="1"/>
  <c r="S61" i="1"/>
  <c r="X62" i="1" l="1"/>
  <c r="Y63" i="1"/>
  <c r="AE62" i="1"/>
  <c r="AD61" i="1"/>
  <c r="S62" i="1"/>
  <c r="R61" i="1"/>
  <c r="X63" i="1" l="1"/>
  <c r="Y64" i="1"/>
  <c r="S63" i="1"/>
  <c r="R62" i="1"/>
  <c r="AE63" i="1"/>
  <c r="AD62" i="1"/>
  <c r="X64" i="1" l="1"/>
  <c r="Y65" i="1"/>
  <c r="AD63" i="1"/>
  <c r="AE64" i="1"/>
  <c r="R63" i="1"/>
  <c r="S64" i="1"/>
  <c r="AE65" i="1" l="1"/>
  <c r="AD64" i="1"/>
  <c r="X65" i="1"/>
  <c r="Y66" i="1"/>
  <c r="S65" i="1"/>
  <c r="R64" i="1"/>
  <c r="X66" i="1" l="1"/>
  <c r="Y67" i="1"/>
  <c r="AD65" i="1"/>
  <c r="AE66" i="1"/>
  <c r="S66" i="1"/>
  <c r="R65" i="1"/>
  <c r="X67" i="1" l="1"/>
  <c r="Y68" i="1"/>
  <c r="S67" i="1"/>
  <c r="R66" i="1"/>
  <c r="AE67" i="1"/>
  <c r="AD66" i="1"/>
  <c r="AE68" i="1" l="1"/>
  <c r="AD67" i="1"/>
  <c r="X68" i="1"/>
  <c r="Y69" i="1"/>
  <c r="S68" i="1"/>
  <c r="R67" i="1"/>
  <c r="AE69" i="1" l="1"/>
  <c r="AD68" i="1"/>
  <c r="X69" i="1"/>
  <c r="Y70" i="1"/>
  <c r="S69" i="1"/>
  <c r="R68" i="1"/>
  <c r="S70" i="1" l="1"/>
  <c r="R69" i="1"/>
  <c r="Y71" i="1"/>
  <c r="X70" i="1"/>
  <c r="AE70" i="1"/>
  <c r="AD69" i="1"/>
  <c r="X71" i="1" l="1"/>
  <c r="Y72" i="1"/>
  <c r="AE71" i="1"/>
  <c r="AD70" i="1"/>
  <c r="S71" i="1"/>
  <c r="R70" i="1"/>
  <c r="R71" i="1" l="1"/>
  <c r="S72" i="1"/>
  <c r="AD71" i="1"/>
  <c r="AE72" i="1"/>
  <c r="X72" i="1"/>
  <c r="Y73" i="1"/>
  <c r="AE73" i="1" l="1"/>
  <c r="AD72" i="1"/>
  <c r="R72" i="1"/>
  <c r="S73" i="1"/>
  <c r="Y74" i="1"/>
  <c r="X73" i="1"/>
  <c r="X74" i="1" l="1"/>
  <c r="Y75" i="1"/>
  <c r="S74" i="1"/>
  <c r="R73" i="1"/>
  <c r="AD73" i="1"/>
  <c r="AE74" i="1"/>
  <c r="AE75" i="1" l="1"/>
  <c r="AD74" i="1"/>
  <c r="S75" i="1"/>
  <c r="R74" i="1"/>
  <c r="X75" i="1"/>
  <c r="Y76" i="1"/>
  <c r="Y77" i="1" l="1"/>
  <c r="X76" i="1"/>
  <c r="S76" i="1"/>
  <c r="R75" i="1"/>
  <c r="AD75" i="1"/>
  <c r="AE76" i="1"/>
  <c r="S77" i="1" l="1"/>
  <c r="R76" i="1"/>
  <c r="AE77" i="1"/>
  <c r="AD76" i="1"/>
  <c r="Y78" i="1"/>
  <c r="X77" i="1"/>
  <c r="X78" i="1" l="1"/>
  <c r="Y79" i="1"/>
  <c r="AE78" i="1"/>
  <c r="AD77" i="1"/>
  <c r="R77" i="1"/>
  <c r="S78" i="1"/>
  <c r="R78" i="1" l="1"/>
  <c r="S79" i="1"/>
  <c r="AD78" i="1"/>
  <c r="AE79" i="1"/>
  <c r="X79" i="1"/>
  <c r="Y80" i="1"/>
  <c r="X80" i="1" l="1"/>
  <c r="Y81" i="1"/>
  <c r="AD79" i="1"/>
  <c r="AE80" i="1"/>
  <c r="S80" i="1"/>
  <c r="R79" i="1"/>
  <c r="R80" i="1" l="1"/>
  <c r="S81" i="1"/>
  <c r="AE81" i="1"/>
  <c r="AD80" i="1"/>
  <c r="X81" i="1"/>
  <c r="Y82" i="1"/>
  <c r="X82" i="1" l="1"/>
  <c r="Y83" i="1"/>
  <c r="S82" i="1"/>
  <c r="R81" i="1"/>
  <c r="AE82" i="1"/>
  <c r="AD81" i="1"/>
  <c r="AE83" i="1" l="1"/>
  <c r="AD82" i="1"/>
  <c r="Y84" i="1"/>
  <c r="X83" i="1"/>
  <c r="R82" i="1"/>
  <c r="S83" i="1"/>
  <c r="S84" i="1" l="1"/>
  <c r="R83" i="1"/>
  <c r="Y85" i="1"/>
  <c r="X84" i="1"/>
  <c r="AE84" i="1"/>
  <c r="AD83" i="1"/>
  <c r="AE85" i="1" l="1"/>
  <c r="AD84" i="1"/>
  <c r="X85" i="1"/>
  <c r="Y86" i="1"/>
  <c r="S85" i="1"/>
  <c r="R84" i="1"/>
  <c r="Y87" i="1" l="1"/>
  <c r="X86" i="1"/>
  <c r="B19" i="1" s="1"/>
  <c r="B26" i="1" s="1"/>
  <c r="S86" i="1"/>
  <c r="R85" i="1"/>
  <c r="AE86" i="1"/>
  <c r="AD85" i="1"/>
  <c r="B157" i="1" l="1"/>
  <c r="C24" i="1"/>
  <c r="C26" i="1" s="1"/>
  <c r="R86" i="1"/>
  <c r="S87" i="1"/>
  <c r="AD86" i="1"/>
  <c r="AE87" i="1"/>
  <c r="Y88" i="1"/>
  <c r="X87" i="1"/>
  <c r="C157" i="1" l="1"/>
  <c r="B159" i="1"/>
  <c r="C159" i="1" s="1"/>
  <c r="H164" i="1" s="1"/>
  <c r="H165" i="1" s="1"/>
  <c r="H166" i="1" s="1"/>
  <c r="H167" i="1" s="1"/>
  <c r="R87" i="1"/>
  <c r="S88" i="1"/>
  <c r="Y89" i="1"/>
  <c r="X88" i="1"/>
  <c r="AD87" i="1"/>
  <c r="AE88" i="1"/>
  <c r="H157" i="1" l="1"/>
  <c r="H159" i="1" s="1"/>
  <c r="H161" i="1" s="1"/>
  <c r="D157" i="1"/>
  <c r="Y90" i="1"/>
  <c r="X89" i="1"/>
  <c r="S89" i="1"/>
  <c r="R88" i="1"/>
  <c r="AD88" i="1"/>
  <c r="AE89" i="1"/>
  <c r="I193" i="1" l="1"/>
  <c r="D159" i="1"/>
  <c r="G241" i="1" s="1"/>
  <c r="E157" i="1"/>
  <c r="H168" i="1"/>
  <c r="D167" i="1"/>
  <c r="D168" i="1" s="1"/>
  <c r="D178" i="1" s="1"/>
  <c r="R89" i="1"/>
  <c r="S90" i="1"/>
  <c r="X90" i="1"/>
  <c r="Y91" i="1"/>
  <c r="AD89" i="1"/>
  <c r="AE90" i="1"/>
  <c r="S4" i="5" l="1"/>
  <c r="G242" i="1"/>
  <c r="S3" i="5"/>
  <c r="S6" i="5"/>
  <c r="S5" i="5"/>
  <c r="S37" i="5"/>
  <c r="S38" i="5" s="1"/>
  <c r="S7" i="5"/>
  <c r="S21" i="5"/>
  <c r="S18" i="5"/>
  <c r="S20" i="5" s="1"/>
  <c r="S19" i="5" s="1"/>
  <c r="G243" i="1"/>
  <c r="D180" i="1"/>
  <c r="E178" i="1"/>
  <c r="D160" i="1"/>
  <c r="H162" i="1" s="1"/>
  <c r="C160" i="1"/>
  <c r="H160" i="1"/>
  <c r="H163" i="1"/>
  <c r="H193" i="1"/>
  <c r="H217" i="1" s="1"/>
  <c r="I217" i="1" s="1"/>
  <c r="I197" i="1"/>
  <c r="S91" i="1"/>
  <c r="R90" i="1"/>
  <c r="AE91" i="1"/>
  <c r="AD90" i="1"/>
  <c r="X91" i="1"/>
  <c r="Y92" i="1"/>
  <c r="D2" i="5" l="1"/>
  <c r="H197" i="1"/>
  <c r="I216" i="1"/>
  <c r="H216" i="1" s="1"/>
  <c r="E180" i="1"/>
  <c r="R91" i="1"/>
  <c r="S92" i="1"/>
  <c r="Y93" i="1"/>
  <c r="X92" i="1"/>
  <c r="AD91" i="1"/>
  <c r="AE92" i="1"/>
  <c r="E2" i="5" l="1"/>
  <c r="AE93" i="1"/>
  <c r="AD92" i="1"/>
  <c r="R92" i="1"/>
  <c r="S93" i="1"/>
  <c r="Y94" i="1"/>
  <c r="X93" i="1"/>
  <c r="R93" i="1" l="1"/>
  <c r="S94" i="1"/>
  <c r="Y95" i="1"/>
  <c r="X94" i="1"/>
  <c r="AD93" i="1"/>
  <c r="AE94" i="1"/>
  <c r="AE95" i="1" l="1"/>
  <c r="AD94" i="1"/>
  <c r="Y96" i="1"/>
  <c r="X95" i="1"/>
  <c r="R94" i="1"/>
  <c r="S95" i="1"/>
  <c r="Y97" i="1" l="1"/>
  <c r="X96" i="1"/>
  <c r="S96" i="1"/>
  <c r="R95" i="1"/>
  <c r="AE96" i="1"/>
  <c r="AD95" i="1"/>
  <c r="Y98" i="1" l="1"/>
  <c r="X97" i="1"/>
  <c r="AE97" i="1"/>
  <c r="AD96" i="1"/>
  <c r="R96" i="1"/>
  <c r="S97" i="1"/>
  <c r="S98" i="1" l="1"/>
  <c r="R97" i="1"/>
  <c r="Y99" i="1"/>
  <c r="X98" i="1"/>
  <c r="AE98" i="1"/>
  <c r="AD97" i="1"/>
  <c r="AD98" i="1" l="1"/>
  <c r="AE99" i="1"/>
  <c r="Y100" i="1"/>
  <c r="X99" i="1"/>
  <c r="S99" i="1"/>
  <c r="R98" i="1"/>
  <c r="X100" i="1" l="1"/>
  <c r="Y101" i="1"/>
  <c r="S100" i="1"/>
  <c r="R99" i="1"/>
  <c r="AE100" i="1"/>
  <c r="AD99" i="1"/>
  <c r="R100" i="1" l="1"/>
  <c r="S101" i="1"/>
  <c r="Y102" i="1"/>
  <c r="X101" i="1"/>
  <c r="AD100" i="1"/>
  <c r="AE101" i="1"/>
  <c r="Y103" i="1" l="1"/>
  <c r="X102" i="1"/>
  <c r="R101" i="1"/>
  <c r="S102" i="1"/>
  <c r="AD101" i="1"/>
  <c r="AE102" i="1"/>
  <c r="S103" i="1" l="1"/>
  <c r="R102" i="1"/>
  <c r="X103" i="1"/>
  <c r="Y104" i="1"/>
  <c r="AE103" i="1"/>
  <c r="AD102" i="1"/>
  <c r="AE104" i="1" l="1"/>
  <c r="AD103" i="1"/>
  <c r="Y105" i="1"/>
  <c r="X104" i="1"/>
  <c r="R103" i="1"/>
  <c r="S104" i="1"/>
  <c r="S105" i="1" l="1"/>
  <c r="R104" i="1"/>
  <c r="AE105" i="1"/>
  <c r="AD104" i="1"/>
  <c r="Y106" i="1"/>
  <c r="X105" i="1"/>
  <c r="Y107" i="1" l="1"/>
  <c r="X106" i="1"/>
  <c r="R105" i="1"/>
  <c r="S106" i="1"/>
  <c r="AD105" i="1"/>
  <c r="AE106" i="1"/>
  <c r="R106" i="1" l="1"/>
  <c r="S107" i="1"/>
  <c r="Y108" i="1"/>
  <c r="X107" i="1"/>
  <c r="AE107" i="1"/>
  <c r="AD106" i="1"/>
  <c r="X108" i="1" l="1"/>
  <c r="Y109" i="1"/>
  <c r="R107" i="1"/>
  <c r="S108" i="1"/>
  <c r="AE108" i="1"/>
  <c r="AD107" i="1"/>
  <c r="AE109" i="1" l="1"/>
  <c r="AD108" i="1"/>
  <c r="R108" i="1"/>
  <c r="S109" i="1"/>
  <c r="Y110" i="1"/>
  <c r="X109" i="1"/>
  <c r="S110" i="1" l="1"/>
  <c r="R109" i="1"/>
  <c r="AD109" i="1"/>
  <c r="AE110" i="1"/>
  <c r="Y111" i="1"/>
  <c r="X110" i="1"/>
  <c r="AD110" i="1" l="1"/>
  <c r="AE111" i="1"/>
  <c r="Y112" i="1"/>
  <c r="X111" i="1"/>
  <c r="R110" i="1"/>
  <c r="S111" i="1"/>
  <c r="AE112" i="1" l="1"/>
  <c r="AD111" i="1"/>
  <c r="S112" i="1"/>
  <c r="R111" i="1"/>
  <c r="Y113" i="1"/>
  <c r="X112" i="1"/>
  <c r="AD112" i="1" l="1"/>
  <c r="AE113" i="1"/>
  <c r="S113" i="1"/>
  <c r="R112" i="1"/>
  <c r="Y114" i="1"/>
  <c r="X113" i="1"/>
  <c r="AE114" i="1" l="1"/>
  <c r="AD113" i="1"/>
  <c r="X114" i="1"/>
  <c r="Y115" i="1"/>
  <c r="S114" i="1"/>
  <c r="R113" i="1"/>
  <c r="X115" i="1" l="1"/>
  <c r="Y116" i="1"/>
  <c r="S115" i="1"/>
  <c r="R114" i="1"/>
  <c r="AD114" i="1"/>
  <c r="AE115" i="1"/>
  <c r="AD115" i="1" l="1"/>
  <c r="AE116" i="1"/>
  <c r="Y117" i="1"/>
  <c r="X116" i="1"/>
  <c r="R115" i="1"/>
  <c r="S116" i="1"/>
  <c r="S117" i="1" l="1"/>
  <c r="R116" i="1"/>
  <c r="X117" i="1"/>
  <c r="Y118" i="1"/>
  <c r="AD116" i="1"/>
  <c r="AE117" i="1"/>
  <c r="Y119" i="1" l="1"/>
  <c r="X118" i="1"/>
  <c r="AD117" i="1"/>
  <c r="AE118" i="1"/>
  <c r="S118" i="1"/>
  <c r="R117" i="1"/>
  <c r="S119" i="1" l="1"/>
  <c r="R118" i="1"/>
  <c r="AD118" i="1"/>
  <c r="AE119" i="1"/>
  <c r="Y120" i="1"/>
  <c r="X119" i="1"/>
  <c r="AD119" i="1" l="1"/>
  <c r="AE120" i="1"/>
  <c r="X120" i="1"/>
  <c r="Y121" i="1"/>
  <c r="S120" i="1"/>
  <c r="R119" i="1"/>
  <c r="X121" i="1" l="1"/>
  <c r="Y122" i="1"/>
  <c r="AE121" i="1"/>
  <c r="AD120" i="1"/>
  <c r="S121" i="1"/>
  <c r="R120" i="1"/>
  <c r="B5" i="1" s="1"/>
  <c r="B9" i="1" s="1"/>
  <c r="B10" i="1" s="1"/>
  <c r="X122" i="1" l="1"/>
  <c r="Y123" i="1"/>
  <c r="B173" i="1"/>
  <c r="C173" i="1" s="1"/>
  <c r="D183" i="1" s="1"/>
  <c r="C8" i="1"/>
  <c r="C10" i="1" s="1"/>
  <c r="AE122" i="1"/>
  <c r="AD121" i="1"/>
  <c r="S122" i="1"/>
  <c r="R121" i="1"/>
  <c r="D8" i="5" l="1"/>
  <c r="E8" i="5" s="1"/>
  <c r="E12" i="5" s="1"/>
  <c r="AE123" i="1"/>
  <c r="AD122" i="1"/>
  <c r="Y124" i="1"/>
  <c r="X123" i="1"/>
  <c r="H194" i="1"/>
  <c r="E183" i="1"/>
  <c r="I194" i="1"/>
  <c r="I196" i="1" s="1"/>
  <c r="R122" i="1"/>
  <c r="S123" i="1"/>
  <c r="S124" i="1" l="1"/>
  <c r="R123" i="1"/>
  <c r="X124" i="1"/>
  <c r="Y125" i="1"/>
  <c r="H196" i="1"/>
  <c r="I215" i="1"/>
  <c r="H215" i="1" s="1"/>
  <c r="E187" i="1"/>
  <c r="E189" i="1"/>
  <c r="AD123" i="1"/>
  <c r="AE124" i="1"/>
  <c r="Y126" i="1" l="1"/>
  <c r="X125" i="1"/>
  <c r="S125" i="1"/>
  <c r="R124" i="1"/>
  <c r="AD124" i="1"/>
  <c r="AE125" i="1"/>
  <c r="AD125" i="1" l="1"/>
  <c r="AE126" i="1"/>
  <c r="S126" i="1"/>
  <c r="R125" i="1"/>
  <c r="X126" i="1"/>
  <c r="Y127" i="1"/>
  <c r="AE127" i="1" l="1"/>
  <c r="AD126" i="1"/>
  <c r="X127" i="1"/>
  <c r="Y128" i="1"/>
  <c r="S127" i="1"/>
  <c r="R126" i="1"/>
  <c r="R127" i="1" l="1"/>
  <c r="S128" i="1"/>
  <c r="Y129" i="1"/>
  <c r="X128" i="1"/>
  <c r="AD127" i="1"/>
  <c r="AE128" i="1"/>
  <c r="AD128" i="1" l="1"/>
  <c r="AE129" i="1"/>
  <c r="Y130" i="1"/>
  <c r="X129" i="1"/>
  <c r="S129" i="1"/>
  <c r="R128" i="1"/>
  <c r="Y131" i="1" l="1"/>
  <c r="X130" i="1"/>
  <c r="AD129" i="1"/>
  <c r="AE130" i="1"/>
  <c r="R129" i="1"/>
  <c r="S130" i="1"/>
  <c r="AE131" i="1" l="1"/>
  <c r="AD130" i="1"/>
  <c r="Y132" i="1"/>
  <c r="X131" i="1"/>
  <c r="R130" i="1"/>
  <c r="S131" i="1"/>
  <c r="AD131" i="1" l="1"/>
  <c r="AE132" i="1"/>
  <c r="Y133" i="1"/>
  <c r="X132" i="1"/>
  <c r="S132" i="1"/>
  <c r="R131" i="1"/>
  <c r="AE133" i="1" l="1"/>
  <c r="AD132" i="1"/>
  <c r="S133" i="1"/>
  <c r="R132" i="1"/>
  <c r="Y134" i="1"/>
  <c r="X133" i="1"/>
  <c r="Y135" i="1" l="1"/>
  <c r="X134" i="1"/>
  <c r="S134" i="1"/>
  <c r="R133" i="1"/>
  <c r="AE134" i="1"/>
  <c r="AD133" i="1"/>
  <c r="Y136" i="1" l="1"/>
  <c r="X135" i="1"/>
  <c r="R134" i="1"/>
  <c r="S135" i="1"/>
  <c r="AD134" i="1"/>
  <c r="AE135" i="1"/>
  <c r="S136" i="1" l="1"/>
  <c r="R135" i="1"/>
  <c r="X136" i="1"/>
  <c r="Y137" i="1"/>
  <c r="AE136" i="1"/>
  <c r="AD135" i="1"/>
  <c r="X137" i="1" l="1"/>
  <c r="Y138" i="1"/>
  <c r="AE137" i="1"/>
  <c r="AD136" i="1"/>
  <c r="R136" i="1"/>
  <c r="S137" i="1"/>
  <c r="AE138" i="1" l="1"/>
  <c r="AD137" i="1"/>
  <c r="X138" i="1"/>
  <c r="Y139" i="1"/>
  <c r="R137" i="1"/>
  <c r="S138" i="1"/>
  <c r="AE139" i="1" l="1"/>
  <c r="AD138" i="1"/>
  <c r="X139" i="1"/>
  <c r="Y140" i="1"/>
  <c r="S139" i="1"/>
  <c r="R138" i="1"/>
  <c r="X140" i="1" l="1"/>
  <c r="Y141" i="1"/>
  <c r="AD139" i="1"/>
  <c r="AE140" i="1"/>
  <c r="R139" i="1"/>
  <c r="S140" i="1"/>
  <c r="S141" i="1" l="1"/>
  <c r="R140" i="1"/>
  <c r="AE141" i="1"/>
  <c r="AD140" i="1"/>
  <c r="X141" i="1"/>
  <c r="Y142" i="1"/>
  <c r="AE142" i="1" l="1"/>
  <c r="AD141" i="1"/>
  <c r="X142" i="1"/>
  <c r="Y143" i="1"/>
  <c r="S142" i="1"/>
  <c r="R141" i="1"/>
  <c r="Y144" i="1" l="1"/>
  <c r="X143" i="1"/>
  <c r="S143" i="1"/>
  <c r="R142" i="1"/>
  <c r="AE143" i="1"/>
  <c r="AD142" i="1"/>
  <c r="Y145" i="1" l="1"/>
  <c r="X144" i="1"/>
  <c r="AD143" i="1"/>
  <c r="AE144" i="1"/>
  <c r="S144" i="1"/>
  <c r="R143" i="1"/>
  <c r="AD144" i="1" l="1"/>
  <c r="AE145" i="1"/>
  <c r="Y146" i="1"/>
  <c r="X145" i="1"/>
  <c r="S145" i="1"/>
  <c r="R144" i="1"/>
  <c r="Y147" i="1" l="1"/>
  <c r="X146" i="1"/>
  <c r="R145" i="1"/>
  <c r="S146" i="1"/>
  <c r="AE146" i="1"/>
  <c r="AD145" i="1"/>
  <c r="S147" i="1" l="1"/>
  <c r="R146" i="1"/>
  <c r="X147" i="1"/>
  <c r="Y148" i="1"/>
  <c r="AE147" i="1"/>
  <c r="AD146" i="1"/>
  <c r="AE148" i="1" l="1"/>
  <c r="AD147" i="1"/>
  <c r="Y149" i="1"/>
  <c r="X148" i="1"/>
  <c r="R147" i="1"/>
  <c r="S148" i="1"/>
  <c r="S149" i="1" l="1"/>
  <c r="R148" i="1"/>
  <c r="Y150" i="1"/>
  <c r="X149" i="1"/>
  <c r="AE149" i="1"/>
  <c r="AD148" i="1"/>
  <c r="AD149" i="1" l="1"/>
  <c r="AE150" i="1"/>
  <c r="X150" i="1"/>
  <c r="Y151" i="1"/>
  <c r="S150" i="1"/>
  <c r="R149" i="1"/>
  <c r="R150" i="1" l="1"/>
  <c r="S151" i="1"/>
  <c r="AE151" i="1"/>
  <c r="AD150" i="1"/>
  <c r="Y152" i="1"/>
  <c r="X151" i="1"/>
  <c r="AD151" i="1" l="1"/>
  <c r="AE152" i="1"/>
  <c r="S152" i="1"/>
  <c r="R151" i="1"/>
  <c r="X152" i="1"/>
  <c r="Y153" i="1"/>
  <c r="R152" i="1" l="1"/>
  <c r="S153" i="1"/>
  <c r="AD152" i="1"/>
  <c r="AE153" i="1"/>
  <c r="X153" i="1"/>
  <c r="Y154" i="1"/>
  <c r="X154" i="1" s="1"/>
  <c r="AE154" i="1" l="1"/>
  <c r="AD154" i="1" s="1"/>
  <c r="AD153" i="1"/>
  <c r="R153" i="1"/>
  <c r="S154" i="1"/>
  <c r="S155" i="1" l="1"/>
  <c r="R154" i="1"/>
  <c r="R155" i="1" l="1"/>
  <c r="S156" i="1"/>
  <c r="R156" i="1" l="1"/>
  <c r="S157" i="1"/>
  <c r="R157" i="1" l="1"/>
  <c r="S158" i="1"/>
  <c r="S159" i="1" l="1"/>
  <c r="R158" i="1"/>
  <c r="R159" i="1" l="1"/>
  <c r="S160" i="1"/>
  <c r="R160" i="1" l="1"/>
  <c r="S161" i="1"/>
  <c r="S162" i="1" l="1"/>
  <c r="R161" i="1"/>
  <c r="R162" i="1" l="1"/>
  <c r="S163" i="1"/>
  <c r="R163" i="1" l="1"/>
  <c r="S164" i="1"/>
  <c r="S165" i="1" l="1"/>
  <c r="R164" i="1"/>
  <c r="S166" i="1" l="1"/>
  <c r="R165" i="1"/>
  <c r="R166" i="1" l="1"/>
  <c r="S167" i="1"/>
  <c r="R167" i="1" l="1"/>
  <c r="S168" i="1"/>
  <c r="S169" i="1" l="1"/>
  <c r="R168" i="1"/>
  <c r="R169" i="1" l="1"/>
  <c r="S170" i="1"/>
  <c r="R170" i="1" l="1"/>
  <c r="S171" i="1"/>
  <c r="S172" i="1" l="1"/>
  <c r="R171" i="1"/>
  <c r="S173" i="1" l="1"/>
  <c r="R172" i="1"/>
  <c r="R173" i="1" l="1"/>
  <c r="S174" i="1"/>
  <c r="R174" i="1" l="1"/>
  <c r="S175" i="1"/>
  <c r="S176" i="1" l="1"/>
  <c r="R175" i="1"/>
  <c r="S177" i="1" l="1"/>
  <c r="R176" i="1"/>
  <c r="R177" i="1" l="1"/>
  <c r="S178" i="1"/>
  <c r="R178" i="1" l="1"/>
  <c r="S179" i="1"/>
  <c r="R179" i="1" l="1"/>
  <c r="S180" i="1"/>
  <c r="S181" i="1" l="1"/>
  <c r="R180" i="1"/>
  <c r="S182" i="1" l="1"/>
  <c r="R181" i="1"/>
  <c r="R182" i="1" l="1"/>
  <c r="S183" i="1"/>
  <c r="R183" i="1" l="1"/>
  <c r="S184" i="1"/>
  <c r="S185" i="1" l="1"/>
  <c r="R184" i="1"/>
  <c r="S186" i="1" l="1"/>
  <c r="R185" i="1"/>
  <c r="S187" i="1" l="1"/>
  <c r="R186" i="1"/>
  <c r="S188" i="1" l="1"/>
  <c r="R187" i="1"/>
  <c r="S189" i="1" l="1"/>
  <c r="R188" i="1"/>
  <c r="R189" i="1" l="1"/>
  <c r="S190" i="1"/>
  <c r="R190" i="1" l="1"/>
  <c r="S191" i="1"/>
  <c r="S192" i="1" l="1"/>
  <c r="R191" i="1"/>
  <c r="R192" i="1" l="1"/>
  <c r="S193" i="1"/>
  <c r="R193" i="1" l="1"/>
  <c r="S194" i="1"/>
  <c r="R194" i="1" l="1"/>
  <c r="S195" i="1"/>
  <c r="R195" i="1" l="1"/>
  <c r="S196" i="1"/>
  <c r="S197" i="1" l="1"/>
  <c r="R196" i="1"/>
  <c r="S198" i="1" l="1"/>
  <c r="R197" i="1"/>
  <c r="R198" i="1" l="1"/>
  <c r="S199" i="1"/>
  <c r="R199" i="1" l="1"/>
  <c r="S200" i="1"/>
  <c r="S201" i="1" l="1"/>
  <c r="R200" i="1"/>
  <c r="R201" i="1" l="1"/>
  <c r="S202" i="1"/>
  <c r="S203" i="1" l="1"/>
  <c r="R203" i="1" s="1"/>
  <c r="R20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tc={6A2C02F8-48BD-49FD-818F-244A0F0B6B05}</author>
    <author>tc={FC27EB42-F107-4747-B8E6-54796E830985}</author>
    <author>tc={ADBC5D3B-E309-416D-A853-33F40773F4E4}</author>
    <author>tc={BD024CA7-F18E-4679-B77C-25E1F6239D8B}</author>
  </authors>
  <commentList>
    <comment ref="A4" authorId="0" shapeId="0" xr:uid="{6A2C02F8-48BD-49FD-818F-244A0F0B6B05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will be filled when we click on Generate Time file button.
Format: mmddyy-hhmmss</t>
      </text>
    </comment>
    <comment ref="C4" authorId="1" shapeId="0" xr:uid="{FC27EB42-F107-4747-B8E6-54796E830985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the date when the quote is generated</t>
      </text>
    </comment>
    <comment ref="D4" authorId="2" shapeId="0" xr:uid="{ADBC5D3B-E309-416D-A853-33F40773F4E4}">
      <text>
        <t>[Threaded comment]
Your version of Excel allows you to read this threaded comment; however, any edits to it will get removed if the file is opened in a newer version of Excel. Learn more: https://go.microsoft.com/fwlink/?linkid=870924
Comment:
    Status:
1. Pending: When Time file is generated but the quote is not printed
2. Done: When the quote is printed</t>
      </text>
    </comment>
    <comment ref="F4" authorId="3" shapeId="0" xr:uid="{BD024CA7-F18E-4679-B77C-25E1F6239D8B}">
      <text>
        <t>[Threaded comment]
Your version of Excel allows you to read this threaded comment; however, any edits to it will get removed if the file is opened in a newer version of Excel. Learn more: https://go.microsoft.com/fwlink/?linkid=870924
Comment:
    Category:
Proto Type
Low Volume
High Volume</t>
      </text>
    </comment>
  </commentList>
</comments>
</file>

<file path=xl/sharedStrings.xml><?xml version="1.0" encoding="utf-8"?>
<sst xmlns="http://schemas.openxmlformats.org/spreadsheetml/2006/main" count="2747" uniqueCount="884">
  <si>
    <t xml:space="preserve">Programming </t>
  </si>
  <si>
    <t>INSERT (see note 1.1)</t>
  </si>
  <si>
    <t>table 1</t>
  </si>
  <si>
    <t>Table 2</t>
  </si>
  <si>
    <t>difference of time when increase of 10 boards</t>
  </si>
  <si>
    <t>Programming</t>
  </si>
  <si>
    <t>CP SETUP</t>
  </si>
  <si>
    <t>IP SETUP</t>
  </si>
  <si>
    <t>One sided standard time Adjust Gerber Files</t>
  </si>
  <si>
    <t>QUANTITY AND PCB INFO</t>
  </si>
  <si>
    <t>number of components</t>
  </si>
  <si>
    <t>time for smt inspection</t>
  </si>
  <si>
    <t>reflow</t>
  </si>
  <si>
    <t>time</t>
  </si>
  <si>
    <t>Setup</t>
  </si>
  <si>
    <t>Double sided</t>
  </si>
  <si>
    <t>Number of boards in pannel(put 1 if just one)</t>
  </si>
  <si>
    <t>Type of board</t>
  </si>
  <si>
    <t>number of lines</t>
  </si>
  <si>
    <t>total time for programming</t>
  </si>
  <si>
    <t>Amt of more time it takes with each added line in the bom</t>
  </si>
  <si>
    <t>Change only this column</t>
  </si>
  <si>
    <t># of feeders</t>
  </si>
  <si>
    <t>setup</t>
  </si>
  <si>
    <t>Amt of more time it takes with each added feeder</t>
  </si>
  <si>
    <t>Pick and place</t>
  </si>
  <si>
    <t>Quantity of Boards to assemble</t>
  </si>
  <si>
    <t>bom between 1-5 lines</t>
  </si>
  <si>
    <t>Bom and pd's</t>
  </si>
  <si>
    <t>setup between 1-5 feeders</t>
  </si>
  <si>
    <t>Special</t>
  </si>
  <si>
    <t>if extra time for programming needed add here</t>
  </si>
  <si>
    <t>Programming printer one side</t>
  </si>
  <si>
    <t>double side (insert 1 if yes)</t>
  </si>
  <si>
    <t>Program printer second side</t>
  </si>
  <si>
    <t>Total Number of lines in BOM</t>
  </si>
  <si>
    <t>Total time programming</t>
  </si>
  <si>
    <t>Days</t>
  </si>
  <si>
    <t>total number of smt placement per pcb</t>
  </si>
  <si>
    <t>Bom between 6-15 lines</t>
  </si>
  <si>
    <t>Programming time</t>
  </si>
  <si>
    <t># of CP feeders</t>
  </si>
  <si>
    <t>setup between 6-15 feeders</t>
  </si>
  <si>
    <t>total # cp parts per pcb</t>
  </si>
  <si>
    <t>SETUP</t>
  </si>
  <si>
    <t># IP feeders</t>
  </si>
  <si>
    <t>Printer Setup</t>
  </si>
  <si>
    <t>total # ip parts per pcb</t>
  </si>
  <si>
    <t>printer setup one side</t>
  </si>
  <si>
    <t>man smt parts per pcb(top and bottom</t>
  </si>
  <si>
    <t>Second side printer setup</t>
  </si>
  <si>
    <t>th parts per board</t>
  </si>
  <si>
    <t>Total time for printer setup</t>
  </si>
  <si>
    <t>number of th pins per pcb</t>
  </si>
  <si>
    <t>CP/IP Setup</t>
  </si>
  <si>
    <t>Time to load all feeders -  CP</t>
  </si>
  <si>
    <t>current</t>
  </si>
  <si>
    <t>general</t>
  </si>
  <si>
    <t>Bom between 16-25 lines</t>
  </si>
  <si>
    <t>Time to load all feeders -  IP</t>
  </si>
  <si>
    <t>programming pick and place</t>
  </si>
  <si>
    <t>setup between 16-25 feeders</t>
  </si>
  <si>
    <t>Loading CP Machine</t>
  </si>
  <si>
    <t>program one side Gerber only</t>
  </si>
  <si>
    <t>Unloading CP Machine</t>
  </si>
  <si>
    <t>BOM and pd's</t>
  </si>
  <si>
    <t>see chart on right</t>
  </si>
  <si>
    <t>Loading IP Machine</t>
  </si>
  <si>
    <t>Unloading IP Machine</t>
  </si>
  <si>
    <t>Printer program</t>
  </si>
  <si>
    <t>Managing Components+sorting components</t>
  </si>
  <si>
    <t>Total Setup time</t>
  </si>
  <si>
    <t xml:space="preserve">Standard managing the components time </t>
  </si>
  <si>
    <t>Time to sort each individual part</t>
  </si>
  <si>
    <t>SMT PRODUCTION</t>
  </si>
  <si>
    <t>time for each printing(with handling)</t>
  </si>
  <si>
    <t>Printing(TIME FOR EACH PRINT)</t>
  </si>
  <si>
    <t>Printer setup for one side</t>
  </si>
  <si>
    <t>Bom between 25-35 lines</t>
  </si>
  <si>
    <t>total printing time(one side)</t>
  </si>
  <si>
    <t>time to load stencil</t>
  </si>
  <si>
    <t>setup between 25-35 feeders</t>
  </si>
  <si>
    <t xml:space="preserve">TIME TO load/unload stencil stencil </t>
  </si>
  <si>
    <t>Handling time</t>
  </si>
  <si>
    <t>cp cph</t>
  </si>
  <si>
    <t>total handling time</t>
  </si>
  <si>
    <t>time to Load each feeder into machine</t>
  </si>
  <si>
    <t>total time to print one side</t>
  </si>
  <si>
    <t>total # cp parts per pannel</t>
  </si>
  <si>
    <t>double side time percentage mutiply by?</t>
  </si>
  <si>
    <t>ip cph</t>
  </si>
  <si>
    <t>time for print of second side</t>
  </si>
  <si>
    <t>time for setting up printer for top side</t>
  </si>
  <si>
    <t>total # ip parts per pannel</t>
  </si>
  <si>
    <t>total time for printing top side</t>
  </si>
  <si>
    <t>Total man smt in whole assembly</t>
  </si>
  <si>
    <t>total time printing per unit</t>
  </si>
  <si>
    <t>manual smt parts (time for each)</t>
  </si>
  <si>
    <t>Bom between 35 and 50 lines</t>
  </si>
  <si>
    <t>total time per pannel</t>
  </si>
  <si>
    <t>If manual smt part then:</t>
  </si>
  <si>
    <t>do not touch formula on right</t>
  </si>
  <si>
    <t>setup between 35 and 50 feeders</t>
  </si>
  <si>
    <t>ttl printer time</t>
  </si>
  <si>
    <t xml:space="preserve">Reflow </t>
  </si>
  <si>
    <t>ttl printing time complete assembly</t>
  </si>
  <si>
    <t>Smt Inspection time</t>
  </si>
  <si>
    <t>Total smt run time complete assembly</t>
  </si>
  <si>
    <t>Comments</t>
  </si>
  <si>
    <t>handling time</t>
  </si>
  <si>
    <t>SMT cph</t>
  </si>
  <si>
    <t>connected to quantity</t>
  </si>
  <si>
    <t>TH</t>
  </si>
  <si>
    <t>time per unit(top side)(see note 1.2)</t>
  </si>
  <si>
    <t>th parts per pannel</t>
  </si>
  <si>
    <t>Total number of th pins in whole assembly</t>
  </si>
  <si>
    <t>machine time</t>
  </si>
  <si>
    <t>time to place through hole part</t>
  </si>
  <si>
    <t>Bom between 45 and 60 lines</t>
  </si>
  <si>
    <t>total time</t>
  </si>
  <si>
    <t>time for each pin</t>
  </si>
  <si>
    <t>setup between 45 and 60 feeders</t>
  </si>
  <si>
    <t>inspections time to get one side going(depends on number of lines in bom</t>
  </si>
  <si>
    <t>th time inspection of each part</t>
  </si>
  <si>
    <t>total time for one side</t>
  </si>
  <si>
    <t xml:space="preserve">Washing+Drying(each pannel) </t>
  </si>
  <si>
    <t>double side time percentage</t>
  </si>
  <si>
    <t>Depannelize</t>
  </si>
  <si>
    <t>time for smt second side</t>
  </si>
  <si>
    <t>Time to depannelize each board</t>
  </si>
  <si>
    <t>inspections time to get second side going</t>
  </si>
  <si>
    <t>Pack</t>
  </si>
  <si>
    <t>total time for second side</t>
  </si>
  <si>
    <t>packing each board</t>
  </si>
  <si>
    <t>Total time per unit(top and bottom full smt)</t>
  </si>
  <si>
    <t>miscellaneous time each unit</t>
  </si>
  <si>
    <t>Total smt time CP</t>
  </si>
  <si>
    <t>Miscellaneous time whole order</t>
  </si>
  <si>
    <t>Total smt run time</t>
  </si>
  <si>
    <t>inspections time to get one side going(depends on number of lines in bom)</t>
  </si>
  <si>
    <t>time to get going</t>
  </si>
  <si>
    <t>IP CPH</t>
  </si>
  <si>
    <t>Conformal Coating</t>
  </si>
  <si>
    <t>number of parts to mask for coating</t>
  </si>
  <si>
    <t>time for masking each component</t>
  </si>
  <si>
    <t>Time for Demasking one part</t>
  </si>
  <si>
    <t>time to spray one pannel</t>
  </si>
  <si>
    <t>Bom Between 60 and 70 lines</t>
  </si>
  <si>
    <t>setup Between 60 and 70 feeders</t>
  </si>
  <si>
    <t>connected to table 1</t>
  </si>
  <si>
    <t>Total smt time IP</t>
  </si>
  <si>
    <t>Bom between 70-80 lines</t>
  </si>
  <si>
    <t>number of manual smt part</t>
  </si>
  <si>
    <t>setup between 70-80 feeders</t>
  </si>
  <si>
    <t xml:space="preserve">time to get process going </t>
  </si>
  <si>
    <t>total manual smt time per unit</t>
  </si>
  <si>
    <t>man smt time</t>
  </si>
  <si>
    <t>Total man SMT time</t>
  </si>
  <si>
    <t>total reflow time one side</t>
  </si>
  <si>
    <t>SMT reflow second side side</t>
  </si>
  <si>
    <t>BOM between 80 to 100 lines</t>
  </si>
  <si>
    <t>time for reflow second side</t>
  </si>
  <si>
    <t>setup between 80 to 100 feeders</t>
  </si>
  <si>
    <t>total reflow time one unit</t>
  </si>
  <si>
    <t>reflow time</t>
  </si>
  <si>
    <t>Total reflow time</t>
  </si>
  <si>
    <t>total smt time per unit</t>
  </si>
  <si>
    <t>total smt time</t>
  </si>
  <si>
    <t>number of through hole pins for the whole assembly</t>
  </si>
  <si>
    <t>time for soldering all the pins on the whole assembly</t>
  </si>
  <si>
    <t>time to get process started</t>
  </si>
  <si>
    <t>total number of th parts per pannel</t>
  </si>
  <si>
    <t>time to place through hole parts on each board</t>
  </si>
  <si>
    <t>time to place through hole part for whole assembly</t>
  </si>
  <si>
    <t xml:space="preserve">TH time for each INDIVIDUAL board </t>
  </si>
  <si>
    <t>TH time for each pannel</t>
  </si>
  <si>
    <t>th time</t>
  </si>
  <si>
    <t>BOM OVER 100 lines</t>
  </si>
  <si>
    <t xml:space="preserve">Total th time </t>
  </si>
  <si>
    <t>setup OVER 100 feeders</t>
  </si>
  <si>
    <t>Total miscellaneous</t>
  </si>
  <si>
    <t>Washing+Drying</t>
  </si>
  <si>
    <t>total th time</t>
  </si>
  <si>
    <t>total time for washing + time to get going</t>
  </si>
  <si>
    <t>Conformal coating</t>
  </si>
  <si>
    <t>number of parts to mask</t>
  </si>
  <si>
    <t>Total time for one unit</t>
  </si>
  <si>
    <t>number of parts to demask</t>
  </si>
  <si>
    <t>total time for one unit</t>
  </si>
  <si>
    <t>total time for masking/demasking whole assembly</t>
  </si>
  <si>
    <t xml:space="preserve">Spraying </t>
  </si>
  <si>
    <t>time to setup</t>
  </si>
  <si>
    <t>total time for spraying whole assembly</t>
  </si>
  <si>
    <t>total time to depannelize whole assembly+time to get going</t>
  </si>
  <si>
    <t>SMT Inspection-touchup one side</t>
  </si>
  <si>
    <t>Pay attention</t>
  </si>
  <si>
    <t>total inspection time one side</t>
  </si>
  <si>
    <t>SMT Inspection-touchup second side side</t>
  </si>
  <si>
    <t>time for inspection second side</t>
  </si>
  <si>
    <t>total inspection time per unit</t>
  </si>
  <si>
    <t>total inspection time complete assembly</t>
  </si>
  <si>
    <t>TH Inspection</t>
  </si>
  <si>
    <t>total time for th inspection</t>
  </si>
  <si>
    <t xml:space="preserve">Packing </t>
  </si>
  <si>
    <t>Number of hours to pack</t>
  </si>
  <si>
    <t>Boxing and packing slip</t>
  </si>
  <si>
    <t>Days to pack</t>
  </si>
  <si>
    <t>total time for packing+time to get going</t>
  </si>
  <si>
    <t>Grand total time for assembly</t>
  </si>
  <si>
    <t>Days for assembly</t>
  </si>
  <si>
    <t>fix</t>
  </si>
  <si>
    <t>BOM OVER 150 lines</t>
  </si>
  <si>
    <t xml:space="preserve">Assembly Calculator </t>
  </si>
  <si>
    <t>time format Multiplied by 24 and moved comma</t>
  </si>
  <si>
    <t>price</t>
  </si>
  <si>
    <t>unit cost</t>
  </si>
  <si>
    <t>Actual cost</t>
  </si>
  <si>
    <t>Labour</t>
  </si>
  <si>
    <t>smt time (without programming)</t>
  </si>
  <si>
    <t>SMT</t>
  </si>
  <si>
    <t>Total Labour + SMT only</t>
  </si>
  <si>
    <t>Total cost</t>
  </si>
  <si>
    <t>per unit price</t>
  </si>
  <si>
    <t>Charging per hour</t>
  </si>
  <si>
    <t>Profit</t>
  </si>
  <si>
    <t>Cost Unit Price</t>
  </si>
  <si>
    <t>Profit per unit</t>
  </si>
  <si>
    <t>Material</t>
  </si>
  <si>
    <t>Profit in percentage per piece</t>
  </si>
  <si>
    <t>Miscellaneous cost(Conformal Coating/ Xray) per unit</t>
  </si>
  <si>
    <t>Pcb's + procurement</t>
  </si>
  <si>
    <t>Weeks</t>
  </si>
  <si>
    <t xml:space="preserve">Components + procurement </t>
  </si>
  <si>
    <t>Months</t>
  </si>
  <si>
    <t xml:space="preserve">Total Price without NRE </t>
  </si>
  <si>
    <t>Years</t>
  </si>
  <si>
    <t>Unit Price</t>
  </si>
  <si>
    <t>NRE Charges</t>
  </si>
  <si>
    <t>Stencil</t>
  </si>
  <si>
    <t>PCB ASSY Programming (non recurring charges)</t>
  </si>
  <si>
    <t>Only Use this for a repeat order</t>
  </si>
  <si>
    <t>PCB FAB Engineering (non recurring charges)</t>
  </si>
  <si>
    <t>Miscelanneous NRE</t>
  </si>
  <si>
    <t>ITEM</t>
  </si>
  <si>
    <t>Description</t>
  </si>
  <si>
    <t xml:space="preserve">Quantity </t>
  </si>
  <si>
    <t>Subtotal</t>
  </si>
  <si>
    <t>Additional Features</t>
  </si>
  <si>
    <t>Conformal Coating/ Xray</t>
  </si>
  <si>
    <t>Do not do sum</t>
  </si>
  <si>
    <t>Tooling and NRE for New orders Only</t>
  </si>
  <si>
    <t>(Non Recurring Charge)</t>
  </si>
  <si>
    <t>Stencil for Assembly</t>
  </si>
  <si>
    <t>PCB FAB</t>
  </si>
  <si>
    <t>Misc. NRE on Whole Order</t>
  </si>
  <si>
    <t>Total NRE Charges</t>
  </si>
  <si>
    <t>Discount</t>
  </si>
  <si>
    <t>Total</t>
  </si>
  <si>
    <t>Price Breakdown</t>
  </si>
  <si>
    <t>PCB Assembly</t>
  </si>
  <si>
    <t>Quantity</t>
  </si>
  <si>
    <t xml:space="preserve">Rate per type </t>
  </si>
  <si>
    <t>Assembly</t>
  </si>
  <si>
    <t xml:space="preserve">labour rate </t>
  </si>
  <si>
    <t>smt rate</t>
  </si>
  <si>
    <t>With recurring charge</t>
  </si>
  <si>
    <t>Programming Quantity Put 0 if none put 1 if available</t>
  </si>
  <si>
    <t>Without recurring charge</t>
  </si>
  <si>
    <t>Stencil Quantity</t>
  </si>
  <si>
    <t>PCB Fabrication</t>
  </si>
  <si>
    <t>Board name</t>
  </si>
  <si>
    <t>PCB price</t>
  </si>
  <si>
    <t>PCB NRE</t>
  </si>
  <si>
    <t>This will be 1, if pcb cost entered</t>
  </si>
  <si>
    <t>Markup Percent</t>
  </si>
  <si>
    <t>PCB Procurement Charge</t>
  </si>
  <si>
    <t>PCB procurement charge</t>
  </si>
  <si>
    <t>markup amount</t>
  </si>
  <si>
    <t>PCB Price</t>
  </si>
  <si>
    <t>total</t>
  </si>
  <si>
    <t>Without Recurring Charge</t>
  </si>
  <si>
    <t>Components</t>
  </si>
  <si>
    <t>This will be 1, if component cost entered</t>
  </si>
  <si>
    <t>Component Procurement Charge</t>
  </si>
  <si>
    <t>Components Procurement Charge</t>
  </si>
  <si>
    <t>Component Cost</t>
  </si>
  <si>
    <t>Miscellaneous</t>
  </si>
  <si>
    <t>Miscelanneous Non recurring charge On whole order</t>
  </si>
  <si>
    <t>Miscelanneous (Conformal Coating/X ray)</t>
  </si>
  <si>
    <t>Order Type</t>
  </si>
  <si>
    <t>PCB Assy, Comp Proc, PCB Fab</t>
  </si>
  <si>
    <t>Assembly Only</t>
  </si>
  <si>
    <t>Assembly only</t>
  </si>
  <si>
    <t>Without Recurring Charge(price to use for repeat orders)</t>
  </si>
  <si>
    <t>Turnkey</t>
  </si>
  <si>
    <t>Consignment</t>
  </si>
  <si>
    <t>Materials Only</t>
  </si>
  <si>
    <t>Tooling and Non recurring Charges for New orders Only</t>
  </si>
  <si>
    <t>Total Non Recurring Charges</t>
  </si>
  <si>
    <r>
      <rPr>
        <u/>
        <sz val="11"/>
        <color theme="1"/>
        <rFont val="Calibri"/>
        <family val="2"/>
        <scheme val="minor"/>
      </rPr>
      <t xml:space="preserve">Actual </t>
    </r>
    <r>
      <rPr>
        <sz val="10"/>
        <rFont val="Arial"/>
        <family val="2"/>
      </rPr>
      <t>Quantity of pannels</t>
    </r>
  </si>
  <si>
    <r>
      <rPr>
        <u/>
        <sz val="11"/>
        <color theme="1"/>
        <rFont val="Calibri"/>
        <family val="2"/>
        <scheme val="minor"/>
      </rPr>
      <t>Actual</t>
    </r>
    <r>
      <rPr>
        <sz val="10"/>
        <rFont val="Arial"/>
        <family val="2"/>
      </rPr>
      <t xml:space="preserve"> number of smt placement per pannel</t>
    </r>
  </si>
  <si>
    <t>hourly rate</t>
  </si>
  <si>
    <t>Price breakdown not needed</t>
  </si>
  <si>
    <t>Price breakdown needed</t>
  </si>
  <si>
    <t>QUOTE</t>
  </si>
  <si>
    <t>5580 Vanden Abeele,</t>
  </si>
  <si>
    <t>Date:</t>
  </si>
  <si>
    <t>Expiration:</t>
  </si>
  <si>
    <t>Currency:</t>
  </si>
  <si>
    <t>Lead time:</t>
  </si>
  <si>
    <t>30 days</t>
  </si>
  <si>
    <t>CAD</t>
  </si>
  <si>
    <t>To:</t>
  </si>
  <si>
    <t>Quote Number</t>
  </si>
  <si>
    <t>F.O.B. POINT</t>
  </si>
  <si>
    <t>TERMS</t>
  </si>
  <si>
    <t>Anas Patel</t>
  </si>
  <si>
    <t>Status</t>
  </si>
  <si>
    <t>PCB Procurement Charges</t>
  </si>
  <si>
    <t>Components Procurement Charges</t>
  </si>
  <si>
    <t>Miscelanneous</t>
  </si>
  <si>
    <t>A1</t>
  </si>
  <si>
    <t>B1</t>
  </si>
  <si>
    <t>C1</t>
  </si>
  <si>
    <t>D1</t>
  </si>
  <si>
    <t>Without Recurring Charge (price to use for repeat orders)</t>
  </si>
  <si>
    <t>Customer PN</t>
  </si>
  <si>
    <t>MFR PN</t>
  </si>
  <si>
    <t>MFR Name</t>
  </si>
  <si>
    <t>Cost in Quote</t>
  </si>
  <si>
    <t>Qty 1</t>
  </si>
  <si>
    <t>Qty 2</t>
  </si>
  <si>
    <t>Qty 3</t>
  </si>
  <si>
    <t>Qty 4</t>
  </si>
  <si>
    <t>Quantities</t>
  </si>
  <si>
    <t>Sheets</t>
  </si>
  <si>
    <t>Labour rate</t>
  </si>
  <si>
    <t>SMT RATE</t>
  </si>
  <si>
    <t>Board Name</t>
  </si>
  <si>
    <t>R.S. Électronique Inc.</t>
  </si>
  <si>
    <t>Additional features charged per pcb</t>
  </si>
  <si>
    <t>Rate</t>
  </si>
  <si>
    <t>Additional Feature Charged per PCB</t>
  </si>
  <si>
    <t>Lead time 1:</t>
  </si>
  <si>
    <t>Lead time 2:</t>
  </si>
  <si>
    <t>www.rspcbassembly.com</t>
  </si>
  <si>
    <t>Québec, H4S1P9</t>
  </si>
  <si>
    <t>Tél. / Tel : 438-833-8477</t>
  </si>
  <si>
    <t>Bom Name:</t>
  </si>
  <si>
    <t>Rev:</t>
  </si>
  <si>
    <t>Global Manufacturing Package:</t>
  </si>
  <si>
    <t>PCB Name:</t>
  </si>
  <si>
    <t>Note 1</t>
  </si>
  <si>
    <t>Note 2</t>
  </si>
  <si>
    <t>Note 3</t>
  </si>
  <si>
    <t>See Notes Below</t>
  </si>
  <si>
    <t>Global Quote NUMBER</t>
  </si>
  <si>
    <t>Actual Quote Number (with Revisions)</t>
  </si>
  <si>
    <t>Qty</t>
  </si>
  <si>
    <t>Quoted By</t>
  </si>
  <si>
    <t>Qty Per Board</t>
  </si>
  <si>
    <t>QTY Per Board</t>
  </si>
  <si>
    <t>Solder Type</t>
  </si>
  <si>
    <t>IPC Class</t>
  </si>
  <si>
    <t>minutes</t>
  </si>
  <si>
    <t>Hourly Rate</t>
  </si>
  <si>
    <t>Piyush</t>
  </si>
  <si>
    <t>Administration</t>
  </si>
  <si>
    <t>Anas</t>
  </si>
  <si>
    <t>order material</t>
  </si>
  <si>
    <t>Gilberto</t>
  </si>
  <si>
    <t>General Labour</t>
  </si>
  <si>
    <t>Porgramming0</t>
  </si>
  <si>
    <t>Skilled Labour</t>
  </si>
  <si>
    <t>Father</t>
  </si>
  <si>
    <t>Touchup + TH</t>
  </si>
  <si>
    <t>Kim</t>
  </si>
  <si>
    <t>overhead rate:</t>
  </si>
  <si>
    <t>TOTAL COST</t>
  </si>
  <si>
    <t>we charged</t>
  </si>
  <si>
    <t>margin</t>
  </si>
  <si>
    <t>Receiving order, plus invoicing</t>
  </si>
  <si>
    <t>Shipping, cleanning packing</t>
  </si>
  <si>
    <t>Calculcation for the timing in HRS</t>
  </si>
  <si>
    <t>profit in $</t>
  </si>
  <si>
    <t>Qty1</t>
  </si>
  <si>
    <t>Qty3</t>
  </si>
  <si>
    <t>Qty4</t>
  </si>
  <si>
    <t>PCB Cost</t>
  </si>
  <si>
    <t>shipping</t>
  </si>
  <si>
    <t>Assy Price we charged</t>
  </si>
  <si>
    <t>ASSEMBLY COST</t>
  </si>
  <si>
    <t>Total Cost</t>
  </si>
  <si>
    <t>Total Margin</t>
  </si>
  <si>
    <t>Total Profit</t>
  </si>
  <si>
    <t>Total PCB Price</t>
  </si>
  <si>
    <t>Total Price</t>
  </si>
  <si>
    <t>Markup Amount</t>
  </si>
  <si>
    <t>Procurement Fee</t>
  </si>
  <si>
    <t>PCB Procurement</t>
  </si>
  <si>
    <t>PCB Markup</t>
  </si>
  <si>
    <t>Component Markup</t>
  </si>
  <si>
    <t xml:space="preserve"> </t>
  </si>
  <si>
    <t>Shipping</t>
  </si>
  <si>
    <t>Assy + Markup on  Mat.</t>
  </si>
  <si>
    <t>See individual unit price</t>
  </si>
  <si>
    <t>Conformal Coating/X ray</t>
  </si>
  <si>
    <t>sheet_name</t>
  </si>
  <si>
    <t>date_quoted</t>
  </si>
  <si>
    <t>status</t>
  </si>
  <si>
    <t>quote_no</t>
  </si>
  <si>
    <t>quote_category</t>
  </si>
  <si>
    <t>bom_name</t>
  </si>
  <si>
    <t>gerber_name</t>
  </si>
  <si>
    <t>qty1_qty</t>
  </si>
  <si>
    <t>qty1_labour</t>
  </si>
  <si>
    <t>qty1_smt</t>
  </si>
  <si>
    <t>qty1_unitprice</t>
  </si>
  <si>
    <t>qty1_pcbMarkup</t>
  </si>
  <si>
    <t>qty1_componentMarkup</t>
  </si>
  <si>
    <t>qty2_qty</t>
  </si>
  <si>
    <t>qty2_labour</t>
  </si>
  <si>
    <t>qty2_smt</t>
  </si>
  <si>
    <t>qty2_unitprice</t>
  </si>
  <si>
    <t>qty2_pcbMarkup</t>
  </si>
  <si>
    <t>qty2_componentMarkup</t>
  </si>
  <si>
    <t>qty3_qty</t>
  </si>
  <si>
    <t>qty3_labour</t>
  </si>
  <si>
    <t>qty3_smt</t>
  </si>
  <si>
    <t>qty3_unitprice</t>
  </si>
  <si>
    <t>qty3_pcbMarkup</t>
  </si>
  <si>
    <t>qty3_componentMarkup</t>
  </si>
  <si>
    <t>qty4_qty</t>
  </si>
  <si>
    <t>qty4_labour</t>
  </si>
  <si>
    <t>qty4_smt</t>
  </si>
  <si>
    <t>qty4_unitprice</t>
  </si>
  <si>
    <t>qty4_pcbMarkup</t>
  </si>
  <si>
    <t>qty4_componentMarkup</t>
  </si>
  <si>
    <t>note1</t>
  </si>
  <si>
    <t>note2</t>
  </si>
  <si>
    <t>note3</t>
  </si>
  <si>
    <t>cx_supplies</t>
  </si>
  <si>
    <t>mcode_summary</t>
  </si>
  <si>
    <t>Sheet Name</t>
  </si>
  <si>
    <t>Date Quote Produced</t>
  </si>
  <si>
    <t>Quote #</t>
  </si>
  <si>
    <t>Quote Category</t>
  </si>
  <si>
    <t>BOM Name</t>
  </si>
  <si>
    <t>Gerber Name</t>
  </si>
  <si>
    <t>Note1</t>
  </si>
  <si>
    <t>Note2</t>
  </si>
  <si>
    <t>Note3</t>
  </si>
  <si>
    <t>CX SUPPLIES</t>
  </si>
  <si>
    <t>MCODE Summary</t>
  </si>
  <si>
    <t>Labour Rate</t>
  </si>
  <si>
    <t>SMT Rate</t>
  </si>
  <si>
    <t>Markup on PCB</t>
  </si>
  <si>
    <t>Markup on Components</t>
  </si>
  <si>
    <t>TL155-5501-000-S</t>
  </si>
  <si>
    <t>1</t>
  </si>
  <si>
    <t>rs_pricing_sheet_name</t>
  </si>
  <si>
    <t>RS Pricing Sheet Name</t>
  </si>
  <si>
    <t>Luis Esqueda</t>
  </si>
  <si>
    <t>Technologies Lanka Inc.</t>
  </si>
  <si>
    <t>155, Ave Industrielle</t>
  </si>
  <si>
    <t>La Pocatière, QC, G0R 1Z0, CA</t>
  </si>
  <si>
    <t>Luis.Esqueda@techlanka.com</t>
  </si>
  <si>
    <t>Tél.:418-856-8497</t>
  </si>
  <si>
    <t>NET 45</t>
  </si>
  <si>
    <t>Leaded</t>
  </si>
  <si>
    <t>IPC Class 2</t>
  </si>
  <si>
    <t>Qty2</t>
  </si>
  <si>
    <t xml:space="preserve">CPCPH </t>
  </si>
  <si>
    <t>IPCPH</t>
  </si>
  <si>
    <t>Hourly rate with profit</t>
  </si>
  <si>
    <t>total hourly rate</t>
  </si>
  <si>
    <t>hourly cost</t>
  </si>
  <si>
    <t>Margin</t>
  </si>
  <si>
    <t>Assy Price we charge</t>
  </si>
  <si>
    <t>Markup % (on Sell)</t>
  </si>
  <si>
    <t>Margin % (on Cost)</t>
  </si>
  <si>
    <r>
      <t xml:space="preserve">SMT time in </t>
    </r>
    <r>
      <rPr>
        <b/>
        <u/>
        <sz val="12"/>
        <color theme="1"/>
        <rFont val="Calibri"/>
        <family val="2"/>
        <scheme val="minor"/>
      </rPr>
      <t>HRS</t>
    </r>
  </si>
  <si>
    <r>
      <t xml:space="preserve">SMT time in </t>
    </r>
    <r>
      <rPr>
        <b/>
        <u/>
        <sz val="12"/>
        <color theme="1"/>
        <rFont val="Calibri"/>
        <family val="2"/>
        <scheme val="minor"/>
      </rPr>
      <t>DAYS</t>
    </r>
  </si>
  <si>
    <r>
      <t xml:space="preserve">TH time in days </t>
    </r>
    <r>
      <rPr>
        <b/>
        <u/>
        <sz val="12"/>
        <color theme="1"/>
        <rFont val="Calibri"/>
        <family val="2"/>
        <scheme val="minor"/>
      </rPr>
      <t>DAYS/</t>
    </r>
    <r>
      <rPr>
        <sz val="12"/>
        <color theme="1"/>
        <rFont val="Calibri"/>
        <family val="2"/>
        <scheme val="minor"/>
      </rPr>
      <t>workers</t>
    </r>
  </si>
  <si>
    <t>Number to div TH by(ppl working on it)</t>
  </si>
  <si>
    <t>Assy Unit price</t>
  </si>
  <si>
    <t>COMPONENT COST</t>
  </si>
  <si>
    <t>PCB COST</t>
  </si>
  <si>
    <t>Setup time in HRS</t>
  </si>
  <si>
    <t>Setup time in DAYS</t>
  </si>
  <si>
    <t>Rounded up time in DAYS</t>
  </si>
  <si>
    <r>
      <t xml:space="preserve">TH time in </t>
    </r>
    <r>
      <rPr>
        <b/>
        <u/>
        <sz val="12"/>
        <color theme="1"/>
        <rFont val="Calibri"/>
        <family val="2"/>
        <scheme val="minor"/>
      </rPr>
      <t>HRS</t>
    </r>
    <r>
      <rPr>
        <sz val="12"/>
        <color theme="1"/>
        <rFont val="Calibri"/>
        <family val="2"/>
        <scheme val="minor"/>
      </rPr>
      <t xml:space="preserve"> (1 person)</t>
    </r>
  </si>
  <si>
    <r>
      <t xml:space="preserve">TH time in </t>
    </r>
    <r>
      <rPr>
        <b/>
        <u/>
        <sz val="12"/>
        <color theme="1"/>
        <rFont val="Calibri"/>
        <family val="2"/>
        <scheme val="minor"/>
      </rPr>
      <t>HRS/</t>
    </r>
    <r>
      <rPr>
        <sz val="12"/>
        <color theme="1"/>
        <rFont val="Calibri"/>
        <family val="2"/>
        <scheme val="minor"/>
      </rPr>
      <t>workers</t>
    </r>
  </si>
  <si>
    <r>
      <t xml:space="preserve">Total time in </t>
    </r>
    <r>
      <rPr>
        <b/>
        <u/>
        <sz val="12"/>
        <color theme="1"/>
        <rFont val="Calibri"/>
        <family val="2"/>
        <scheme val="minor"/>
      </rPr>
      <t>DAYS</t>
    </r>
    <r>
      <rPr>
        <sz val="12"/>
        <color theme="1"/>
        <rFont val="Calibri"/>
        <family val="2"/>
        <scheme val="minor"/>
      </rPr>
      <t xml:space="preserve"> (Assembly)</t>
    </r>
  </si>
  <si>
    <t>Variable Names</t>
  </si>
  <si>
    <t>Headings</t>
  </si>
  <si>
    <t>Cell Ref</t>
  </si>
  <si>
    <t>Quantities Drop down</t>
  </si>
  <si>
    <t>Quantities Variables</t>
  </si>
  <si>
    <t>Log File Heading</t>
  </si>
  <si>
    <t>Description/Actual Headings in Qty Sheets</t>
  </si>
  <si>
    <t>Source Data Cell Reference</t>
  </si>
  <si>
    <t>Set_Programming_Rng</t>
  </si>
  <si>
    <t>J2</t>
  </si>
  <si>
    <t>Qty_SheetName_Rng</t>
  </si>
  <si>
    <t>Set_Stencil_Rng</t>
  </si>
  <si>
    <t>J3</t>
  </si>
  <si>
    <t>Qty_QuoteNo_Rng</t>
  </si>
  <si>
    <t>Quote No</t>
  </si>
  <si>
    <t>Set_PCB_FAB_Rng</t>
  </si>
  <si>
    <t>J4</t>
  </si>
  <si>
    <t>Qty_Boards_In_Pannel_Rng</t>
  </si>
  <si>
    <t>Boards In Pannel</t>
  </si>
  <si>
    <t>E3</t>
  </si>
  <si>
    <t>Set_Misc_NRE_Rng</t>
  </si>
  <si>
    <t>J5</t>
  </si>
  <si>
    <t>Qty_Boards_To_Assemble_Rng</t>
  </si>
  <si>
    <t>Qty of Boards Assemble</t>
  </si>
  <si>
    <t>E4</t>
  </si>
  <si>
    <t>Set_Quote_Number_Rng</t>
  </si>
  <si>
    <t>J8</t>
  </si>
  <si>
    <t>Qty 5</t>
  </si>
  <si>
    <t>Qty_Actual_Qty_Pannels_Rng</t>
  </si>
  <si>
    <t>Actual Qty of Pennels</t>
  </si>
  <si>
    <r>
      <rPr>
        <b/>
        <u/>
        <sz val="11"/>
        <color rgb="FF7030A0"/>
        <rFont val="Calibri"/>
        <family val="2"/>
        <scheme val="minor"/>
      </rPr>
      <t xml:space="preserve">Actual </t>
    </r>
    <r>
      <rPr>
        <b/>
        <sz val="11"/>
        <color rgb="FF7030A0"/>
        <rFont val="Arial"/>
        <family val="2"/>
      </rPr>
      <t>Quantity of pannels</t>
    </r>
  </si>
  <si>
    <t>E5</t>
  </si>
  <si>
    <t>Set_Mfg_Package_Rng</t>
  </si>
  <si>
    <t>E29</t>
  </si>
  <si>
    <t>Qty 6</t>
  </si>
  <si>
    <t>Qty_Actual_SMT_Placements_Per_Pannel_Rng</t>
  </si>
  <si>
    <t>Actual SMT Placement Per Pannel</t>
  </si>
  <si>
    <r>
      <rPr>
        <b/>
        <u/>
        <sz val="11"/>
        <color rgb="FF7030A0"/>
        <rFont val="Calibri"/>
        <family val="2"/>
        <scheme val="minor"/>
      </rPr>
      <t>Actual</t>
    </r>
    <r>
      <rPr>
        <b/>
        <sz val="11"/>
        <color rgb="FF7030A0"/>
        <rFont val="Arial"/>
        <family val="2"/>
      </rPr>
      <t xml:space="preserve"> number of smt placement per pannel</t>
    </r>
  </si>
  <si>
    <t>E6</t>
  </si>
  <si>
    <t>Set_Bom_Name_Rng</t>
  </si>
  <si>
    <t>Bom Name</t>
  </si>
  <si>
    <t>J29</t>
  </si>
  <si>
    <t>Qty 7</t>
  </si>
  <si>
    <t>Qty_Is_Double_Side_Rng</t>
  </si>
  <si>
    <t>Is Double Side</t>
  </si>
  <si>
    <t>E7</t>
  </si>
  <si>
    <t>Set_Rev_Rng</t>
  </si>
  <si>
    <t>Rev</t>
  </si>
  <si>
    <t>O29</t>
  </si>
  <si>
    <t>Qty 8</t>
  </si>
  <si>
    <t>Qty_Total_Lines_Rng</t>
  </si>
  <si>
    <t>Total Lines in BOM</t>
  </si>
  <si>
    <t>E8</t>
  </si>
  <si>
    <t>Set_PCB_Name_Rng</t>
  </si>
  <si>
    <t>PCB Name</t>
  </si>
  <si>
    <t>Q29</t>
  </si>
  <si>
    <t>Qty 9</t>
  </si>
  <si>
    <t>Qty_Total_SMT_Placement_Per_PCB_Rng</t>
  </si>
  <si>
    <t>Total SMT Placement Per PCB</t>
  </si>
  <si>
    <t>E9</t>
  </si>
  <si>
    <t>Set_Rev0_Rng</t>
  </si>
  <si>
    <t>X29</t>
  </si>
  <si>
    <t>Qty 10</t>
  </si>
  <si>
    <t>Qty_CP_Feeders_Rng</t>
  </si>
  <si>
    <t>No Of CP Feeders</t>
  </si>
  <si>
    <t>E10</t>
  </si>
  <si>
    <t>Set_Board_Name_Rng</t>
  </si>
  <si>
    <t>J17</t>
  </si>
  <si>
    <t>Qty 11</t>
  </si>
  <si>
    <t>Qty_Total_CP_Parts_Per_PCB_Rng</t>
  </si>
  <si>
    <t>Total CP Parts Per PCB</t>
  </si>
  <si>
    <t>E11</t>
  </si>
  <si>
    <t>Set_Total_BOM_Lines_Rng</t>
  </si>
  <si>
    <t>AD2</t>
  </si>
  <si>
    <t>Qty 12</t>
  </si>
  <si>
    <t>Qty_IP_Feeders_Rng</t>
  </si>
  <si>
    <t>IP Feeders</t>
  </si>
  <si>
    <t>E12</t>
  </si>
  <si>
    <t>Set_SMT_Placement_Rng</t>
  </si>
  <si>
    <t>AD3</t>
  </si>
  <si>
    <t>Qty 13</t>
  </si>
  <si>
    <t>Qty_IP_Parts_Per_PCB_Rng</t>
  </si>
  <si>
    <t>Total IP Parts Per PCB</t>
  </si>
  <si>
    <t>E13</t>
  </si>
  <si>
    <t>Set_CP_Feeders_Rng</t>
  </si>
  <si>
    <t>AD4</t>
  </si>
  <si>
    <t>Qty 14</t>
  </si>
  <si>
    <t>Qty_SMT_Parts_Per_PCB_Rng</t>
  </si>
  <si>
    <t>MAN SMT Parts Per PCB</t>
  </si>
  <si>
    <t>E14</t>
  </si>
  <si>
    <t>Set_CP_Parts_Rng</t>
  </si>
  <si>
    <t>AD5</t>
  </si>
  <si>
    <t>Qty 15</t>
  </si>
  <si>
    <t>Qty_TH_Parts_Per_Board</t>
  </si>
  <si>
    <t>TH Parts Per Board</t>
  </si>
  <si>
    <t>E15</t>
  </si>
  <si>
    <t>Set_IP_Feeders_Count_Rng</t>
  </si>
  <si>
    <t>AD6</t>
  </si>
  <si>
    <t>Qty 16</t>
  </si>
  <si>
    <t>Qty_TH_Pins_Per_PCB_Rng</t>
  </si>
  <si>
    <t>TH Pins Per PCB</t>
  </si>
  <si>
    <t>E16</t>
  </si>
  <si>
    <t>Set_IP_Parts_Per_PCB_Rng</t>
  </si>
  <si>
    <t>AD7</t>
  </si>
  <si>
    <t>Qty 17</t>
  </si>
  <si>
    <t>Qty_Programming_Time_Rng</t>
  </si>
  <si>
    <t>Programming Time</t>
  </si>
  <si>
    <t>B10</t>
  </si>
  <si>
    <t>Set_SMT_Parts_Top_Bottom_Rng</t>
  </si>
  <si>
    <t>man smt parts per pcb(top and bottom)</t>
  </si>
  <si>
    <t>AD8</t>
  </si>
  <si>
    <t>Qty 18</t>
  </si>
  <si>
    <t>Qty_Total_Printer_Time_Rng</t>
  </si>
  <si>
    <t>Total Printer Setup Time</t>
  </si>
  <si>
    <t>B16</t>
  </si>
  <si>
    <t>Set_TH_Parts_Per_Board_Rng</t>
  </si>
  <si>
    <t>AD9</t>
  </si>
  <si>
    <t>Qty 19</t>
  </si>
  <si>
    <t>Qty_Total_Setup_Time_Rng</t>
  </si>
  <si>
    <t>Total Setup Time</t>
  </si>
  <si>
    <t>B26</t>
  </si>
  <si>
    <t>Set_Pins_Per_PCB_Rng</t>
  </si>
  <si>
    <t>AD10</t>
  </si>
  <si>
    <t>Qty 20</t>
  </si>
  <si>
    <t>Qty_Total_Print_Time_Assembly_Rng</t>
  </si>
  <si>
    <t>Total Printing Time Complete Assembly</t>
  </si>
  <si>
    <t>B42</t>
  </si>
  <si>
    <t>Set_Quote_Number_With_Rev_Rng</t>
  </si>
  <si>
    <t>AD12</t>
  </si>
  <si>
    <t>Qty_SMT_CPH_Rng</t>
  </si>
  <si>
    <t>SMT CPH</t>
  </si>
  <si>
    <t>B44</t>
  </si>
  <si>
    <t>Set_Boards_In_Panel_Rng</t>
  </si>
  <si>
    <t>AD14</t>
  </si>
  <si>
    <t>Qty_Total_Runtime_SMT_CPH_Rng</t>
  </si>
  <si>
    <t>SMT CPH Total SMT Run Time</t>
  </si>
  <si>
    <t>SMT CPH- Total SMT Run Time</t>
  </si>
  <si>
    <t>B57</t>
  </si>
  <si>
    <t>Set_Double_Side_Rng</t>
  </si>
  <si>
    <t>AD15</t>
  </si>
  <si>
    <t>Qty_IP_CPH_Rng</t>
  </si>
  <si>
    <t>B59</t>
  </si>
  <si>
    <t>Set_Qty_Label_Rng</t>
  </si>
  <si>
    <t>Qty Label</t>
  </si>
  <si>
    <t>B29</t>
  </si>
  <si>
    <t>Qty_Total_Runtime_IP_CPH_Rng</t>
  </si>
  <si>
    <t>IP CPH- Total SMT Run Time</t>
  </si>
  <si>
    <t>IP CPH-Total SMT Run Time</t>
  </si>
  <si>
    <t>B72</t>
  </si>
  <si>
    <t>Set_Description1_Rng</t>
  </si>
  <si>
    <t>Description (Order Type)</t>
  </si>
  <si>
    <t>Z29</t>
  </si>
  <si>
    <t>Qty_Manual_SMT_Parts_Time_Rng</t>
  </si>
  <si>
    <t>Manual SMT Parts For Each</t>
  </si>
  <si>
    <t>Manual SMT Parts Time for each</t>
  </si>
  <si>
    <t>B74</t>
  </si>
  <si>
    <t>Set_Quantities_Rng</t>
  </si>
  <si>
    <t>AG29</t>
  </si>
  <si>
    <t>Qty_Total_MAN_SMT_Time_Rng</t>
  </si>
  <si>
    <t>Total MAN SMT Time</t>
  </si>
  <si>
    <t>Total MAN SMT time</t>
  </si>
  <si>
    <t>B79</t>
  </si>
  <si>
    <t>Set_Labour_Rate_Rng</t>
  </si>
  <si>
    <t>AK29</t>
  </si>
  <si>
    <t>Qty_Total_Reflow_Time_Rng</t>
  </si>
  <si>
    <t>Total Reflow Time</t>
  </si>
  <si>
    <t>Total Reflow time</t>
  </si>
  <si>
    <t>B88</t>
  </si>
  <si>
    <t>Set_SMT_Rate_Rng</t>
  </si>
  <si>
    <t>AN29</t>
  </si>
  <si>
    <t>Qty_Total_TH_Time_Rng</t>
  </si>
  <si>
    <t>Total TH Time</t>
  </si>
  <si>
    <t>B104</t>
  </si>
  <si>
    <t>Set_Assembly_Cost_Rng</t>
  </si>
  <si>
    <t>Assembly Cost</t>
  </si>
  <si>
    <t>AQ29</t>
  </si>
  <si>
    <t>Qty_Misc_Time_Each_Unit_Rng</t>
  </si>
  <si>
    <t>Misc Time Each Unit</t>
  </si>
  <si>
    <t>B106</t>
  </si>
  <si>
    <t>Set_PCB_Cost_Rng</t>
  </si>
  <si>
    <t>AU29</t>
  </si>
  <si>
    <t>Qty_Total_Misc_Rng</t>
  </si>
  <si>
    <t>Total Misc</t>
  </si>
  <si>
    <t>B107</t>
  </si>
  <si>
    <t>Set_PCB_Markup_Rng</t>
  </si>
  <si>
    <t>AY29</t>
  </si>
  <si>
    <t>Qty_Washing_And_Draying_Rng</t>
  </si>
  <si>
    <t>Washing Plush Drying</t>
  </si>
  <si>
    <t>B110</t>
  </si>
  <si>
    <t>Set_Component_Cost_Rng</t>
  </si>
  <si>
    <t>BB29</t>
  </si>
  <si>
    <t>Qty_Total_Washing_Plus_Time_Get_Going_Rng</t>
  </si>
  <si>
    <t>Total Washing And Get Going Time</t>
  </si>
  <si>
    <t>B112</t>
  </si>
  <si>
    <t>Set_Component_Markup_Rng</t>
  </si>
  <si>
    <t>BF29</t>
  </si>
  <si>
    <t>Qty_Total_Time_Depannelize_Assembly_Plus_Time_Get_Going_Rng</t>
  </si>
  <si>
    <t>Depnannelize Whole Assembly Plush Get Going Time</t>
  </si>
  <si>
    <t>B130</t>
  </si>
  <si>
    <t>Set_Conformal_Coating_Rng</t>
  </si>
  <si>
    <t>Conformal Coating Per PCB</t>
  </si>
  <si>
    <t>BI29</t>
  </si>
  <si>
    <t>Qty_Total_Inspection_Time_Complete_Assembly_Rng</t>
  </si>
  <si>
    <t>Complete Assembly Inspection Time</t>
  </si>
  <si>
    <t>B139</t>
  </si>
  <si>
    <t>Set_Unit_Price_Rng</t>
  </si>
  <si>
    <t>BL29</t>
  </si>
  <si>
    <t>Qty_Total_TH_Inspection_Time_Rng</t>
  </si>
  <si>
    <t>Total TH Inspection Time</t>
  </si>
  <si>
    <t>B142</t>
  </si>
  <si>
    <t>Set_Subtotal_Rng</t>
  </si>
  <si>
    <t>BQ29</t>
  </si>
  <si>
    <t>Qty_Total_Time_Packing_Plus_Time_Get_Going_Rng</t>
  </si>
  <si>
    <t>Packing Plush Get Going Time</t>
  </si>
  <si>
    <t>B148</t>
  </si>
  <si>
    <t>Set_Lead_Time_Rng</t>
  </si>
  <si>
    <t>Lead Time</t>
  </si>
  <si>
    <t>BV29</t>
  </si>
  <si>
    <t>Qty_Labour_Rng</t>
  </si>
  <si>
    <t>C157</t>
  </si>
  <si>
    <t>Set_Conformal_Coat_PriceTblHead_Rng</t>
  </si>
  <si>
    <t>Conformal Coating Price</t>
  </si>
  <si>
    <t>CC29</t>
  </si>
  <si>
    <t>Qty_SMT_Time_Without_Programming_Rng</t>
  </si>
  <si>
    <t>SMT Time -Without Programming</t>
  </si>
  <si>
    <t>C158</t>
  </si>
  <si>
    <t>Set_Qty_Per_Board_Rng</t>
  </si>
  <si>
    <t>CH29</t>
  </si>
  <si>
    <t>Qty_Total_Labour_Plus_SMT_Only_Rng</t>
  </si>
  <si>
    <t>Total Labour Plush SMT</t>
  </si>
  <si>
    <t>C159</t>
  </si>
  <si>
    <t>Set_Customer_PN_Rng</t>
  </si>
  <si>
    <t>CK29</t>
  </si>
  <si>
    <t>Qty_Labour_Rate_Rng</t>
  </si>
  <si>
    <t>B194</t>
  </si>
  <si>
    <t>Set_Description_Rng</t>
  </si>
  <si>
    <t>CR29</t>
  </si>
  <si>
    <t>Qty_SMT_Rate_Rng</t>
  </si>
  <si>
    <t>B195</t>
  </si>
  <si>
    <t>Set_MFR_PN_Rng</t>
  </si>
  <si>
    <t>DF29</t>
  </si>
  <si>
    <t>Qty_Programming_Rng</t>
  </si>
  <si>
    <t>B196</t>
  </si>
  <si>
    <t>Set_MFR_Name_Rng</t>
  </si>
  <si>
    <t>DM29</t>
  </si>
  <si>
    <t>Qty_Programming_Pick_And_Place_Rng</t>
  </si>
  <si>
    <t>Programming Pick and Place</t>
  </si>
  <si>
    <t>H20</t>
  </si>
  <si>
    <t>Set_Status_Rng</t>
  </si>
  <si>
    <t>DT29</t>
  </si>
  <si>
    <t>Qty_Program_One_Side_Gerber_Only_Rng</t>
  </si>
  <si>
    <t>Program One Side Gerber Only</t>
  </si>
  <si>
    <t>H21</t>
  </si>
  <si>
    <t>Set_Cost_In_Quote_Rng</t>
  </si>
  <si>
    <t>EA29</t>
  </si>
  <si>
    <t>Qty_BOM_And_PDs_Rng</t>
  </si>
  <si>
    <t>BOM and PDs</t>
  </si>
  <si>
    <t>Set_Notes_Start_First6_Rng</t>
  </si>
  <si>
    <t>Notes Start First 6</t>
  </si>
  <si>
    <t>C22</t>
  </si>
  <si>
    <t>Qty_Special_Rng</t>
  </si>
  <si>
    <t>H23</t>
  </si>
  <si>
    <t>Set_Notes_Last6_Rng</t>
  </si>
  <si>
    <t>Notes Start Last 6</t>
  </si>
  <si>
    <t>W22</t>
  </si>
  <si>
    <t>Qty_Printer_Program_Rng</t>
  </si>
  <si>
    <t>Printer Program</t>
  </si>
  <si>
    <t>H24</t>
  </si>
  <si>
    <t>Set_PCB_Proc_Charges_Rng</t>
  </si>
  <si>
    <t>AD17</t>
  </si>
  <si>
    <t>Qty_Setup_Rng</t>
  </si>
  <si>
    <t>Set_Comp_Proc_Charges_Rng</t>
  </si>
  <si>
    <t>AD18</t>
  </si>
  <si>
    <t>Qty_Standard_Managing_Component_Time_Rng</t>
  </si>
  <si>
    <t>Standard Managing Components Time</t>
  </si>
  <si>
    <t>H26</t>
  </si>
  <si>
    <t>Set_Comp_Ship_Charges_Rng</t>
  </si>
  <si>
    <t>Component Shipping</t>
  </si>
  <si>
    <t>AD19</t>
  </si>
  <si>
    <t>Qty_Time_To_Sort_Individual_Part_Rng</t>
  </si>
  <si>
    <t>Time to Sort Individual Part</t>
  </si>
  <si>
    <t>H27</t>
  </si>
  <si>
    <t>Set_Currency_Option_Rng</t>
  </si>
  <si>
    <t>Currency Conversion Options</t>
  </si>
  <si>
    <t>J19</t>
  </si>
  <si>
    <t>Qty_Time_Each_Printing_WithHandling_Rng</t>
  </si>
  <si>
    <t>Time For Each Printing - With Handling</t>
  </si>
  <si>
    <t>H28</t>
  </si>
  <si>
    <t>Set_Currency_Exchange_Rate_Rng</t>
  </si>
  <si>
    <t xml:space="preserve">Currency Exchange Rate </t>
  </si>
  <si>
    <t>J20</t>
  </si>
  <si>
    <t>Qty_Printer_Setup_One_Side_Rng</t>
  </si>
  <si>
    <t>Printer Setup One Side</t>
  </si>
  <si>
    <t>H29</t>
  </si>
  <si>
    <t>Set_Qty_Adjuster_Rng</t>
  </si>
  <si>
    <t>Quantities adjuster table (Default, Qty 1… Qty 20)</t>
  </si>
  <si>
    <t>BH2</t>
  </si>
  <si>
    <t>Qty_Time_Load_Stencil_Rng</t>
  </si>
  <si>
    <t>Time To Load Stencil</t>
  </si>
  <si>
    <t>H30</t>
  </si>
  <si>
    <t>Set_Qty_Adjuster_DD_Rng</t>
  </si>
  <si>
    <t>User Qty Selector Drop down for Time Adjuster Sheet</t>
  </si>
  <si>
    <t>AM17</t>
  </si>
  <si>
    <t>Qty_Time_Load_All_Feeders_IP_Rng</t>
  </si>
  <si>
    <t>Time Loadin All Feeders-CP</t>
  </si>
  <si>
    <t>Qty_CPH_Rng</t>
  </si>
  <si>
    <t>CP CPH</t>
  </si>
  <si>
    <t>H32</t>
  </si>
  <si>
    <t>Qty_Time_Load_Each_Feeder_In_Machine_Rng</t>
  </si>
  <si>
    <t>Time To Load Each Feeder Into Machine</t>
  </si>
  <si>
    <t>H33</t>
  </si>
  <si>
    <t>Qty_Total_CP_Parts_Per_Pannel_Rng</t>
  </si>
  <si>
    <t>Total CP Parts Per Pannel</t>
  </si>
  <si>
    <t>H34</t>
  </si>
  <si>
    <t>Qty_IP_CPH2_Rng</t>
  </si>
  <si>
    <t>IP CPH2</t>
  </si>
  <si>
    <t>H35</t>
  </si>
  <si>
    <t>Qty_Time_To_Load_All_Feeders_IP_Rng</t>
  </si>
  <si>
    <t>Time To Load All Feeders IP</t>
  </si>
  <si>
    <t>Qty_total_Ip_Parts_Parts_Per_pannel_Rng</t>
  </si>
  <si>
    <t>Total IP Parts Per Pannel</t>
  </si>
  <si>
    <t>H37</t>
  </si>
  <si>
    <t>Qty_Total_Man_SMT_In_Whole_Assembly_Rng</t>
  </si>
  <si>
    <t>Total MAN SMT in Whole Assembly</t>
  </si>
  <si>
    <t>Qty_Manual_SMT_Parts_Time1_Rng</t>
  </si>
  <si>
    <t>Manual SMT Parts - Time for Each</t>
  </si>
  <si>
    <t>H39</t>
  </si>
  <si>
    <t>Qty_If_Manual_SMT_Part_Then_Rng</t>
  </si>
  <si>
    <t>If Manual SMT Part</t>
  </si>
  <si>
    <t>Qty_Reflow_Rng</t>
  </si>
  <si>
    <t>Reflow</t>
  </si>
  <si>
    <t>Qty_SMT_Inspection_Time_Rng</t>
  </si>
  <si>
    <t>SMT Inspection Time</t>
  </si>
  <si>
    <t>Qty_Handling_Time_Rng</t>
  </si>
  <si>
    <t>Handling Time</t>
  </si>
  <si>
    <t>H43</t>
  </si>
  <si>
    <t>Qty_TH_Rng</t>
  </si>
  <si>
    <t>Qty_TH_Parts_Per_Pannel_Rng</t>
  </si>
  <si>
    <t>TH Parts Per Pannel</t>
  </si>
  <si>
    <t>H45</t>
  </si>
  <si>
    <t>Qty_Total_Pins_Whole_Assembly_Rng</t>
  </si>
  <si>
    <t>Total TH Pins in Whole Assembly</t>
  </si>
  <si>
    <t>H46</t>
  </si>
  <si>
    <t>Qty_Time_Placing_TH_Parts_Rng</t>
  </si>
  <si>
    <t>TH Placement Time</t>
  </si>
  <si>
    <t>H47</t>
  </si>
  <si>
    <t>Qty_Time_Each_Pin_Rng</t>
  </si>
  <si>
    <t>Time for Each Pin</t>
  </si>
  <si>
    <t>H48</t>
  </si>
  <si>
    <t>Qty_th_Time_INSPECTION_Of_Each_Part_Rng</t>
  </si>
  <si>
    <t>TH Inspection Time Each Part</t>
  </si>
  <si>
    <t>H49</t>
  </si>
  <si>
    <t>Qty_Washing_And_Draying_Each_Pannel_Rng</t>
  </si>
  <si>
    <t>Washing And Drying-Each Pannel</t>
  </si>
  <si>
    <t>H50</t>
  </si>
  <si>
    <t>Qty_Depannelize_Rng</t>
  </si>
  <si>
    <t>Qty_Time_To_Depannelize_Each_Board_Rng</t>
  </si>
  <si>
    <t>Time Depannelize Each Board</t>
  </si>
  <si>
    <t>H52</t>
  </si>
  <si>
    <t>Qty_Pack_Rng</t>
  </si>
  <si>
    <t>Qty_Packing_Each_Board_Rng</t>
  </si>
  <si>
    <t>Packing Each Board</t>
  </si>
  <si>
    <t>H54</t>
  </si>
  <si>
    <t>Qty_Misc_Time_Each_Unit1_Rng</t>
  </si>
  <si>
    <t>Misc Time Each Unit2</t>
  </si>
  <si>
    <t>H55</t>
  </si>
  <si>
    <t>Qty_Misc_Time_Whole_Order_Rng</t>
  </si>
  <si>
    <t>Misc Time Whole Order</t>
  </si>
  <si>
    <t>H56</t>
  </si>
  <si>
    <t>Qty_Inspection_Time_One_Side_Going_Lines_In_BOM_Rng</t>
  </si>
  <si>
    <t>Inspection Time One Side Going - BOM Lines Dependent</t>
  </si>
  <si>
    <t>H57</t>
  </si>
  <si>
    <t>Qty_Time_To_Get_Going_Rng</t>
  </si>
  <si>
    <t>Time to Get Going</t>
  </si>
  <si>
    <t>H58</t>
  </si>
  <si>
    <t>Destination Reference heading</t>
  </si>
  <si>
    <t>Assembly Cost
(G240)</t>
  </si>
  <si>
    <t>G240</t>
  </si>
  <si>
    <t>Assembly Price We charged
(G241)</t>
  </si>
  <si>
    <t>G241</t>
  </si>
  <si>
    <t>Assembly Profit</t>
  </si>
  <si>
    <t>Assembly Profit Margin</t>
  </si>
  <si>
    <t>Customer Name</t>
  </si>
  <si>
    <t>B200</t>
  </si>
  <si>
    <t>Quotation Temp.C12</t>
  </si>
  <si>
    <t>CP CPH Divide Number</t>
  </si>
  <si>
    <t>final.E30-H30</t>
  </si>
  <si>
    <t>Total Assembly TIME (in hours)</t>
  </si>
  <si>
    <t>G242</t>
  </si>
  <si>
    <t>G243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</si>
</sst>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hh:mm:ss;@"/>
    <numFmt numFmtId="167" formatCode="[h]:mm:ss;@"/>
    <numFmt numFmtId="168" formatCode="\ #,##0.00\ &quot;$&quot;"/>
    <numFmt numFmtId="169" formatCode="&quot;$&quot;#,##0.00"/>
    <numFmt numFmtId="170" formatCode="_(* #,##0.000_);_(* \(#,##0.000\);_(* &quot;-&quot;??_);_(@_)"/>
    <numFmt numFmtId="171" formatCode="#,##0.00\ &quot;$&quot;"/>
  </numFmts>
  <fonts count="5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Trebuchet MS"/>
      <family val="2"/>
    </font>
    <font>
      <sz val="10"/>
      <name val="Verdana"/>
      <family val="2"/>
    </font>
    <font>
      <b/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1F497D"/>
      <name val="Trebuchet MS"/>
      <family val="2"/>
    </font>
    <font>
      <b/>
      <sz val="12"/>
      <color rgb="FF1F497D"/>
      <name val="Trebuchet MS"/>
      <family val="2"/>
    </font>
    <font>
      <b/>
      <sz val="12"/>
      <name val="Trebuchet MS"/>
      <family val="2"/>
    </font>
    <font>
      <sz val="10"/>
      <color rgb="FF000000"/>
      <name val="Century Gothic"/>
      <family val="2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i/>
      <sz val="11"/>
      <color rgb="FF365F91"/>
      <name val="Trebuchet MS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Calibri"/>
      <family val="2"/>
    </font>
    <font>
      <b/>
      <sz val="8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.5"/>
      <color theme="1"/>
      <name val="Century Gothic"/>
      <family val="2"/>
    </font>
    <font>
      <sz val="9.5"/>
      <color theme="1"/>
      <name val="Calibri"/>
      <family val="2"/>
      <scheme val="minor"/>
    </font>
    <font>
      <sz val="9.5"/>
      <color theme="1"/>
      <name val="Century Gothic"/>
      <family val="2"/>
    </font>
    <font>
      <sz val="10"/>
      <color theme="1"/>
      <name val="Century Gothic"/>
      <family val="2"/>
    </font>
    <font>
      <b/>
      <sz val="10"/>
      <color theme="1"/>
      <name val="Century Gothic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A8C5EA"/>
      <name val="Calibri"/>
      <family val="2"/>
      <scheme val="minor"/>
    </font>
    <font>
      <b/>
      <sz val="10"/>
      <color rgb="FF0F243E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b/>
      <sz val="11"/>
      <color rgb="FF7030A0"/>
      <name val="Arial"/>
      <family val="2"/>
    </font>
    <font>
      <b/>
      <sz val="9"/>
      <color rgb="FF0F243E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/>
        <bgColor indexed="64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hair">
        <color theme="1"/>
      </right>
      <top style="thin">
        <color theme="1"/>
      </top>
      <bottom style="thin">
        <color theme="1"/>
      </bottom>
      <diagonal/>
    </border>
    <border>
      <left style="hair">
        <color theme="1"/>
      </left>
      <right style="hair">
        <color theme="1"/>
      </right>
      <top style="thin">
        <color theme="1"/>
      </top>
      <bottom style="thin">
        <color theme="1"/>
      </bottom>
      <diagonal/>
    </border>
    <border>
      <left style="hair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thin">
        <color theme="1"/>
      </right>
      <top/>
      <bottom style="hair">
        <color theme="1"/>
      </bottom>
      <diagonal/>
    </border>
    <border>
      <left style="thin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hair">
        <color theme="1"/>
      </right>
      <top style="thin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thin">
        <color theme="1"/>
      </top>
      <bottom style="hair">
        <color theme="1"/>
      </bottom>
      <diagonal/>
    </border>
    <border>
      <left style="hair">
        <color theme="1"/>
      </left>
      <right style="thin">
        <color theme="1"/>
      </right>
      <top style="thin">
        <color theme="1"/>
      </top>
      <bottom style="hair">
        <color theme="1"/>
      </bottom>
      <diagonal/>
    </border>
    <border>
      <left style="thin">
        <color theme="1"/>
      </left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theme="1"/>
      </left>
      <right style="hair">
        <color theme="1"/>
      </right>
      <top/>
      <bottom style="thin">
        <color theme="1"/>
      </bottom>
      <diagonal/>
    </border>
    <border>
      <left style="hair">
        <color theme="1"/>
      </left>
      <right style="hair">
        <color theme="1"/>
      </right>
      <top/>
      <bottom style="thin">
        <color theme="1"/>
      </bottom>
      <diagonal/>
    </border>
    <border>
      <left style="hair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hair">
        <color theme="1"/>
      </right>
      <top/>
      <bottom/>
      <diagonal/>
    </border>
    <border>
      <left style="hair">
        <color theme="1"/>
      </left>
      <right style="hair">
        <color theme="1"/>
      </right>
      <top/>
      <bottom/>
      <diagonal/>
    </border>
    <border>
      <left style="hair">
        <color theme="1"/>
      </left>
      <right style="thin">
        <color theme="1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theme="1"/>
      </left>
      <right/>
      <top style="thin">
        <color theme="1"/>
      </top>
      <bottom style="hair">
        <color theme="1"/>
      </bottom>
      <diagonal/>
    </border>
    <border>
      <left/>
      <right/>
      <top style="thin">
        <color theme="1"/>
      </top>
      <bottom style="hair">
        <color theme="1"/>
      </bottom>
      <diagonal/>
    </border>
    <border>
      <left/>
      <right style="hair">
        <color theme="1"/>
      </right>
      <top style="thin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/>
      <diagonal/>
    </border>
    <border>
      <left style="hair">
        <color theme="1"/>
      </left>
      <right/>
      <top style="thin">
        <color theme="1"/>
      </top>
      <bottom style="hair">
        <color indexed="64"/>
      </bottom>
      <diagonal/>
    </border>
    <border>
      <left/>
      <right/>
      <top style="thin">
        <color theme="1"/>
      </top>
      <bottom style="hair">
        <color indexed="64"/>
      </bottom>
      <diagonal/>
    </border>
    <border>
      <left/>
      <right style="hair">
        <color theme="1"/>
      </right>
      <top style="thin">
        <color theme="1"/>
      </top>
      <bottom style="hair">
        <color indexed="64"/>
      </bottom>
      <diagonal/>
    </border>
    <border>
      <left style="hair">
        <color theme="1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theme="1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theme="1"/>
      </right>
      <top/>
      <bottom style="hair">
        <color indexed="64"/>
      </bottom>
      <diagonal/>
    </border>
    <border>
      <left/>
      <right style="thin">
        <color theme="1"/>
      </right>
      <top style="hair">
        <color theme="1"/>
      </top>
      <bottom style="hair">
        <color theme="1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9">
    <xf numFmtId="0" fontId="0" fillId="0" borderId="0"/>
    <xf numFmtId="44" fontId="1" fillId="0" borderId="0"/>
    <xf numFmtId="43" fontId="1" fillId="0" borderId="0"/>
    <xf numFmtId="0" fontId="13" fillId="0" borderId="0"/>
    <xf numFmtId="0" fontId="12" fillId="0" borderId="0">
      <alignment vertical="top"/>
      <protection locked="0"/>
    </xf>
    <xf numFmtId="43" fontId="14" fillId="0" borderId="0"/>
    <xf numFmtId="9" fontId="1" fillId="0" borderId="0"/>
    <xf numFmtId="0" fontId="41" fillId="0" borderId="0"/>
    <xf numFmtId="164" fontId="1" fillId="0" borderId="0" applyFont="0" applyFill="0" applyBorder="0" applyAlignment="0" applyProtection="0"/>
  </cellStyleXfs>
  <cellXfs count="799">
    <xf numFmtId="0" fontId="0" fillId="0" borderId="0" xfId="0"/>
    <xf numFmtId="0" fontId="0" fillId="0" borderId="2" xfId="0" applyBorder="1"/>
    <xf numFmtId="0" fontId="2" fillId="0" borderId="3" xfId="0" applyFont="1" applyBorder="1"/>
    <xf numFmtId="0" fontId="0" fillId="4" borderId="1" xfId="0" applyFill="1" applyBorder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3" fillId="0" borderId="5" xfId="0" applyFont="1" applyBorder="1"/>
    <xf numFmtId="0" fontId="5" fillId="0" borderId="10" xfId="0" applyFont="1" applyBorder="1"/>
    <xf numFmtId="0" fontId="0" fillId="4" borderId="6" xfId="0" applyFill="1" applyBorder="1"/>
    <xf numFmtId="0" fontId="0" fillId="0" borderId="12" xfId="0" applyBorder="1"/>
    <xf numFmtId="0" fontId="0" fillId="0" borderId="4" xfId="0" applyBorder="1"/>
    <xf numFmtId="0" fontId="4" fillId="4" borderId="11" xfId="0" applyFont="1" applyFill="1" applyBorder="1"/>
    <xf numFmtId="0" fontId="0" fillId="3" borderId="9" xfId="0" applyFill="1" applyBorder="1" applyAlignment="1">
      <alignment horizontal="center"/>
    </xf>
    <xf numFmtId="166" fontId="0" fillId="0" borderId="0" xfId="0" applyNumberFormat="1"/>
    <xf numFmtId="167" fontId="0" fillId="0" borderId="1" xfId="0" applyNumberFormat="1" applyBorder="1"/>
    <xf numFmtId="167" fontId="0" fillId="0" borderId="6" xfId="0" applyNumberFormat="1" applyBorder="1"/>
    <xf numFmtId="167" fontId="0" fillId="5" borderId="13" xfId="0" applyNumberFormat="1" applyFill="1" applyBorder="1"/>
    <xf numFmtId="167" fontId="0" fillId="0" borderId="0" xfId="0" applyNumberFormat="1"/>
    <xf numFmtId="167" fontId="0" fillId="5" borderId="8" xfId="0" applyNumberFormat="1" applyFill="1" applyBorder="1"/>
    <xf numFmtId="167" fontId="0" fillId="0" borderId="11" xfId="0" applyNumberFormat="1" applyBorder="1"/>
    <xf numFmtId="167" fontId="0" fillId="4" borderId="6" xfId="0" applyNumberFormat="1" applyFill="1" applyBorder="1"/>
    <xf numFmtId="0" fontId="0" fillId="0" borderId="13" xfId="0" applyBorder="1"/>
    <xf numFmtId="0" fontId="0" fillId="0" borderId="18" xfId="0" applyBorder="1"/>
    <xf numFmtId="0" fontId="0" fillId="0" borderId="19" xfId="0" applyBorder="1"/>
    <xf numFmtId="0" fontId="0" fillId="0" borderId="15" xfId="0" applyBorder="1"/>
    <xf numFmtId="1" fontId="0" fillId="4" borderId="2" xfId="0" applyNumberFormat="1" applyFill="1" applyBorder="1"/>
    <xf numFmtId="0" fontId="2" fillId="0" borderId="14" xfId="0" applyFont="1" applyBorder="1"/>
    <xf numFmtId="167" fontId="0" fillId="5" borderId="1" xfId="0" applyNumberFormat="1" applyFill="1" applyBorder="1"/>
    <xf numFmtId="1" fontId="0" fillId="0" borderId="1" xfId="0" applyNumberFormat="1" applyBorder="1"/>
    <xf numFmtId="0" fontId="0" fillId="9" borderId="0" xfId="0" applyFill="1"/>
    <xf numFmtId="0" fontId="3" fillId="4" borderId="5" xfId="0" applyFont="1" applyFill="1" applyBorder="1"/>
    <xf numFmtId="0" fontId="0" fillId="4" borderId="5" xfId="0" applyFill="1" applyBorder="1"/>
    <xf numFmtId="167" fontId="0" fillId="9" borderId="0" xfId="0" applyNumberFormat="1" applyFill="1"/>
    <xf numFmtId="0" fontId="2" fillId="0" borderId="0" xfId="0" applyFont="1" applyAlignment="1">
      <alignment horizontal="center"/>
    </xf>
    <xf numFmtId="167" fontId="0" fillId="0" borderId="20" xfId="0" applyNumberFormat="1" applyBorder="1"/>
    <xf numFmtId="167" fontId="3" fillId="4" borderId="11" xfId="0" applyNumberFormat="1" applyFont="1" applyFill="1" applyBorder="1"/>
    <xf numFmtId="167" fontId="0" fillId="4" borderId="1" xfId="0" applyNumberFormat="1" applyFill="1" applyBorder="1"/>
    <xf numFmtId="167" fontId="3" fillId="4" borderId="1" xfId="0" applyNumberFormat="1" applyFont="1" applyFill="1" applyBorder="1"/>
    <xf numFmtId="167" fontId="3" fillId="4" borderId="7" xfId="0" applyNumberFormat="1" applyFont="1" applyFill="1" applyBorder="1"/>
    <xf numFmtId="0" fontId="0" fillId="4" borderId="17" xfId="0" applyFill="1" applyBorder="1"/>
    <xf numFmtId="0" fontId="0" fillId="0" borderId="17" xfId="0" applyBorder="1"/>
    <xf numFmtId="0" fontId="2" fillId="0" borderId="0" xfId="0" applyFont="1"/>
    <xf numFmtId="44" fontId="0" fillId="0" borderId="0" xfId="1" applyFont="1"/>
    <xf numFmtId="167" fontId="0" fillId="2" borderId="1" xfId="0" applyNumberFormat="1" applyFill="1" applyBorder="1"/>
    <xf numFmtId="1" fontId="0" fillId="0" borderId="0" xfId="1" applyNumberFormat="1" applyFont="1"/>
    <xf numFmtId="0" fontId="0" fillId="0" borderId="0" xfId="0" applyAlignment="1">
      <alignment horizontal="left"/>
    </xf>
    <xf numFmtId="0" fontId="0" fillId="4" borderId="0" xfId="0" applyFill="1"/>
    <xf numFmtId="0" fontId="0" fillId="2" borderId="11" xfId="0" applyFill="1" applyBorder="1"/>
    <xf numFmtId="0" fontId="2" fillId="0" borderId="1" xfId="0" applyFont="1" applyBorder="1"/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right"/>
    </xf>
    <xf numFmtId="167" fontId="0" fillId="3" borderId="1" xfId="0" applyNumberFormat="1" applyFill="1" applyBorder="1"/>
    <xf numFmtId="46" fontId="0" fillId="3" borderId="1" xfId="0" applyNumberFormat="1" applyFill="1" applyBorder="1"/>
    <xf numFmtId="46" fontId="0" fillId="5" borderId="1" xfId="0" applyNumberFormat="1" applyFill="1" applyBorder="1"/>
    <xf numFmtId="167" fontId="0" fillId="10" borderId="1" xfId="0" applyNumberFormat="1" applyFill="1" applyBorder="1"/>
    <xf numFmtId="46" fontId="0" fillId="10" borderId="1" xfId="0" applyNumberFormat="1" applyFill="1" applyBorder="1"/>
    <xf numFmtId="167" fontId="0" fillId="11" borderId="1" xfId="0" applyNumberFormat="1" applyFill="1" applyBorder="1"/>
    <xf numFmtId="46" fontId="0" fillId="11" borderId="1" xfId="0" applyNumberFormat="1" applyFill="1" applyBorder="1"/>
    <xf numFmtId="1" fontId="0" fillId="3" borderId="1" xfId="0" applyNumberFormat="1" applyFill="1" applyBorder="1"/>
    <xf numFmtId="0" fontId="0" fillId="5" borderId="1" xfId="0" applyFill="1" applyBorder="1"/>
    <xf numFmtId="1" fontId="0" fillId="5" borderId="1" xfId="0" applyNumberFormat="1" applyFill="1" applyBorder="1"/>
    <xf numFmtId="0" fontId="0" fillId="10" borderId="1" xfId="0" applyFill="1" applyBorder="1"/>
    <xf numFmtId="1" fontId="0" fillId="10" borderId="1" xfId="0" applyNumberFormat="1" applyFill="1" applyBorder="1"/>
    <xf numFmtId="0" fontId="0" fillId="11" borderId="1" xfId="0" applyFill="1" applyBorder="1"/>
    <xf numFmtId="1" fontId="0" fillId="11" borderId="1" xfId="0" applyNumberFormat="1" applyFill="1" applyBorder="1"/>
    <xf numFmtId="0" fontId="0" fillId="12" borderId="1" xfId="0" applyFill="1" applyBorder="1"/>
    <xf numFmtId="1" fontId="0" fillId="12" borderId="1" xfId="0" applyNumberFormat="1" applyFill="1" applyBorder="1"/>
    <xf numFmtId="0" fontId="0" fillId="13" borderId="1" xfId="0" applyFill="1" applyBorder="1"/>
    <xf numFmtId="1" fontId="0" fillId="13" borderId="1" xfId="0" applyNumberFormat="1" applyFill="1" applyBorder="1"/>
    <xf numFmtId="167" fontId="0" fillId="13" borderId="1" xfId="0" applyNumberFormat="1" applyFill="1" applyBorder="1"/>
    <xf numFmtId="46" fontId="0" fillId="13" borderId="1" xfId="0" applyNumberFormat="1" applyFill="1" applyBorder="1"/>
    <xf numFmtId="0" fontId="0" fillId="14" borderId="1" xfId="0" applyFill="1" applyBorder="1"/>
    <xf numFmtId="1" fontId="0" fillId="14" borderId="1" xfId="0" applyNumberFormat="1" applyFill="1" applyBorder="1"/>
    <xf numFmtId="167" fontId="0" fillId="14" borderId="1" xfId="0" applyNumberFormat="1" applyFill="1" applyBorder="1"/>
    <xf numFmtId="46" fontId="0" fillId="14" borderId="1" xfId="0" applyNumberFormat="1" applyFill="1" applyBorder="1"/>
    <xf numFmtId="0" fontId="0" fillId="15" borderId="1" xfId="0" applyFill="1" applyBorder="1"/>
    <xf numFmtId="1" fontId="0" fillId="15" borderId="1" xfId="0" applyNumberFormat="1" applyFill="1" applyBorder="1"/>
    <xf numFmtId="167" fontId="0" fillId="15" borderId="1" xfId="0" applyNumberFormat="1" applyFill="1" applyBorder="1"/>
    <xf numFmtId="46" fontId="0" fillId="15" borderId="1" xfId="0" applyNumberFormat="1" applyFill="1" applyBorder="1"/>
    <xf numFmtId="167" fontId="0" fillId="12" borderId="1" xfId="0" applyNumberFormat="1" applyFill="1" applyBorder="1"/>
    <xf numFmtId="0" fontId="0" fillId="7" borderId="1" xfId="0" applyFill="1" applyBorder="1"/>
    <xf numFmtId="1" fontId="0" fillId="7" borderId="1" xfId="0" applyNumberFormat="1" applyFill="1" applyBorder="1"/>
    <xf numFmtId="167" fontId="0" fillId="7" borderId="1" xfId="0" applyNumberFormat="1" applyFill="1" applyBorder="1"/>
    <xf numFmtId="46" fontId="0" fillId="7" borderId="1" xfId="0" applyNumberFormat="1" applyFill="1" applyBorder="1"/>
    <xf numFmtId="46" fontId="0" fillId="12" borderId="1" xfId="0" applyNumberFormat="1" applyFill="1" applyBorder="1"/>
    <xf numFmtId="167" fontId="0" fillId="13" borderId="2" xfId="0" applyNumberFormat="1" applyFill="1" applyBorder="1" applyAlignment="1">
      <alignment vertical="top"/>
    </xf>
    <xf numFmtId="167" fontId="0" fillId="15" borderId="9" xfId="0" applyNumberFormat="1" applyFill="1" applyBorder="1" applyAlignment="1">
      <alignment vertical="top"/>
    </xf>
    <xf numFmtId="167" fontId="0" fillId="15" borderId="31" xfId="0" applyNumberFormat="1" applyFill="1" applyBorder="1" applyAlignment="1">
      <alignment vertical="top"/>
    </xf>
    <xf numFmtId="0" fontId="0" fillId="4" borderId="32" xfId="0" applyFill="1" applyBorder="1"/>
    <xf numFmtId="0" fontId="0" fillId="4" borderId="33" xfId="0" applyFill="1" applyBorder="1"/>
    <xf numFmtId="0" fontId="0" fillId="13" borderId="5" xfId="0" applyFill="1" applyBorder="1"/>
    <xf numFmtId="0" fontId="0" fillId="10" borderId="5" xfId="0" applyFill="1" applyBorder="1"/>
    <xf numFmtId="0" fontId="0" fillId="14" borderId="5" xfId="0" applyFill="1" applyBorder="1"/>
    <xf numFmtId="0" fontId="0" fillId="15" borderId="5" xfId="0" applyFill="1" applyBorder="1"/>
    <xf numFmtId="167" fontId="0" fillId="15" borderId="34" xfId="0" applyNumberFormat="1" applyFill="1" applyBorder="1" applyAlignment="1">
      <alignment vertical="top"/>
    </xf>
    <xf numFmtId="167" fontId="0" fillId="15" borderId="30" xfId="0" applyNumberFormat="1" applyFill="1" applyBorder="1" applyAlignment="1">
      <alignment vertical="top"/>
    </xf>
    <xf numFmtId="0" fontId="0" fillId="5" borderId="5" xfId="0" applyFill="1" applyBorder="1"/>
    <xf numFmtId="0" fontId="0" fillId="7" borderId="5" xfId="0" applyFill="1" applyBorder="1"/>
    <xf numFmtId="0" fontId="0" fillId="11" borderId="5" xfId="0" applyFill="1" applyBorder="1"/>
    <xf numFmtId="0" fontId="0" fillId="12" borderId="5" xfId="0" applyFill="1" applyBorder="1"/>
    <xf numFmtId="0" fontId="0" fillId="13" borderId="12" xfId="0" applyFill="1" applyBorder="1"/>
    <xf numFmtId="1" fontId="0" fillId="13" borderId="26" xfId="0" applyNumberFormat="1" applyFill="1" applyBorder="1"/>
    <xf numFmtId="167" fontId="0" fillId="13" borderId="26" xfId="0" applyNumberFormat="1" applyFill="1" applyBorder="1"/>
    <xf numFmtId="0" fontId="10" fillId="0" borderId="0" xfId="0" applyFont="1"/>
    <xf numFmtId="0" fontId="0" fillId="4" borderId="2" xfId="0" applyFill="1" applyBorder="1"/>
    <xf numFmtId="0" fontId="2" fillId="0" borderId="10" xfId="0" applyFont="1" applyBorder="1"/>
    <xf numFmtId="0" fontId="0" fillId="0" borderId="11" xfId="0" applyBorder="1"/>
    <xf numFmtId="167" fontId="3" fillId="0" borderId="6" xfId="0" applyNumberFormat="1" applyFont="1" applyBorder="1"/>
    <xf numFmtId="167" fontId="2" fillId="0" borderId="6" xfId="0" applyNumberFormat="1" applyFont="1" applyBorder="1"/>
    <xf numFmtId="0" fontId="0" fillId="7" borderId="1" xfId="0" applyFill="1" applyBorder="1" applyAlignment="1">
      <alignment horizontal="center"/>
    </xf>
    <xf numFmtId="166" fontId="0" fillId="7" borderId="1" xfId="0" applyNumberFormat="1" applyFill="1" applyBorder="1" applyAlignment="1">
      <alignment horizontal="center"/>
    </xf>
    <xf numFmtId="166" fontId="0" fillId="7" borderId="1" xfId="0" applyNumberFormat="1" applyFill="1" applyBorder="1" applyAlignment="1">
      <alignment wrapText="1"/>
    </xf>
    <xf numFmtId="166" fontId="0" fillId="7" borderId="1" xfId="0" applyNumberFormat="1" applyFill="1" applyBorder="1"/>
    <xf numFmtId="166" fontId="0" fillId="7" borderId="1" xfId="1" applyNumberFormat="1" applyFont="1" applyFill="1" applyBorder="1"/>
    <xf numFmtId="0" fontId="0" fillId="2" borderId="1" xfId="0" applyFill="1" applyBorder="1"/>
    <xf numFmtId="167" fontId="3" fillId="0" borderId="1" xfId="0" applyNumberFormat="1" applyFont="1" applyBorder="1"/>
    <xf numFmtId="0" fontId="11" fillId="4" borderId="22" xfId="0" applyFont="1" applyFill="1" applyBorder="1" applyAlignment="1">
      <alignment horizontal="center"/>
    </xf>
    <xf numFmtId="167" fontId="0" fillId="0" borderId="23" xfId="0" applyNumberFormat="1" applyBorder="1"/>
    <xf numFmtId="0" fontId="2" fillId="0" borderId="21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44" fontId="0" fillId="9" borderId="0" xfId="1" applyFont="1" applyFill="1"/>
    <xf numFmtId="0" fontId="5" fillId="0" borderId="1" xfId="0" applyFont="1" applyBorder="1"/>
    <xf numFmtId="0" fontId="2" fillId="0" borderId="38" xfId="0" applyFont="1" applyBorder="1" applyAlignment="1">
      <alignment horizontal="right"/>
    </xf>
    <xf numFmtId="44" fontId="0" fillId="4" borderId="1" xfId="1" applyFont="1" applyFill="1" applyBorder="1"/>
    <xf numFmtId="0" fontId="2" fillId="0" borderId="35" xfId="0" applyFont="1" applyBorder="1" applyAlignment="1">
      <alignment horizontal="left"/>
    </xf>
    <xf numFmtId="0" fontId="2" fillId="0" borderId="35" xfId="0" applyFont="1" applyBorder="1" applyAlignment="1">
      <alignment horizontal="center"/>
    </xf>
    <xf numFmtId="0" fontId="2" fillId="0" borderId="35" xfId="0" applyFont="1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40" xfId="0" applyBorder="1" applyAlignment="1">
      <alignment horizontal="right"/>
    </xf>
    <xf numFmtId="0" fontId="0" fillId="9" borderId="40" xfId="0" applyFill="1" applyBorder="1" applyAlignment="1">
      <alignment horizontal="right"/>
    </xf>
    <xf numFmtId="0" fontId="0" fillId="0" borderId="43" xfId="0" applyBorder="1" applyAlignment="1">
      <alignment horizontal="right"/>
    </xf>
    <xf numFmtId="0" fontId="0" fillId="9" borderId="44" xfId="0" applyFill="1" applyBorder="1" applyAlignment="1">
      <alignment horizontal="right"/>
    </xf>
    <xf numFmtId="0" fontId="0" fillId="9" borderId="43" xfId="0" applyFill="1" applyBorder="1" applyAlignment="1">
      <alignment horizontal="right"/>
    </xf>
    <xf numFmtId="0" fontId="0" fillId="0" borderId="42" xfId="0" applyBorder="1" applyAlignment="1">
      <alignment horizontal="right"/>
    </xf>
    <xf numFmtId="0" fontId="0" fillId="0" borderId="36" xfId="0" applyBorder="1" applyAlignment="1">
      <alignment horizontal="left"/>
    </xf>
    <xf numFmtId="0" fontId="0" fillId="0" borderId="40" xfId="0" applyBorder="1" applyAlignment="1">
      <alignment horizontal="left"/>
    </xf>
    <xf numFmtId="0" fontId="2" fillId="0" borderId="40" xfId="0" applyFont="1" applyBorder="1" applyAlignment="1">
      <alignment horizontal="left"/>
    </xf>
    <xf numFmtId="0" fontId="2" fillId="9" borderId="39" xfId="0" applyFont="1" applyFill="1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9" borderId="43" xfId="0" applyFill="1" applyBorder="1" applyAlignment="1">
      <alignment horizontal="left"/>
    </xf>
    <xf numFmtId="0" fontId="0" fillId="0" borderId="35" xfId="0" applyBorder="1" applyAlignment="1">
      <alignment horizontal="right"/>
    </xf>
    <xf numFmtId="0" fontId="0" fillId="0" borderId="44" xfId="0" applyBorder="1" applyAlignment="1">
      <alignment horizontal="right"/>
    </xf>
    <xf numFmtId="0" fontId="2" fillId="0" borderId="36" xfId="0" applyFont="1" applyBorder="1" applyAlignment="1">
      <alignment horizontal="left"/>
    </xf>
    <xf numFmtId="168" fontId="0" fillId="0" borderId="36" xfId="0" applyNumberFormat="1" applyBorder="1" applyAlignment="1">
      <alignment horizontal="right"/>
    </xf>
    <xf numFmtId="168" fontId="0" fillId="0" borderId="42" xfId="0" applyNumberFormat="1" applyBorder="1" applyAlignment="1">
      <alignment horizontal="right"/>
    </xf>
    <xf numFmtId="168" fontId="0" fillId="0" borderId="40" xfId="0" applyNumberFormat="1" applyBorder="1" applyAlignment="1">
      <alignment horizontal="right"/>
    </xf>
    <xf numFmtId="168" fontId="2" fillId="0" borderId="37" xfId="0" applyNumberFormat="1" applyFont="1" applyBorder="1" applyAlignment="1">
      <alignment horizontal="right"/>
    </xf>
    <xf numFmtId="168" fontId="0" fillId="0" borderId="36" xfId="1" applyNumberFormat="1" applyFont="1" applyBorder="1" applyAlignment="1">
      <alignment horizontal="right"/>
    </xf>
    <xf numFmtId="168" fontId="0" fillId="9" borderId="40" xfId="0" applyNumberFormat="1" applyFill="1" applyBorder="1" applyAlignment="1">
      <alignment horizontal="right"/>
    </xf>
    <xf numFmtId="168" fontId="2" fillId="9" borderId="39" xfId="0" applyNumberFormat="1" applyFont="1" applyFill="1" applyBorder="1" applyAlignment="1">
      <alignment horizontal="right"/>
    </xf>
    <xf numFmtId="168" fontId="2" fillId="0" borderId="35" xfId="0" applyNumberFormat="1" applyFont="1" applyBorder="1" applyAlignment="1">
      <alignment horizontal="right"/>
    </xf>
    <xf numFmtId="168" fontId="0" fillId="0" borderId="42" xfId="1" applyNumberFormat="1" applyFont="1" applyBorder="1" applyAlignment="1">
      <alignment horizontal="right"/>
    </xf>
    <xf numFmtId="168" fontId="0" fillId="0" borderId="43" xfId="0" applyNumberFormat="1" applyBorder="1" applyAlignment="1">
      <alignment horizontal="right"/>
    </xf>
    <xf numFmtId="168" fontId="2" fillId="0" borderId="40" xfId="0" applyNumberFormat="1" applyFont="1" applyBorder="1" applyAlignment="1">
      <alignment horizontal="right"/>
    </xf>
    <xf numFmtId="168" fontId="0" fillId="9" borderId="44" xfId="0" applyNumberFormat="1" applyFill="1" applyBorder="1" applyAlignment="1">
      <alignment horizontal="right"/>
    </xf>
    <xf numFmtId="168" fontId="0" fillId="9" borderId="43" xfId="0" applyNumberFormat="1" applyFill="1" applyBorder="1" applyAlignment="1">
      <alignment horizontal="right"/>
    </xf>
    <xf numFmtId="168" fontId="0" fillId="0" borderId="44" xfId="0" applyNumberFormat="1" applyBorder="1" applyAlignment="1">
      <alignment horizontal="right"/>
    </xf>
    <xf numFmtId="168" fontId="0" fillId="0" borderId="35" xfId="0" applyNumberFormat="1" applyBorder="1" applyAlignment="1">
      <alignment horizontal="right"/>
    </xf>
    <xf numFmtId="0" fontId="3" fillId="0" borderId="1" xfId="0" applyFont="1" applyBorder="1"/>
    <xf numFmtId="168" fontId="0" fillId="2" borderId="1" xfId="1" applyNumberFormat="1" applyFont="1" applyFill="1" applyBorder="1"/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9" fillId="0" borderId="14" xfId="0" applyFont="1" applyBorder="1"/>
    <xf numFmtId="0" fontId="9" fillId="0" borderId="15" xfId="0" applyFont="1" applyBorder="1"/>
    <xf numFmtId="0" fontId="7" fillId="0" borderId="21" xfId="0" applyFont="1" applyBorder="1"/>
    <xf numFmtId="0" fontId="7" fillId="0" borderId="22" xfId="0" applyFont="1" applyBorder="1"/>
    <xf numFmtId="167" fontId="3" fillId="4" borderId="0" xfId="0" applyNumberFormat="1" applyFont="1" applyFill="1"/>
    <xf numFmtId="167" fontId="0" fillId="5" borderId="23" xfId="0" applyNumberFormat="1" applyFill="1" applyBorder="1"/>
    <xf numFmtId="0" fontId="0" fillId="9" borderId="1" xfId="0" applyFill="1" applyBorder="1"/>
    <xf numFmtId="168" fontId="0" fillId="2" borderId="1" xfId="0" applyNumberFormat="1" applyFill="1" applyBorder="1"/>
    <xf numFmtId="0" fontId="2" fillId="0" borderId="38" xfId="0" applyFont="1" applyBorder="1" applyAlignment="1">
      <alignment horizontal="center"/>
    </xf>
    <xf numFmtId="168" fontId="2" fillId="0" borderId="38" xfId="0" applyNumberFormat="1" applyFont="1" applyBorder="1" applyAlignment="1">
      <alignment horizontal="right"/>
    </xf>
    <xf numFmtId="0" fontId="0" fillId="0" borderId="10" xfId="0" applyBorder="1"/>
    <xf numFmtId="0" fontId="0" fillId="0" borderId="29" xfId="0" applyBorder="1"/>
    <xf numFmtId="168" fontId="0" fillId="0" borderId="11" xfId="0" applyNumberFormat="1" applyBorder="1"/>
    <xf numFmtId="169" fontId="0" fillId="0" borderId="0" xfId="0" applyNumberFormat="1"/>
    <xf numFmtId="168" fontId="2" fillId="0" borderId="43" xfId="0" applyNumberFormat="1" applyFont="1" applyBorder="1" applyAlignment="1">
      <alignment horizontal="right"/>
    </xf>
    <xf numFmtId="168" fontId="2" fillId="0" borderId="29" xfId="0" applyNumberFormat="1" applyFont="1" applyBorder="1"/>
    <xf numFmtId="0" fontId="0" fillId="0" borderId="44" xfId="0" applyBorder="1" applyAlignment="1">
      <alignment horizontal="left"/>
    </xf>
    <xf numFmtId="168" fontId="0" fillId="0" borderId="44" xfId="1" applyNumberFormat="1" applyFont="1" applyBorder="1" applyAlignment="1">
      <alignment horizontal="right"/>
    </xf>
    <xf numFmtId="168" fontId="0" fillId="2" borderId="0" xfId="0" applyNumberFormat="1" applyFill="1"/>
    <xf numFmtId="0" fontId="0" fillId="3" borderId="1" xfId="0" applyFill="1" applyBorder="1" applyAlignment="1">
      <alignment vertical="top"/>
    </xf>
    <xf numFmtId="167" fontId="0" fillId="12" borderId="9" xfId="0" applyNumberFormat="1" applyFill="1" applyBorder="1" applyAlignment="1">
      <alignment vertical="top"/>
    </xf>
    <xf numFmtId="167" fontId="0" fillId="12" borderId="31" xfId="0" applyNumberFormat="1" applyFill="1" applyBorder="1" applyAlignment="1">
      <alignment vertical="top"/>
    </xf>
    <xf numFmtId="167" fontId="0" fillId="13" borderId="31" xfId="0" applyNumberFormat="1" applyFill="1" applyBorder="1" applyAlignment="1">
      <alignment vertical="top"/>
    </xf>
    <xf numFmtId="167" fontId="0" fillId="7" borderId="9" xfId="0" applyNumberFormat="1" applyFill="1" applyBorder="1" applyAlignment="1">
      <alignment vertical="top"/>
    </xf>
    <xf numFmtId="167" fontId="0" fillId="7" borderId="31" xfId="0" applyNumberFormat="1" applyFill="1" applyBorder="1" applyAlignment="1">
      <alignment vertical="top"/>
    </xf>
    <xf numFmtId="167" fontId="0" fillId="7" borderId="2" xfId="0" applyNumberFormat="1" applyFill="1" applyBorder="1" applyAlignment="1">
      <alignment vertical="top"/>
    </xf>
    <xf numFmtId="167" fontId="0" fillId="11" borderId="9" xfId="0" applyNumberFormat="1" applyFill="1" applyBorder="1" applyAlignment="1">
      <alignment vertical="top"/>
    </xf>
    <xf numFmtId="167" fontId="0" fillId="11" borderId="31" xfId="0" applyNumberFormat="1" applyFill="1" applyBorder="1" applyAlignment="1">
      <alignment vertical="top"/>
    </xf>
    <xf numFmtId="167" fontId="0" fillId="11" borderId="2" xfId="0" applyNumberFormat="1" applyFill="1" applyBorder="1" applyAlignment="1">
      <alignment vertical="top"/>
    </xf>
    <xf numFmtId="167" fontId="0" fillId="14" borderId="9" xfId="0" applyNumberFormat="1" applyFill="1" applyBorder="1" applyAlignment="1">
      <alignment vertical="top"/>
    </xf>
    <xf numFmtId="167" fontId="0" fillId="14" borderId="31" xfId="0" applyNumberFormat="1" applyFill="1" applyBorder="1" applyAlignment="1">
      <alignment vertical="top"/>
    </xf>
    <xf numFmtId="167" fontId="0" fillId="14" borderId="2" xfId="0" applyNumberFormat="1" applyFill="1" applyBorder="1" applyAlignment="1">
      <alignment vertical="top"/>
    </xf>
    <xf numFmtId="167" fontId="0" fillId="5" borderId="1" xfId="0" applyNumberFormat="1" applyFill="1" applyBorder="1" applyAlignment="1">
      <alignment vertical="top"/>
    </xf>
    <xf numFmtId="167" fontId="0" fillId="10" borderId="9" xfId="0" applyNumberFormat="1" applyFill="1" applyBorder="1" applyAlignment="1">
      <alignment vertical="top"/>
    </xf>
    <xf numFmtId="167" fontId="0" fillId="10" borderId="31" xfId="0" applyNumberFormat="1" applyFill="1" applyBorder="1" applyAlignment="1">
      <alignment vertical="top"/>
    </xf>
    <xf numFmtId="167" fontId="0" fillId="10" borderId="2" xfId="0" applyNumberFormat="1" applyFill="1" applyBorder="1" applyAlignment="1">
      <alignment vertical="top"/>
    </xf>
    <xf numFmtId="167" fontId="0" fillId="3" borderId="1" xfId="0" applyNumberFormat="1" applyFill="1" applyBorder="1" applyAlignment="1">
      <alignment vertical="top"/>
    </xf>
    <xf numFmtId="167" fontId="0" fillId="13" borderId="9" xfId="0" applyNumberFormat="1" applyFill="1" applyBorder="1" applyAlignment="1">
      <alignment vertical="top"/>
    </xf>
    <xf numFmtId="0" fontId="0" fillId="3" borderId="2" xfId="0" applyFill="1" applyBorder="1" applyAlignment="1">
      <alignment vertical="top"/>
    </xf>
    <xf numFmtId="1" fontId="0" fillId="3" borderId="2" xfId="0" applyNumberFormat="1" applyFill="1" applyBorder="1"/>
    <xf numFmtId="167" fontId="0" fillId="2" borderId="2" xfId="0" applyNumberFormat="1" applyFill="1" applyBorder="1"/>
    <xf numFmtId="0" fontId="2" fillId="10" borderId="14" xfId="0" applyFont="1" applyFill="1" applyBorder="1"/>
    <xf numFmtId="0" fontId="2" fillId="10" borderId="25" xfId="0" applyFont="1" applyFill="1" applyBorder="1"/>
    <xf numFmtId="0" fontId="2" fillId="10" borderId="15" xfId="0" applyFont="1" applyFill="1" applyBorder="1"/>
    <xf numFmtId="0" fontId="2" fillId="0" borderId="28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0" fillId="0" borderId="50" xfId="0" applyBorder="1"/>
    <xf numFmtId="0" fontId="0" fillId="0" borderId="51" xfId="0" applyBorder="1"/>
    <xf numFmtId="0" fontId="2" fillId="4" borderId="21" xfId="0" applyFont="1" applyFill="1" applyBorder="1"/>
    <xf numFmtId="0" fontId="2" fillId="4" borderId="38" xfId="0" applyFont="1" applyFill="1" applyBorder="1"/>
    <xf numFmtId="0" fontId="2" fillId="4" borderId="22" xfId="0" applyFont="1" applyFill="1" applyBorder="1" applyAlignment="1">
      <alignment horizontal="right"/>
    </xf>
    <xf numFmtId="0" fontId="2" fillId="4" borderId="38" xfId="0" applyFont="1" applyFill="1" applyBorder="1" applyAlignment="1">
      <alignment horizontal="right"/>
    </xf>
    <xf numFmtId="0" fontId="0" fillId="4" borderId="29" xfId="0" applyFill="1" applyBorder="1" applyAlignment="1">
      <alignment vertical="top"/>
    </xf>
    <xf numFmtId="0" fontId="0" fillId="4" borderId="47" xfId="0" applyFill="1" applyBorder="1" applyAlignment="1">
      <alignment horizontal="right" vertical="top"/>
    </xf>
    <xf numFmtId="168" fontId="0" fillId="4" borderId="29" xfId="1" applyNumberFormat="1" applyFont="1" applyFill="1" applyBorder="1" applyAlignment="1">
      <alignment horizontal="right" vertical="top"/>
    </xf>
    <xf numFmtId="168" fontId="0" fillId="4" borderId="11" xfId="1" applyNumberFormat="1" applyFont="1" applyFill="1" applyBorder="1" applyAlignment="1">
      <alignment horizontal="right" vertical="top"/>
    </xf>
    <xf numFmtId="0" fontId="0" fillId="4" borderId="48" xfId="0" applyFill="1" applyBorder="1"/>
    <xf numFmtId="0" fontId="0" fillId="4" borderId="9" xfId="0" applyFill="1" applyBorder="1"/>
    <xf numFmtId="168" fontId="0" fillId="4" borderId="9" xfId="0" applyNumberFormat="1" applyFill="1" applyBorder="1"/>
    <xf numFmtId="0" fontId="0" fillId="4" borderId="14" xfId="0" applyFill="1" applyBorder="1" applyAlignment="1">
      <alignment horizontal="left"/>
    </xf>
    <xf numFmtId="0" fontId="0" fillId="4" borderId="25" xfId="0" applyFill="1" applyBorder="1" applyAlignment="1">
      <alignment horizontal="left"/>
    </xf>
    <xf numFmtId="0" fontId="0" fillId="4" borderId="35" xfId="0" applyFill="1" applyBorder="1"/>
    <xf numFmtId="0" fontId="0" fillId="4" borderId="10" xfId="0" applyFill="1" applyBorder="1" applyAlignment="1">
      <alignment vertical="top"/>
    </xf>
    <xf numFmtId="0" fontId="0" fillId="4" borderId="5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168" fontId="0" fillId="4" borderId="1" xfId="0" applyNumberFormat="1" applyFill="1" applyBorder="1" applyAlignment="1">
      <alignment horizontal="right" vertical="top"/>
    </xf>
    <xf numFmtId="168" fontId="0" fillId="4" borderId="6" xfId="1" applyNumberFormat="1" applyFont="1" applyFill="1" applyBorder="1" applyAlignment="1">
      <alignment horizontal="right" vertical="top"/>
    </xf>
    <xf numFmtId="0" fontId="0" fillId="4" borderId="1" xfId="0" applyFill="1" applyBorder="1" applyAlignment="1">
      <alignment horizontal="right" vertical="top"/>
    </xf>
    <xf numFmtId="168" fontId="0" fillId="4" borderId="1" xfId="1" applyNumberFormat="1" applyFont="1" applyFill="1" applyBorder="1" applyAlignment="1">
      <alignment horizontal="right" vertical="top"/>
    </xf>
    <xf numFmtId="0" fontId="0" fillId="4" borderId="1" xfId="0" applyFill="1" applyBorder="1" applyAlignment="1">
      <alignment horizontal="right"/>
    </xf>
    <xf numFmtId="168" fontId="0" fillId="4" borderId="1" xfId="0" applyNumberFormat="1" applyFill="1" applyBorder="1"/>
    <xf numFmtId="168" fontId="0" fillId="4" borderId="6" xfId="0" applyNumberFormat="1" applyFill="1" applyBorder="1"/>
    <xf numFmtId="0" fontId="2" fillId="4" borderId="18" xfId="0" applyFont="1" applyFill="1" applyBorder="1" applyAlignment="1">
      <alignment vertical="top"/>
    </xf>
    <xf numFmtId="168" fontId="0" fillId="4" borderId="30" xfId="1" applyNumberFormat="1" applyFont="1" applyFill="1" applyBorder="1" applyAlignment="1">
      <alignment horizontal="right" vertical="top"/>
    </xf>
    <xf numFmtId="168" fontId="2" fillId="4" borderId="13" xfId="0" applyNumberFormat="1" applyFont="1" applyFill="1" applyBorder="1" applyAlignment="1">
      <alignment vertical="top"/>
    </xf>
    <xf numFmtId="0" fontId="0" fillId="0" borderId="8" xfId="0" applyBorder="1"/>
    <xf numFmtId="0" fontId="2" fillId="0" borderId="19" xfId="0" applyFont="1" applyBorder="1"/>
    <xf numFmtId="0" fontId="5" fillId="0" borderId="0" xfId="0" applyFont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167" fontId="0" fillId="4" borderId="0" xfId="0" applyNumberFormat="1" applyFill="1"/>
    <xf numFmtId="167" fontId="2" fillId="0" borderId="0" xfId="0" applyNumberFormat="1" applyFont="1"/>
    <xf numFmtId="44" fontId="0" fillId="0" borderId="0" xfId="1" applyFont="1" applyAlignment="1">
      <alignment horizontal="left"/>
    </xf>
    <xf numFmtId="0" fontId="0" fillId="16" borderId="1" xfId="0" applyFill="1" applyBorder="1"/>
    <xf numFmtId="0" fontId="3" fillId="16" borderId="1" xfId="0" applyFont="1" applyFill="1" applyBorder="1"/>
    <xf numFmtId="167" fontId="3" fillId="16" borderId="1" xfId="0" applyNumberFormat="1" applyFont="1" applyFill="1" applyBorder="1"/>
    <xf numFmtId="167" fontId="0" fillId="16" borderId="1" xfId="0" applyNumberFormat="1" applyFill="1" applyBorder="1"/>
    <xf numFmtId="167" fontId="3" fillId="4" borderId="1" xfId="0" applyNumberFormat="1" applyFont="1" applyFill="1" applyBorder="1" applyAlignment="1">
      <alignment horizontal="right"/>
    </xf>
    <xf numFmtId="1" fontId="3" fillId="0" borderId="0" xfId="0" applyNumberFormat="1" applyFont="1"/>
    <xf numFmtId="0" fontId="9" fillId="0" borderId="0" xfId="0" applyFont="1" applyAlignment="1">
      <alignment horizontal="center" wrapText="1"/>
    </xf>
    <xf numFmtId="0" fontId="5" fillId="0" borderId="0" xfId="0" applyFont="1"/>
    <xf numFmtId="0" fontId="3" fillId="4" borderId="0" xfId="0" applyFont="1" applyFill="1"/>
    <xf numFmtId="168" fontId="0" fillId="4" borderId="34" xfId="0" applyNumberFormat="1" applyFill="1" applyBorder="1"/>
    <xf numFmtId="168" fontId="2" fillId="4" borderId="25" xfId="0" applyNumberFormat="1" applyFont="1" applyFill="1" applyBorder="1"/>
    <xf numFmtId="168" fontId="2" fillId="4" borderId="35" xfId="0" applyNumberFormat="1" applyFont="1" applyFill="1" applyBorder="1"/>
    <xf numFmtId="170" fontId="0" fillId="0" borderId="0" xfId="2" applyNumberFormat="1" applyFont="1"/>
    <xf numFmtId="170" fontId="0" fillId="0" borderId="23" xfId="2" applyNumberFormat="1" applyFont="1" applyBorder="1"/>
    <xf numFmtId="167" fontId="0" fillId="8" borderId="0" xfId="0" applyNumberFormat="1" applyFill="1"/>
    <xf numFmtId="167" fontId="4" fillId="4" borderId="1" xfId="0" applyNumberFormat="1" applyFont="1" applyFill="1" applyBorder="1"/>
    <xf numFmtId="167" fontId="0" fillId="4" borderId="1" xfId="0" applyNumberFormat="1" applyFill="1" applyBorder="1" applyAlignment="1">
      <alignment horizontal="right"/>
    </xf>
    <xf numFmtId="0" fontId="3" fillId="4" borderId="1" xfId="0" applyFont="1" applyFill="1" applyBorder="1"/>
    <xf numFmtId="0" fontId="15" fillId="4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15" fillId="0" borderId="1" xfId="0" applyFont="1" applyBorder="1" applyAlignment="1">
      <alignment horizontal="left"/>
    </xf>
    <xf numFmtId="0" fontId="0" fillId="4" borderId="1" xfId="0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5" fillId="16" borderId="1" xfId="0" applyFont="1" applyFill="1" applyBorder="1" applyAlignment="1">
      <alignment horizontal="left"/>
    </xf>
    <xf numFmtId="0" fontId="0" fillId="16" borderId="1" xfId="0" applyFill="1" applyBorder="1" applyAlignment="1">
      <alignment horizontal="left"/>
    </xf>
    <xf numFmtId="0" fontId="0" fillId="14" borderId="1" xfId="0" applyFill="1" applyBorder="1" applyAlignment="1">
      <alignment horizontal="left"/>
    </xf>
    <xf numFmtId="0" fontId="0" fillId="14" borderId="0" xfId="0" applyFill="1"/>
    <xf numFmtId="167" fontId="3" fillId="14" borderId="1" xfId="0" applyNumberFormat="1" applyFont="1" applyFill="1" applyBorder="1"/>
    <xf numFmtId="0" fontId="15" fillId="14" borderId="1" xfId="0" applyFont="1" applyFill="1" applyBorder="1" applyAlignment="1">
      <alignment horizontal="left"/>
    </xf>
    <xf numFmtId="0" fontId="15" fillId="0" borderId="1" xfId="0" applyFont="1" applyBorder="1" applyAlignment="1">
      <alignment horizontal="left" wrapText="1"/>
    </xf>
    <xf numFmtId="0" fontId="0" fillId="0" borderId="48" xfId="0" applyBorder="1"/>
    <xf numFmtId="0" fontId="0" fillId="0" borderId="9" xfId="0" applyBorder="1" applyAlignment="1">
      <alignment horizontal="right"/>
    </xf>
    <xf numFmtId="168" fontId="0" fillId="0" borderId="9" xfId="0" applyNumberFormat="1" applyBorder="1"/>
    <xf numFmtId="168" fontId="2" fillId="0" borderId="15" xfId="0" applyNumberFormat="1" applyFont="1" applyBorder="1" applyAlignment="1">
      <alignment horizontal="right"/>
    </xf>
    <xf numFmtId="168" fontId="0" fillId="0" borderId="3" xfId="0" applyNumberFormat="1" applyBorder="1"/>
    <xf numFmtId="168" fontId="2" fillId="0" borderId="49" xfId="0" applyNumberFormat="1" applyFont="1" applyBorder="1"/>
    <xf numFmtId="168" fontId="0" fillId="0" borderId="4" xfId="0" applyNumberFormat="1" applyBorder="1"/>
    <xf numFmtId="168" fontId="0" fillId="0" borderId="0" xfId="0" applyNumberFormat="1"/>
    <xf numFmtId="168" fontId="2" fillId="0" borderId="3" xfId="0" applyNumberFormat="1" applyFont="1" applyBorder="1"/>
    <xf numFmtId="168" fontId="2" fillId="0" borderId="4" xfId="0" applyNumberFormat="1" applyFont="1" applyBorder="1"/>
    <xf numFmtId="9" fontId="0" fillId="0" borderId="1" xfId="6" applyFont="1" applyBorder="1"/>
    <xf numFmtId="0" fontId="0" fillId="0" borderId="5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53" xfId="0" applyBorder="1" applyAlignment="1">
      <alignment vertical="top"/>
    </xf>
    <xf numFmtId="0" fontId="0" fillId="0" borderId="2" xfId="0" applyBorder="1" applyAlignment="1">
      <alignment horizontal="right" vertical="top"/>
    </xf>
    <xf numFmtId="0" fontId="0" fillId="0" borderId="1" xfId="0" applyBorder="1" applyAlignment="1">
      <alignment horizontal="right" vertical="top"/>
    </xf>
    <xf numFmtId="0" fontId="0" fillId="4" borderId="10" xfId="0" applyFill="1" applyBorder="1"/>
    <xf numFmtId="166" fontId="2" fillId="0" borderId="29" xfId="0" applyNumberFormat="1" applyFont="1" applyBorder="1"/>
    <xf numFmtId="166" fontId="2" fillId="4" borderId="29" xfId="0" applyNumberFormat="1" applyFont="1" applyFill="1" applyBorder="1"/>
    <xf numFmtId="166" fontId="2" fillId="2" borderId="11" xfId="0" applyNumberFormat="1" applyFont="1" applyFill="1" applyBorder="1" applyAlignment="1">
      <alignment vertical="top"/>
    </xf>
    <xf numFmtId="166" fontId="2" fillId="0" borderId="1" xfId="0" applyNumberFormat="1" applyFont="1" applyBorder="1"/>
    <xf numFmtId="166" fontId="2" fillId="4" borderId="1" xfId="0" applyNumberFormat="1" applyFont="1" applyFill="1" applyBorder="1"/>
    <xf numFmtId="166" fontId="2" fillId="2" borderId="1" xfId="0" applyNumberFormat="1" applyFont="1" applyFill="1" applyBorder="1" applyAlignment="1">
      <alignment vertical="top"/>
    </xf>
    <xf numFmtId="0" fontId="0" fillId="0" borderId="9" xfId="0" applyBorder="1"/>
    <xf numFmtId="166" fontId="2" fillId="0" borderId="9" xfId="0" applyNumberFormat="1" applyFont="1" applyBorder="1"/>
    <xf numFmtId="166" fontId="2" fillId="4" borderId="9" xfId="0" applyNumberFormat="1" applyFont="1" applyFill="1" applyBorder="1"/>
    <xf numFmtId="166" fontId="2" fillId="2" borderId="9" xfId="0" applyNumberFormat="1" applyFont="1" applyFill="1" applyBorder="1" applyAlignment="1">
      <alignment vertical="top"/>
    </xf>
    <xf numFmtId="0" fontId="0" fillId="9" borderId="21" xfId="0" applyFill="1" applyBorder="1"/>
    <xf numFmtId="0" fontId="0" fillId="9" borderId="24" xfId="0" applyFill="1" applyBorder="1"/>
    <xf numFmtId="0" fontId="0" fillId="9" borderId="22" xfId="0" applyFill="1" applyBorder="1"/>
    <xf numFmtId="168" fontId="2" fillId="4" borderId="13" xfId="0" applyNumberFormat="1" applyFont="1" applyFill="1" applyBorder="1"/>
    <xf numFmtId="167" fontId="3" fillId="2" borderId="1" xfId="0" applyNumberFormat="1" applyFont="1" applyFill="1" applyBorder="1"/>
    <xf numFmtId="0" fontId="5" fillId="0" borderId="27" xfId="0" applyFont="1" applyBorder="1"/>
    <xf numFmtId="0" fontId="0" fillId="0" borderId="55" xfId="0" applyBorder="1"/>
    <xf numFmtId="0" fontId="3" fillId="0" borderId="55" xfId="0" applyFont="1" applyBorder="1"/>
    <xf numFmtId="0" fontId="5" fillId="0" borderId="41" xfId="0" applyFont="1" applyBorder="1"/>
    <xf numFmtId="0" fontId="4" fillId="6" borderId="20" xfId="0" applyFont="1" applyFill="1" applyBorder="1"/>
    <xf numFmtId="167" fontId="0" fillId="11" borderId="36" xfId="0" applyNumberFormat="1" applyFill="1" applyBorder="1"/>
    <xf numFmtId="167" fontId="3" fillId="4" borderId="40" xfId="0" applyNumberFormat="1" applyFont="1" applyFill="1" applyBorder="1"/>
    <xf numFmtId="167" fontId="0" fillId="0" borderId="40" xfId="0" applyNumberFormat="1" applyBorder="1"/>
    <xf numFmtId="0" fontId="0" fillId="0" borderId="40" xfId="0" applyBorder="1"/>
    <xf numFmtId="167" fontId="0" fillId="0" borderId="43" xfId="0" applyNumberFormat="1" applyBorder="1"/>
    <xf numFmtId="167" fontId="0" fillId="5" borderId="37" xfId="0" applyNumberFormat="1" applyFill="1" applyBorder="1"/>
    <xf numFmtId="1" fontId="0" fillId="0" borderId="49" xfId="0" applyNumberFormat="1" applyBorder="1"/>
    <xf numFmtId="0" fontId="8" fillId="4" borderId="1" xfId="0" applyFont="1" applyFill="1" applyBorder="1"/>
    <xf numFmtId="0" fontId="8" fillId="0" borderId="1" xfId="0" applyFont="1" applyBorder="1"/>
    <xf numFmtId="167" fontId="3" fillId="0" borderId="0" xfId="0" applyNumberFormat="1" applyFont="1"/>
    <xf numFmtId="167" fontId="0" fillId="4" borderId="13" xfId="0" applyNumberFormat="1" applyFill="1" applyBorder="1"/>
    <xf numFmtId="167" fontId="0" fillId="4" borderId="8" xfId="0" applyNumberFormat="1" applyFill="1" applyBorder="1"/>
    <xf numFmtId="0" fontId="6" fillId="4" borderId="1" xfId="0" applyFont="1" applyFill="1" applyBorder="1"/>
    <xf numFmtId="167" fontId="0" fillId="4" borderId="20" xfId="0" applyNumberFormat="1" applyFill="1" applyBorder="1"/>
    <xf numFmtId="0" fontId="0" fillId="0" borderId="31" xfId="0" applyBorder="1"/>
    <xf numFmtId="0" fontId="0" fillId="15" borderId="20" xfId="0" applyFill="1" applyBorder="1"/>
    <xf numFmtId="0" fontId="0" fillId="0" borderId="57" xfId="0" applyBorder="1"/>
    <xf numFmtId="167" fontId="2" fillId="13" borderId="1" xfId="0" applyNumberFormat="1" applyFont="1" applyFill="1" applyBorder="1"/>
    <xf numFmtId="0" fontId="2" fillId="0" borderId="2" xfId="0" applyFont="1" applyBorder="1"/>
    <xf numFmtId="167" fontId="0" fillId="0" borderId="7" xfId="0" applyNumberFormat="1" applyBorder="1"/>
    <xf numFmtId="167" fontId="0" fillId="15" borderId="55" xfId="0" applyNumberFormat="1" applyFill="1" applyBorder="1"/>
    <xf numFmtId="167" fontId="4" fillId="6" borderId="41" xfId="0" applyNumberFormat="1" applyFont="1" applyFill="1" applyBorder="1"/>
    <xf numFmtId="0" fontId="2" fillId="0" borderId="14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67" fontId="2" fillId="4" borderId="1" xfId="0" applyNumberFormat="1" applyFont="1" applyFill="1" applyBorder="1"/>
    <xf numFmtId="168" fontId="0" fillId="0" borderId="34" xfId="0" applyNumberFormat="1" applyBorder="1"/>
    <xf numFmtId="0" fontId="2" fillId="0" borderId="27" xfId="0" applyFont="1" applyBorder="1" applyAlignment="1">
      <alignment horizontal="center"/>
    </xf>
    <xf numFmtId="0" fontId="2" fillId="0" borderId="54" xfId="0" applyFont="1" applyBorder="1" applyAlignment="1">
      <alignment horizontal="center"/>
    </xf>
    <xf numFmtId="168" fontId="0" fillId="0" borderId="6" xfId="0" applyNumberFormat="1" applyBorder="1"/>
    <xf numFmtId="168" fontId="0" fillId="4" borderId="6" xfId="1" applyNumberFormat="1" applyFont="1" applyFill="1" applyBorder="1"/>
    <xf numFmtId="168" fontId="2" fillId="0" borderId="6" xfId="1" applyNumberFormat="1" applyFont="1" applyBorder="1"/>
    <xf numFmtId="168" fontId="0" fillId="0" borderId="6" xfId="1" applyNumberFormat="1" applyFont="1" applyBorder="1"/>
    <xf numFmtId="0" fontId="0" fillId="0" borderId="7" xfId="0" applyBorder="1"/>
    <xf numFmtId="0" fontId="0" fillId="9" borderId="18" xfId="0" applyFill="1" applyBorder="1"/>
    <xf numFmtId="0" fontId="0" fillId="9" borderId="7" xfId="0" applyFill="1" applyBorder="1"/>
    <xf numFmtId="44" fontId="4" fillId="4" borderId="6" xfId="1" applyFont="1" applyFill="1" applyBorder="1"/>
    <xf numFmtId="44" fontId="0" fillId="4" borderId="6" xfId="1" applyFont="1" applyFill="1" applyBorder="1"/>
    <xf numFmtId="0" fontId="0" fillId="0" borderId="26" xfId="0" applyBorder="1"/>
    <xf numFmtId="0" fontId="0" fillId="0" borderId="22" xfId="0" applyBorder="1"/>
    <xf numFmtId="1" fontId="0" fillId="4" borderId="1" xfId="1" applyNumberFormat="1" applyFont="1" applyFill="1" applyBorder="1"/>
    <xf numFmtId="9" fontId="0" fillId="2" borderId="1" xfId="6" applyFont="1" applyFill="1" applyBorder="1"/>
    <xf numFmtId="0" fontId="4" fillId="0" borderId="5" xfId="0" applyFont="1" applyBorder="1"/>
    <xf numFmtId="167" fontId="4" fillId="0" borderId="1" xfId="0" applyNumberFormat="1" applyFont="1" applyBorder="1"/>
    <xf numFmtId="43" fontId="4" fillId="0" borderId="1" xfId="2" applyFont="1" applyBorder="1"/>
    <xf numFmtId="44" fontId="4" fillId="0" borderId="6" xfId="1" applyFont="1" applyBorder="1"/>
    <xf numFmtId="0" fontId="5" fillId="15" borderId="10" xfId="0" applyFont="1" applyFill="1" applyBorder="1"/>
    <xf numFmtId="0" fontId="2" fillId="4" borderId="56" xfId="0" applyFont="1" applyFill="1" applyBorder="1"/>
    <xf numFmtId="169" fontId="0" fillId="4" borderId="56" xfId="0" applyNumberFormat="1" applyFill="1" applyBorder="1" applyAlignment="1">
      <alignment horizontal="left"/>
    </xf>
    <xf numFmtId="0" fontId="0" fillId="0" borderId="21" xfId="0" applyBorder="1"/>
    <xf numFmtId="0" fontId="0" fillId="0" borderId="24" xfId="0" applyBorder="1"/>
    <xf numFmtId="168" fontId="0" fillId="0" borderId="7" xfId="1" applyNumberFormat="1" applyFont="1" applyBorder="1"/>
    <xf numFmtId="168" fontId="0" fillId="0" borderId="8" xfId="1" applyNumberFormat="1" applyFont="1" applyBorder="1"/>
    <xf numFmtId="0" fontId="0" fillId="9" borderId="19" xfId="0" applyFill="1" applyBorder="1"/>
    <xf numFmtId="0" fontId="0" fillId="9" borderId="8" xfId="0" applyFill="1" applyBorder="1"/>
    <xf numFmtId="168" fontId="0" fillId="0" borderId="1" xfId="0" applyNumberFormat="1" applyBorder="1"/>
    <xf numFmtId="168" fontId="2" fillId="0" borderId="1" xfId="0" applyNumberFormat="1" applyFont="1" applyBorder="1"/>
    <xf numFmtId="168" fontId="3" fillId="4" borderId="1" xfId="0" applyNumberFormat="1" applyFont="1" applyFill="1" applyBorder="1"/>
    <xf numFmtId="0" fontId="5" fillId="4" borderId="52" xfId="0" applyFont="1" applyFill="1" applyBorder="1"/>
    <xf numFmtId="0" fontId="0" fillId="4" borderId="52" xfId="0" applyFill="1" applyBorder="1"/>
    <xf numFmtId="0" fontId="0" fillId="9" borderId="9" xfId="0" applyFill="1" applyBorder="1"/>
    <xf numFmtId="44" fontId="0" fillId="2" borderId="2" xfId="1" applyFont="1" applyFill="1" applyBorder="1"/>
    <xf numFmtId="0" fontId="0" fillId="4" borderId="11" xfId="0" applyFill="1" applyBorder="1"/>
    <xf numFmtId="44" fontId="0" fillId="4" borderId="13" xfId="1" applyFont="1" applyFill="1" applyBorder="1"/>
    <xf numFmtId="43" fontId="0" fillId="0" borderId="1" xfId="2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3" fontId="0" fillId="0" borderId="1" xfId="0" applyNumberFormat="1" applyBorder="1" applyAlignment="1">
      <alignment horizontal="center"/>
    </xf>
    <xf numFmtId="167" fontId="0" fillId="0" borderId="0" xfId="0" applyNumberFormat="1" applyAlignment="1">
      <alignment horizontal="center"/>
    </xf>
    <xf numFmtId="45" fontId="0" fillId="0" borderId="0" xfId="0" applyNumberFormat="1" applyAlignment="1">
      <alignment horizontal="center"/>
    </xf>
    <xf numFmtId="46" fontId="0" fillId="0" borderId="0" xfId="0" applyNumberFormat="1" applyAlignment="1">
      <alignment horizontal="center"/>
    </xf>
    <xf numFmtId="47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43" fontId="2" fillId="0" borderId="0" xfId="2" applyFont="1" applyAlignment="1">
      <alignment horizontal="center" vertical="top"/>
    </xf>
    <xf numFmtId="43" fontId="0" fillId="0" borderId="0" xfId="2" applyFont="1" applyAlignment="1">
      <alignment horizontal="center"/>
    </xf>
    <xf numFmtId="0" fontId="0" fillId="11" borderId="0" xfId="0" applyFill="1" applyAlignment="1">
      <alignment horizontal="center"/>
    </xf>
    <xf numFmtId="43" fontId="0" fillId="0" borderId="1" xfId="2" applyFont="1" applyBorder="1" applyAlignment="1">
      <alignment horizontal="left"/>
    </xf>
    <xf numFmtId="46" fontId="0" fillId="13" borderId="20" xfId="0" applyNumberFormat="1" applyFill="1" applyBorder="1"/>
    <xf numFmtId="46" fontId="0" fillId="13" borderId="58" xfId="0" applyNumberFormat="1" applyFill="1" applyBorder="1"/>
    <xf numFmtId="43" fontId="0" fillId="0" borderId="1" xfId="0" applyNumberFormat="1" applyBorder="1"/>
    <xf numFmtId="0" fontId="2" fillId="4" borderId="41" xfId="0" applyFont="1" applyFill="1" applyBorder="1" applyAlignment="1">
      <alignment vertical="top"/>
    </xf>
    <xf numFmtId="0" fontId="2" fillId="4" borderId="45" xfId="0" applyFont="1" applyFill="1" applyBorder="1" applyAlignment="1">
      <alignment vertical="top"/>
    </xf>
    <xf numFmtId="0" fontId="2" fillId="4" borderId="46" xfId="0" applyFont="1" applyFill="1" applyBorder="1" applyAlignment="1">
      <alignment vertical="top"/>
    </xf>
    <xf numFmtId="168" fontId="2" fillId="0" borderId="35" xfId="1" applyNumberFormat="1" applyFont="1" applyBorder="1"/>
    <xf numFmtId="168" fontId="2" fillId="10" borderId="35" xfId="0" applyNumberFormat="1" applyFont="1" applyFill="1" applyBorder="1"/>
    <xf numFmtId="168" fontId="2" fillId="10" borderId="35" xfId="1" applyNumberFormat="1" applyFont="1" applyFill="1" applyBorder="1"/>
    <xf numFmtId="167" fontId="2" fillId="0" borderId="24" xfId="0" applyNumberFormat="1" applyFont="1" applyBorder="1"/>
    <xf numFmtId="170" fontId="0" fillId="0" borderId="24" xfId="2" applyNumberFormat="1" applyFont="1" applyBorder="1"/>
    <xf numFmtId="0" fontId="2" fillId="0" borderId="3" xfId="0" applyFont="1" applyBorder="1" applyAlignment="1">
      <alignment vertical="top"/>
    </xf>
    <xf numFmtId="0" fontId="2" fillId="0" borderId="49" xfId="0" applyFont="1" applyBorder="1" applyAlignment="1">
      <alignment vertical="top"/>
    </xf>
    <xf numFmtId="0" fontId="2" fillId="0" borderId="49" xfId="0" applyFont="1" applyBorder="1" applyAlignment="1">
      <alignment horizontal="right" vertical="top"/>
    </xf>
    <xf numFmtId="168" fontId="2" fillId="0" borderId="49" xfId="1" applyNumberFormat="1" applyFont="1" applyBorder="1" applyAlignment="1">
      <alignment horizontal="right" vertical="top"/>
    </xf>
    <xf numFmtId="168" fontId="2" fillId="0" borderId="4" xfId="1" applyNumberFormat="1" applyFont="1" applyBorder="1" applyAlignment="1">
      <alignment horizontal="right" vertical="top"/>
    </xf>
    <xf numFmtId="0" fontId="0" fillId="0" borderId="2" xfId="0" applyBorder="1" applyAlignment="1">
      <alignment vertical="top"/>
    </xf>
    <xf numFmtId="168" fontId="0" fillId="0" borderId="2" xfId="1" applyNumberFormat="1" applyFont="1" applyBorder="1" applyAlignment="1">
      <alignment horizontal="right" vertical="top"/>
    </xf>
    <xf numFmtId="168" fontId="0" fillId="0" borderId="1" xfId="1" applyNumberFormat="1" applyFont="1" applyBorder="1" applyAlignment="1">
      <alignment horizontal="right" vertical="top"/>
    </xf>
    <xf numFmtId="0" fontId="0" fillId="9" borderId="48" xfId="0" applyFill="1" applyBorder="1" applyAlignment="1">
      <alignment vertical="top"/>
    </xf>
    <xf numFmtId="0" fontId="0" fillId="9" borderId="9" xfId="0" applyFill="1" applyBorder="1" applyAlignment="1">
      <alignment vertical="top"/>
    </xf>
    <xf numFmtId="0" fontId="0" fillId="9" borderId="9" xfId="0" applyFill="1" applyBorder="1" applyAlignment="1">
      <alignment horizontal="right" vertical="top"/>
    </xf>
    <xf numFmtId="168" fontId="0" fillId="9" borderId="9" xfId="1" applyNumberFormat="1" applyFont="1" applyFill="1" applyBorder="1" applyAlignment="1">
      <alignment horizontal="right" vertical="top"/>
    </xf>
    <xf numFmtId="168" fontId="0" fillId="9" borderId="34" xfId="1" applyNumberFormat="1" applyFont="1" applyFill="1" applyBorder="1" applyAlignment="1">
      <alignment horizontal="right" vertical="top"/>
    </xf>
    <xf numFmtId="0" fontId="0" fillId="0" borderId="4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9" xfId="0" applyBorder="1" applyAlignment="1">
      <alignment horizontal="right" vertical="top"/>
    </xf>
    <xf numFmtId="168" fontId="0" fillId="0" borderId="9" xfId="1" applyNumberFormat="1" applyFont="1" applyBorder="1" applyAlignment="1">
      <alignment horizontal="right" vertical="top"/>
    </xf>
    <xf numFmtId="168" fontId="2" fillId="0" borderId="35" xfId="1" applyNumberFormat="1" applyFont="1" applyBorder="1" applyAlignment="1">
      <alignment horizontal="right" vertical="top"/>
    </xf>
    <xf numFmtId="0" fontId="2" fillId="4" borderId="1" xfId="0" applyFont="1" applyFill="1" applyBorder="1"/>
    <xf numFmtId="0" fontId="4" fillId="2" borderId="1" xfId="0" applyFont="1" applyFill="1" applyBorder="1"/>
    <xf numFmtId="0" fontId="0" fillId="4" borderId="27" xfId="0" applyFill="1" applyBorder="1" applyAlignment="1">
      <alignment horizontal="left" vertical="top"/>
    </xf>
    <xf numFmtId="0" fontId="0" fillId="6" borderId="0" xfId="0" applyFill="1"/>
    <xf numFmtId="0" fontId="23" fillId="0" borderId="0" xfId="0" applyFont="1" applyAlignment="1">
      <alignment vertical="center" wrapText="1"/>
    </xf>
    <xf numFmtId="0" fontId="24" fillId="0" borderId="0" xfId="0" applyFont="1" applyAlignment="1">
      <alignment vertical="center" wrapText="1"/>
    </xf>
    <xf numFmtId="0" fontId="0" fillId="0" borderId="62" xfId="0" applyBorder="1"/>
    <xf numFmtId="0" fontId="31" fillId="0" borderId="0" xfId="0" applyFont="1"/>
    <xf numFmtId="0" fontId="31" fillId="0" borderId="0" xfId="0" applyFont="1" applyAlignment="1">
      <alignment wrapText="1"/>
    </xf>
    <xf numFmtId="0" fontId="0" fillId="0" borderId="0" xfId="0" applyAlignment="1">
      <alignment wrapText="1"/>
    </xf>
    <xf numFmtId="0" fontId="37" fillId="4" borderId="1" xfId="3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0" fillId="4" borderId="53" xfId="0" applyFill="1" applyBorder="1" applyAlignment="1">
      <alignment vertical="top"/>
    </xf>
    <xf numFmtId="0" fontId="0" fillId="4" borderId="2" xfId="0" applyFill="1" applyBorder="1" applyAlignment="1">
      <alignment vertical="top"/>
    </xf>
    <xf numFmtId="1" fontId="0" fillId="4" borderId="2" xfId="0" applyNumberFormat="1" applyFill="1" applyBorder="1" applyAlignment="1">
      <alignment horizontal="right" vertical="top"/>
    </xf>
    <xf numFmtId="168" fontId="0" fillId="4" borderId="2" xfId="1" applyNumberFormat="1" applyFont="1" applyFill="1" applyBorder="1" applyAlignment="1">
      <alignment horizontal="right" vertical="top"/>
    </xf>
    <xf numFmtId="168" fontId="0" fillId="4" borderId="16" xfId="1" applyNumberFormat="1" applyFont="1" applyFill="1" applyBorder="1" applyAlignment="1">
      <alignment horizontal="right" vertical="top"/>
    </xf>
    <xf numFmtId="0" fontId="0" fillId="4" borderId="48" xfId="0" applyFill="1" applyBorder="1" applyAlignment="1">
      <alignment vertical="top"/>
    </xf>
    <xf numFmtId="0" fontId="0" fillId="4" borderId="9" xfId="0" applyFill="1" applyBorder="1" applyAlignment="1">
      <alignment vertical="top"/>
    </xf>
    <xf numFmtId="0" fontId="0" fillId="4" borderId="9" xfId="0" applyFill="1" applyBorder="1" applyAlignment="1">
      <alignment horizontal="right" vertical="top"/>
    </xf>
    <xf numFmtId="168" fontId="0" fillId="4" borderId="9" xfId="1" applyNumberFormat="1" applyFont="1" applyFill="1" applyBorder="1" applyAlignment="1">
      <alignment horizontal="right" vertical="top"/>
    </xf>
    <xf numFmtId="168" fontId="0" fillId="4" borderId="34" xfId="1" applyNumberFormat="1" applyFont="1" applyFill="1" applyBorder="1" applyAlignment="1">
      <alignment horizontal="right" vertical="top"/>
    </xf>
    <xf numFmtId="0" fontId="32" fillId="0" borderId="0" xfId="0" applyFont="1"/>
    <xf numFmtId="0" fontId="31" fillId="0" borderId="0" xfId="0" applyFont="1" applyAlignment="1">
      <alignment vertical="center"/>
    </xf>
    <xf numFmtId="0" fontId="0" fillId="0" borderId="0" xfId="0" applyAlignment="1">
      <alignment vertical="center"/>
    </xf>
    <xf numFmtId="0" fontId="19" fillId="0" borderId="0" xfId="0" applyFont="1" applyAlignment="1">
      <alignment vertical="center"/>
    </xf>
    <xf numFmtId="0" fontId="33" fillId="0" borderId="0" xfId="0" applyFont="1"/>
    <xf numFmtId="14" fontId="34" fillId="0" borderId="0" xfId="0" applyNumberFormat="1" applyFont="1"/>
    <xf numFmtId="0" fontId="0" fillId="0" borderId="66" xfId="0" applyBorder="1"/>
    <xf numFmtId="0" fontId="32" fillId="0" borderId="0" xfId="0" applyFont="1" applyAlignment="1">
      <alignment vertical="center"/>
    </xf>
    <xf numFmtId="0" fontId="0" fillId="0" borderId="85" xfId="0" applyBorder="1"/>
    <xf numFmtId="0" fontId="34" fillId="0" borderId="0" xfId="0" applyFont="1" applyAlignment="1">
      <alignment vertical="center"/>
    </xf>
    <xf numFmtId="0" fontId="34" fillId="0" borderId="0" xfId="0" applyFont="1"/>
    <xf numFmtId="0" fontId="0" fillId="0" borderId="0" xfId="0" applyAlignment="1">
      <alignment horizontal="right"/>
    </xf>
    <xf numFmtId="0" fontId="22" fillId="0" borderId="66" xfId="0" applyFont="1" applyBorder="1"/>
    <xf numFmtId="0" fontId="2" fillId="4" borderId="10" xfId="0" applyFont="1" applyFill="1" applyBorder="1"/>
    <xf numFmtId="0" fontId="2" fillId="4" borderId="29" xfId="0" applyFont="1" applyFill="1" applyBorder="1"/>
    <xf numFmtId="14" fontId="34" fillId="0" borderId="5" xfId="0" applyNumberFormat="1" applyFont="1" applyBorder="1"/>
    <xf numFmtId="0" fontId="34" fillId="0" borderId="5" xfId="0" applyFont="1" applyBorder="1"/>
    <xf numFmtId="0" fontId="34" fillId="0" borderId="12" xfId="0" applyFont="1" applyBorder="1"/>
    <xf numFmtId="0" fontId="0" fillId="0" borderId="3" xfId="0" applyBorder="1"/>
    <xf numFmtId="0" fontId="2" fillId="4" borderId="5" xfId="0" applyFont="1" applyFill="1" applyBorder="1"/>
    <xf numFmtId="0" fontId="0" fillId="4" borderId="12" xfId="0" applyFill="1" applyBorder="1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38" fillId="0" borderId="0" xfId="0" applyFont="1"/>
    <xf numFmtId="1" fontId="0" fillId="4" borderId="1" xfId="0" applyNumberFormat="1" applyFill="1" applyBorder="1"/>
    <xf numFmtId="168" fontId="3" fillId="2" borderId="1" xfId="1" applyNumberFormat="1" applyFont="1" applyFill="1" applyBorder="1"/>
    <xf numFmtId="0" fontId="2" fillId="0" borderId="11" xfId="0" applyFont="1" applyBorder="1" applyAlignment="1">
      <alignment horizontal="right"/>
    </xf>
    <xf numFmtId="0" fontId="37" fillId="2" borderId="6" xfId="0" applyFont="1" applyFill="1" applyBorder="1"/>
    <xf numFmtId="0" fontId="37" fillId="2" borderId="13" xfId="0" applyFont="1" applyFill="1" applyBorder="1"/>
    <xf numFmtId="0" fontId="32" fillId="0" borderId="0" xfId="0" applyFont="1" applyAlignment="1">
      <alignment horizontal="left"/>
    </xf>
    <xf numFmtId="0" fontId="22" fillId="0" borderId="62" xfId="0" applyFont="1" applyBorder="1"/>
    <xf numFmtId="44" fontId="0" fillId="17" borderId="1" xfId="1" applyFont="1" applyFill="1" applyBorder="1"/>
    <xf numFmtId="44" fontId="38" fillId="17" borderId="1" xfId="1" applyFont="1" applyFill="1" applyBorder="1"/>
    <xf numFmtId="0" fontId="0" fillId="18" borderId="1" xfId="0" applyFill="1" applyBorder="1"/>
    <xf numFmtId="44" fontId="2" fillId="4" borderId="1" xfId="1" applyFont="1" applyFill="1" applyBorder="1"/>
    <xf numFmtId="44" fontId="0" fillId="4" borderId="2" xfId="1" applyFont="1" applyFill="1" applyBorder="1"/>
    <xf numFmtId="44" fontId="2" fillId="4" borderId="2" xfId="1" applyFont="1" applyFill="1" applyBorder="1"/>
    <xf numFmtId="9" fontId="0" fillId="4" borderId="1" xfId="6" applyFont="1" applyFill="1" applyBorder="1"/>
    <xf numFmtId="0" fontId="38" fillId="0" borderId="1" xfId="0" applyFont="1" applyBorder="1"/>
    <xf numFmtId="165" fontId="0" fillId="4" borderId="1" xfId="0" applyNumberFormat="1" applyFill="1" applyBorder="1"/>
    <xf numFmtId="165" fontId="0" fillId="0" borderId="1" xfId="0" applyNumberFormat="1" applyBorder="1"/>
    <xf numFmtId="164" fontId="0" fillId="0" borderId="1" xfId="0" applyNumberFormat="1" applyBorder="1"/>
    <xf numFmtId="44" fontId="0" fillId="0" borderId="1" xfId="1" applyFont="1" applyBorder="1"/>
    <xf numFmtId="9" fontId="1" fillId="2" borderId="1" xfId="6" applyFill="1" applyBorder="1"/>
    <xf numFmtId="171" fontId="37" fillId="2" borderId="1" xfId="0" applyNumberFormat="1" applyFont="1" applyFill="1" applyBorder="1"/>
    <xf numFmtId="0" fontId="39" fillId="4" borderId="1" xfId="0" applyFont="1" applyFill="1" applyBorder="1"/>
    <xf numFmtId="9" fontId="0" fillId="2" borderId="1" xfId="0" applyNumberFormat="1" applyFill="1" applyBorder="1"/>
    <xf numFmtId="0" fontId="37" fillId="2" borderId="1" xfId="0" applyFont="1" applyFill="1" applyBorder="1"/>
    <xf numFmtId="171" fontId="37" fillId="2" borderId="6" xfId="0" applyNumberFormat="1" applyFont="1" applyFill="1" applyBorder="1"/>
    <xf numFmtId="49" fontId="37" fillId="2" borderId="4" xfId="0" applyNumberFormat="1" applyFont="1" applyFill="1" applyBorder="1"/>
    <xf numFmtId="171" fontId="37" fillId="2" borderId="11" xfId="0" applyNumberFormat="1" applyFont="1" applyFill="1" applyBorder="1"/>
    <xf numFmtId="171" fontId="37" fillId="2" borderId="13" xfId="0" applyNumberFormat="1" applyFont="1" applyFill="1" applyBorder="1"/>
    <xf numFmtId="14" fontId="34" fillId="0" borderId="10" xfId="0" applyNumberFormat="1" applyFont="1" applyBorder="1"/>
    <xf numFmtId="0" fontId="2" fillId="4" borderId="11" xfId="0" applyFont="1" applyFill="1" applyBorder="1"/>
    <xf numFmtId="0" fontId="37" fillId="2" borderId="26" xfId="0" applyFont="1" applyFill="1" applyBorder="1"/>
    <xf numFmtId="171" fontId="37" fillId="2" borderId="26" xfId="0" applyNumberFormat="1" applyFont="1" applyFill="1" applyBorder="1"/>
    <xf numFmtId="0" fontId="2" fillId="2" borderId="10" xfId="0" applyFont="1" applyFill="1" applyBorder="1"/>
    <xf numFmtId="0" fontId="2" fillId="2" borderId="5" xfId="0" applyFont="1" applyFill="1" applyBorder="1"/>
    <xf numFmtId="0" fontId="0" fillId="2" borderId="6" xfId="0" applyFill="1" applyBorder="1"/>
    <xf numFmtId="0" fontId="2" fillId="2" borderId="12" xfId="0" applyFont="1" applyFill="1" applyBorder="1"/>
    <xf numFmtId="0" fontId="2" fillId="4" borderId="0" xfId="0" applyFont="1" applyFill="1"/>
    <xf numFmtId="0" fontId="37" fillId="4" borderId="5" xfId="3" applyFont="1" applyFill="1" applyBorder="1" applyAlignment="1">
      <alignment horizontal="left" vertical="center"/>
    </xf>
    <xf numFmtId="0" fontId="2" fillId="4" borderId="6" xfId="0" applyFont="1" applyFill="1" applyBorder="1" applyAlignment="1">
      <alignment horizontal="left" vertical="center"/>
    </xf>
    <xf numFmtId="0" fontId="0" fillId="2" borderId="5" xfId="0" applyFill="1" applyBorder="1"/>
    <xf numFmtId="0" fontId="37" fillId="2" borderId="11" xfId="0" applyFont="1" applyFill="1" applyBorder="1"/>
    <xf numFmtId="0" fontId="37" fillId="2" borderId="4" xfId="0" applyFont="1" applyFill="1" applyBorder="1"/>
    <xf numFmtId="171" fontId="0" fillId="0" borderId="2" xfId="0" applyNumberFormat="1" applyBorder="1" applyAlignment="1">
      <alignment horizontal="right" vertical="top"/>
    </xf>
    <xf numFmtId="171" fontId="37" fillId="2" borderId="6" xfId="0" applyNumberFormat="1" applyFont="1" applyFill="1" applyBorder="1" applyAlignment="1">
      <alignment horizontal="right"/>
    </xf>
    <xf numFmtId="0" fontId="0" fillId="0" borderId="105" xfId="0" applyBorder="1"/>
    <xf numFmtId="0" fontId="2" fillId="0" borderId="49" xfId="0" applyFont="1" applyBorder="1" applyAlignment="1">
      <alignment horizontal="left" vertical="top"/>
    </xf>
    <xf numFmtId="0" fontId="40" fillId="0" borderId="0" xfId="0" applyFont="1"/>
    <xf numFmtId="0" fontId="40" fillId="0" borderId="1" xfId="0" applyFont="1" applyBorder="1"/>
    <xf numFmtId="22" fontId="2" fillId="0" borderId="1" xfId="0" applyNumberFormat="1" applyFont="1" applyBorder="1"/>
    <xf numFmtId="9" fontId="2" fillId="0" borderId="1" xfId="0" applyNumberFormat="1" applyFont="1" applyBorder="1"/>
    <xf numFmtId="0" fontId="0" fillId="2" borderId="27" xfId="0" applyFill="1" applyBorder="1"/>
    <xf numFmtId="0" fontId="0" fillId="2" borderId="28" xfId="0" applyFill="1" applyBorder="1"/>
    <xf numFmtId="0" fontId="0" fillId="2" borderId="54" xfId="0" applyFill="1" applyBorder="1"/>
    <xf numFmtId="0" fontId="2" fillId="0" borderId="4" xfId="0" applyFont="1" applyBorder="1"/>
    <xf numFmtId="168" fontId="37" fillId="2" borderId="53" xfId="0" applyNumberFormat="1" applyFont="1" applyFill="1" applyBorder="1"/>
    <xf numFmtId="168" fontId="37" fillId="2" borderId="16" xfId="0" applyNumberFormat="1" applyFont="1" applyFill="1" applyBorder="1"/>
    <xf numFmtId="0" fontId="2" fillId="0" borderId="14" xfId="0" applyFont="1" applyBorder="1" applyAlignment="1">
      <alignment vertical="top"/>
    </xf>
    <xf numFmtId="0" fontId="2" fillId="0" borderId="25" xfId="0" applyFont="1" applyBorder="1" applyAlignment="1">
      <alignment vertical="top"/>
    </xf>
    <xf numFmtId="0" fontId="2" fillId="0" borderId="15" xfId="0" applyFont="1" applyBorder="1" applyAlignment="1">
      <alignment vertical="top"/>
    </xf>
    <xf numFmtId="0" fontId="0" fillId="0" borderId="1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15" xfId="0" applyBorder="1" applyAlignment="1">
      <alignment vertical="top"/>
    </xf>
    <xf numFmtId="0" fontId="42" fillId="4" borderId="1" xfId="0" applyFont="1" applyFill="1" applyBorder="1"/>
    <xf numFmtId="2" fontId="42" fillId="0" borderId="1" xfId="0" applyNumberFormat="1" applyFont="1" applyBorder="1"/>
    <xf numFmtId="0" fontId="42" fillId="0" borderId="1" xfId="0" applyFont="1" applyBorder="1"/>
    <xf numFmtId="0" fontId="0" fillId="2" borderId="1" xfId="0" applyFill="1" applyBorder="1" applyAlignment="1">
      <alignment horizontal="center"/>
    </xf>
    <xf numFmtId="167" fontId="4" fillId="2" borderId="1" xfId="0" applyNumberFormat="1" applyFont="1" applyFill="1" applyBorder="1" applyAlignment="1">
      <alignment horizontal="center"/>
    </xf>
    <xf numFmtId="0" fontId="43" fillId="0" borderId="9" xfId="0" applyFont="1" applyBorder="1"/>
    <xf numFmtId="0" fontId="43" fillId="4" borderId="10" xfId="0" applyFont="1" applyFill="1" applyBorder="1"/>
    <xf numFmtId="44" fontId="42" fillId="0" borderId="29" xfId="1" applyFont="1" applyBorder="1"/>
    <xf numFmtId="44" fontId="42" fillId="0" borderId="11" xfId="1" applyFont="1" applyBorder="1"/>
    <xf numFmtId="0" fontId="42" fillId="0" borderId="5" xfId="0" applyFont="1" applyBorder="1"/>
    <xf numFmtId="164" fontId="42" fillId="0" borderId="1" xfId="0" applyNumberFormat="1" applyFont="1" applyBorder="1"/>
    <xf numFmtId="164" fontId="42" fillId="0" borderId="6" xfId="0" applyNumberFormat="1" applyFont="1" applyBorder="1"/>
    <xf numFmtId="0" fontId="42" fillId="4" borderId="5" xfId="0" applyFont="1" applyFill="1" applyBorder="1"/>
    <xf numFmtId="44" fontId="42" fillId="4" borderId="1" xfId="1" applyFont="1" applyFill="1" applyBorder="1"/>
    <xf numFmtId="44" fontId="42" fillId="4" borderId="6" xfId="1" applyFont="1" applyFill="1" applyBorder="1"/>
    <xf numFmtId="9" fontId="42" fillId="4" borderId="1" xfId="6" applyFont="1" applyFill="1" applyBorder="1"/>
    <xf numFmtId="9" fontId="42" fillId="4" borderId="6" xfId="6" applyFont="1" applyFill="1" applyBorder="1"/>
    <xf numFmtId="0" fontId="42" fillId="4" borderId="12" xfId="0" applyFont="1" applyFill="1" applyBorder="1"/>
    <xf numFmtId="164" fontId="42" fillId="0" borderId="26" xfId="0" applyNumberFormat="1" applyFont="1" applyBorder="1"/>
    <xf numFmtId="164" fontId="42" fillId="0" borderId="13" xfId="0" applyNumberFormat="1" applyFont="1" applyBorder="1"/>
    <xf numFmtId="44" fontId="42" fillId="0" borderId="1" xfId="1" applyFont="1" applyBorder="1"/>
    <xf numFmtId="44" fontId="42" fillId="0" borderId="6" xfId="1" applyFont="1" applyBorder="1"/>
    <xf numFmtId="0" fontId="42" fillId="4" borderId="48" xfId="0" applyFont="1" applyFill="1" applyBorder="1"/>
    <xf numFmtId="44" fontId="42" fillId="0" borderId="9" xfId="1" applyFont="1" applyBorder="1"/>
    <xf numFmtId="164" fontId="42" fillId="0" borderId="9" xfId="0" applyNumberFormat="1" applyFont="1" applyBorder="1"/>
    <xf numFmtId="164" fontId="42" fillId="0" borderId="34" xfId="0" applyNumberFormat="1" applyFont="1" applyBorder="1"/>
    <xf numFmtId="0" fontId="42" fillId="4" borderId="53" xfId="0" applyFont="1" applyFill="1" applyBorder="1"/>
    <xf numFmtId="44" fontId="42" fillId="0" borderId="26" xfId="1" applyFont="1" applyBorder="1"/>
    <xf numFmtId="44" fontId="42" fillId="0" borderId="13" xfId="1" applyFont="1" applyBorder="1"/>
    <xf numFmtId="0" fontId="42" fillId="4" borderId="17" xfId="0" applyFont="1" applyFill="1" applyBorder="1"/>
    <xf numFmtId="44" fontId="42" fillId="0" borderId="23" xfId="1" applyFont="1" applyBorder="1"/>
    <xf numFmtId="44" fontId="42" fillId="0" borderId="8" xfId="1" applyFont="1" applyBorder="1"/>
    <xf numFmtId="164" fontId="42" fillId="0" borderId="29" xfId="0" applyNumberFormat="1" applyFont="1" applyBorder="1"/>
    <xf numFmtId="9" fontId="42" fillId="0" borderId="1" xfId="6" applyFont="1" applyBorder="1"/>
    <xf numFmtId="9" fontId="42" fillId="0" borderId="6" xfId="6" applyFont="1" applyBorder="1"/>
    <xf numFmtId="164" fontId="44" fillId="0" borderId="26" xfId="0" applyNumberFormat="1" applyFont="1" applyBorder="1"/>
    <xf numFmtId="164" fontId="44" fillId="0" borderId="13" xfId="0" applyNumberFormat="1" applyFont="1" applyBorder="1"/>
    <xf numFmtId="0" fontId="42" fillId="4" borderId="3" xfId="0" applyFont="1" applyFill="1" applyBorder="1"/>
    <xf numFmtId="164" fontId="42" fillId="0" borderId="25" xfId="0" applyNumberFormat="1" applyFont="1" applyBorder="1"/>
    <xf numFmtId="164" fontId="42" fillId="0" borderId="15" xfId="0" applyNumberFormat="1" applyFont="1" applyBorder="1"/>
    <xf numFmtId="0" fontId="42" fillId="0" borderId="0" xfId="0" applyFont="1"/>
    <xf numFmtId="0" fontId="42" fillId="23" borderId="10" xfId="0" applyFont="1" applyFill="1" applyBorder="1"/>
    <xf numFmtId="0" fontId="42" fillId="23" borderId="5" xfId="0" applyFont="1" applyFill="1" applyBorder="1"/>
    <xf numFmtId="2" fontId="42" fillId="23" borderId="1" xfId="0" applyNumberFormat="1" applyFont="1" applyFill="1" applyBorder="1"/>
    <xf numFmtId="0" fontId="42" fillId="23" borderId="1" xfId="0" applyFont="1" applyFill="1" applyBorder="1"/>
    <xf numFmtId="0" fontId="42" fillId="23" borderId="6" xfId="0" applyFont="1" applyFill="1" applyBorder="1"/>
    <xf numFmtId="0" fontId="42" fillId="24" borderId="5" xfId="0" applyFont="1" applyFill="1" applyBorder="1"/>
    <xf numFmtId="2" fontId="42" fillId="24" borderId="1" xfId="0" applyNumberFormat="1" applyFont="1" applyFill="1" applyBorder="1"/>
    <xf numFmtId="2" fontId="42" fillId="24" borderId="6" xfId="0" applyNumberFormat="1" applyFont="1" applyFill="1" applyBorder="1"/>
    <xf numFmtId="0" fontId="42" fillId="24" borderId="1" xfId="0" applyFont="1" applyFill="1" applyBorder="1"/>
    <xf numFmtId="0" fontId="42" fillId="24" borderId="6" xfId="0" applyFont="1" applyFill="1" applyBorder="1"/>
    <xf numFmtId="0" fontId="42" fillId="25" borderId="5" xfId="0" applyFont="1" applyFill="1" applyBorder="1"/>
    <xf numFmtId="2" fontId="42" fillId="25" borderId="1" xfId="0" applyNumberFormat="1" applyFont="1" applyFill="1" applyBorder="1"/>
    <xf numFmtId="2" fontId="42" fillId="25" borderId="6" xfId="0" applyNumberFormat="1" applyFont="1" applyFill="1" applyBorder="1"/>
    <xf numFmtId="0" fontId="42" fillId="2" borderId="1" xfId="0" applyFont="1" applyFill="1" applyBorder="1"/>
    <xf numFmtId="0" fontId="42" fillId="2" borderId="6" xfId="0" applyFont="1" applyFill="1" applyBorder="1"/>
    <xf numFmtId="44" fontId="42" fillId="0" borderId="1" xfId="0" applyNumberFormat="1" applyFont="1" applyBorder="1" applyAlignment="1">
      <alignment vertical="center"/>
    </xf>
    <xf numFmtId="0" fontId="44" fillId="0" borderId="1" xfId="0" applyFont="1" applyBorder="1" applyAlignment="1">
      <alignment vertical="center"/>
    </xf>
    <xf numFmtId="9" fontId="42" fillId="2" borderId="1" xfId="6" applyFont="1" applyFill="1" applyBorder="1"/>
    <xf numFmtId="44" fontId="42" fillId="0" borderId="1" xfId="0" applyNumberFormat="1" applyFont="1" applyBorder="1"/>
    <xf numFmtId="44" fontId="42" fillId="2" borderId="1" xfId="1" applyFont="1" applyFill="1" applyBorder="1"/>
    <xf numFmtId="49" fontId="37" fillId="0" borderId="11" xfId="0" applyNumberFormat="1" applyFont="1" applyBorder="1"/>
    <xf numFmtId="49" fontId="37" fillId="0" borderId="6" xfId="0" applyNumberFormat="1" applyFont="1" applyBorder="1"/>
    <xf numFmtId="49" fontId="37" fillId="0" borderId="13" xfId="0" applyNumberFormat="1" applyFont="1" applyBorder="1"/>
    <xf numFmtId="49" fontId="37" fillId="0" borderId="4" xfId="0" applyNumberFormat="1" applyFont="1" applyBorder="1"/>
    <xf numFmtId="0" fontId="45" fillId="27" borderId="1" xfId="0" applyFont="1" applyFill="1" applyBorder="1" applyAlignment="1">
      <alignment horizontal="left" vertical="center"/>
    </xf>
    <xf numFmtId="0" fontId="45" fillId="27" borderId="0" xfId="0" applyFont="1" applyFill="1"/>
    <xf numFmtId="0" fontId="2" fillId="26" borderId="1" xfId="0" applyFont="1" applyFill="1" applyBorder="1"/>
    <xf numFmtId="0" fontId="46" fillId="28" borderId="0" xfId="0" applyFont="1" applyFill="1" applyAlignment="1">
      <alignment horizontal="center" vertical="center"/>
    </xf>
    <xf numFmtId="0" fontId="46" fillId="28" borderId="0" xfId="0" applyFont="1" applyFill="1" applyAlignment="1">
      <alignment horizontal="center" vertical="center" wrapText="1"/>
    </xf>
    <xf numFmtId="0" fontId="0" fillId="29" borderId="1" xfId="0" applyFill="1" applyBorder="1"/>
    <xf numFmtId="0" fontId="47" fillId="29" borderId="1" xfId="0" applyFont="1" applyFill="1" applyBorder="1" applyAlignment="1">
      <alignment vertical="center" wrapText="1"/>
    </xf>
    <xf numFmtId="0" fontId="0" fillId="0" borderId="0" xfId="0" quotePrefix="1"/>
    <xf numFmtId="20" fontId="0" fillId="0" borderId="0" xfId="0" applyNumberFormat="1"/>
    <xf numFmtId="0" fontId="0" fillId="26" borderId="1" xfId="0" applyFill="1" applyBorder="1"/>
    <xf numFmtId="0" fontId="47" fillId="26" borderId="1" xfId="0" applyFont="1" applyFill="1" applyBorder="1" applyAlignment="1">
      <alignment vertical="center" wrapText="1"/>
    </xf>
    <xf numFmtId="0" fontId="48" fillId="30" borderId="1" xfId="0" applyFont="1" applyFill="1" applyBorder="1"/>
    <xf numFmtId="0" fontId="48" fillId="25" borderId="1" xfId="0" applyFont="1" applyFill="1" applyBorder="1"/>
    <xf numFmtId="0" fontId="51" fillId="29" borderId="1" xfId="0" applyFont="1" applyFill="1" applyBorder="1" applyAlignment="1">
      <alignment vertical="center" wrapText="1"/>
    </xf>
    <xf numFmtId="0" fontId="51" fillId="29" borderId="1" xfId="0" applyFont="1" applyFill="1" applyBorder="1" applyAlignment="1">
      <alignment vertical="center"/>
    </xf>
    <xf numFmtId="168" fontId="51" fillId="29" borderId="1" xfId="1" applyNumberFormat="1" applyFont="1" applyFill="1" applyBorder="1" applyAlignment="1">
      <alignment vertical="center" wrapText="1"/>
    </xf>
    <xf numFmtId="0" fontId="48" fillId="31" borderId="1" xfId="0" applyFont="1" applyFill="1" applyBorder="1"/>
    <xf numFmtId="0" fontId="48" fillId="32" borderId="1" xfId="0" applyFont="1" applyFill="1" applyBorder="1"/>
    <xf numFmtId="0" fontId="48" fillId="4" borderId="1" xfId="0" applyFont="1" applyFill="1" applyBorder="1"/>
    <xf numFmtId="0" fontId="0" fillId="2" borderId="115" xfId="0" applyFill="1" applyBorder="1"/>
    <xf numFmtId="0" fontId="0" fillId="2" borderId="25" xfId="0" applyFill="1" applyBorder="1"/>
    <xf numFmtId="0" fontId="0" fillId="2" borderId="15" xfId="0" applyFill="1" applyBorder="1"/>
    <xf numFmtId="0" fontId="0" fillId="2" borderId="116" xfId="0" applyFill="1" applyBorder="1"/>
    <xf numFmtId="0" fontId="0" fillId="2" borderId="28" xfId="0" applyFill="1" applyBorder="1"/>
    <xf numFmtId="0" fontId="0" fillId="2" borderId="54" xfId="0" applyFill="1" applyBorder="1"/>
    <xf numFmtId="0" fontId="2" fillId="4" borderId="35" xfId="0" applyFont="1" applyFill="1" applyBorder="1" applyAlignment="1">
      <alignment horizontal="left"/>
    </xf>
    <xf numFmtId="0" fontId="0" fillId="0" borderId="25" xfId="0" applyBorder="1"/>
    <xf numFmtId="0" fontId="0" fillId="0" borderId="15" xfId="0" applyBorder="1"/>
    <xf numFmtId="167" fontId="0" fillId="10" borderId="6" xfId="0" applyNumberFormat="1" applyFill="1" applyBorder="1" applyAlignment="1">
      <alignment horizontal="center" vertical="top"/>
    </xf>
    <xf numFmtId="0" fontId="0" fillId="0" borderId="30" xfId="0" applyBorder="1"/>
    <xf numFmtId="0" fontId="0" fillId="0" borderId="16" xfId="0" applyBorder="1"/>
    <xf numFmtId="167" fontId="0" fillId="5" borderId="6" xfId="0" applyNumberFormat="1" applyFill="1" applyBorder="1" applyAlignment="1">
      <alignment horizontal="center" vertical="top"/>
    </xf>
    <xf numFmtId="166" fontId="0" fillId="0" borderId="32" xfId="0" applyNumberFormat="1" applyBorder="1" applyAlignment="1">
      <alignment horizontal="center"/>
    </xf>
    <xf numFmtId="0" fontId="0" fillId="0" borderId="60" xfId="0" applyBorder="1"/>
    <xf numFmtId="166" fontId="0" fillId="0" borderId="2" xfId="0" applyNumberFormat="1" applyBorder="1" applyAlignment="1">
      <alignment horizontal="center"/>
    </xf>
    <xf numFmtId="0" fontId="0" fillId="0" borderId="61" xfId="0" applyBorder="1"/>
    <xf numFmtId="167" fontId="0" fillId="12" borderId="34" xfId="0" applyNumberFormat="1" applyFill="1" applyBorder="1" applyAlignment="1">
      <alignment horizontal="center" vertical="top"/>
    </xf>
    <xf numFmtId="0" fontId="5" fillId="0" borderId="35" xfId="0" applyFont="1" applyBorder="1" applyAlignment="1">
      <alignment horizontal="center"/>
    </xf>
    <xf numFmtId="0" fontId="10" fillId="0" borderId="35" xfId="0" applyFont="1" applyBorder="1" applyAlignment="1">
      <alignment horizontal="center"/>
    </xf>
    <xf numFmtId="49" fontId="5" fillId="0" borderId="35" xfId="0" applyNumberFormat="1" applyFont="1" applyBorder="1" applyAlignment="1">
      <alignment horizontal="center"/>
    </xf>
    <xf numFmtId="167" fontId="0" fillId="14" borderId="6" xfId="0" applyNumberFormat="1" applyFill="1" applyBorder="1" applyAlignment="1">
      <alignment horizontal="center" vertical="top"/>
    </xf>
    <xf numFmtId="167" fontId="0" fillId="11" borderId="6" xfId="0" applyNumberFormat="1" applyFill="1" applyBorder="1" applyAlignment="1">
      <alignment horizontal="center" vertical="top"/>
    </xf>
    <xf numFmtId="0" fontId="0" fillId="3" borderId="5" xfId="0" applyFill="1" applyBorder="1" applyAlignment="1">
      <alignment horizontal="center" vertical="top"/>
    </xf>
    <xf numFmtId="0" fontId="0" fillId="0" borderId="59" xfId="0" applyBorder="1"/>
    <xf numFmtId="0" fontId="0" fillId="0" borderId="53" xfId="0" applyBorder="1"/>
    <xf numFmtId="167" fontId="0" fillId="13" borderId="35" xfId="0" applyNumberFormat="1" applyFill="1" applyBorder="1" applyAlignment="1">
      <alignment horizontal="center" vertical="top"/>
    </xf>
    <xf numFmtId="0" fontId="0" fillId="0" borderId="43" xfId="0" applyBorder="1"/>
    <xf numFmtId="0" fontId="0" fillId="0" borderId="39" xfId="0" applyBorder="1"/>
    <xf numFmtId="167" fontId="0" fillId="7" borderId="6" xfId="0" applyNumberFormat="1" applyFill="1" applyBorder="1" applyAlignment="1">
      <alignment horizontal="center" vertical="top"/>
    </xf>
    <xf numFmtId="167" fontId="0" fillId="13" borderId="6" xfId="0" applyNumberFormat="1" applyFill="1" applyBorder="1" applyAlignment="1">
      <alignment horizontal="center" vertical="top"/>
    </xf>
    <xf numFmtId="167" fontId="0" fillId="3" borderId="6" xfId="0" applyNumberFormat="1" applyFill="1" applyBorder="1" applyAlignment="1">
      <alignment horizontal="center" vertical="top"/>
    </xf>
    <xf numFmtId="0" fontId="2" fillId="0" borderId="67" xfId="0" applyFont="1" applyBorder="1" applyAlignment="1">
      <alignment horizontal="left"/>
    </xf>
    <xf numFmtId="0" fontId="2" fillId="0" borderId="68" xfId="0" applyFont="1" applyBorder="1" applyAlignment="1">
      <alignment horizontal="left"/>
    </xf>
    <xf numFmtId="168" fontId="2" fillId="0" borderId="68" xfId="0" applyNumberFormat="1" applyFont="1" applyBorder="1" applyAlignment="1">
      <alignment horizontal="right"/>
    </xf>
    <xf numFmtId="0" fontId="2" fillId="0" borderId="68" xfId="0" applyFont="1" applyBorder="1" applyAlignment="1">
      <alignment horizontal="right"/>
    </xf>
    <xf numFmtId="0" fontId="2" fillId="0" borderId="69" xfId="0" applyFont="1" applyBorder="1" applyAlignment="1">
      <alignment horizontal="right"/>
    </xf>
    <xf numFmtId="0" fontId="2" fillId="0" borderId="77" xfId="0" applyFont="1" applyBorder="1" applyAlignment="1">
      <alignment wrapText="1"/>
    </xf>
    <xf numFmtId="0" fontId="2" fillId="0" borderId="65" xfId="0" applyFont="1" applyBorder="1" applyAlignment="1">
      <alignment wrapText="1"/>
    </xf>
    <xf numFmtId="0" fontId="0" fillId="0" borderId="65" xfId="0" applyBorder="1" applyAlignment="1">
      <alignment horizontal="center"/>
    </xf>
    <xf numFmtId="168" fontId="0" fillId="0" borderId="65" xfId="0" applyNumberFormat="1" applyBorder="1"/>
    <xf numFmtId="0" fontId="0" fillId="0" borderId="65" xfId="0" applyBorder="1"/>
    <xf numFmtId="0" fontId="0" fillId="0" borderId="78" xfId="0" applyBorder="1"/>
    <xf numFmtId="0" fontId="0" fillId="0" borderId="67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8" xfId="0" applyBorder="1" applyAlignment="1">
      <alignment horizontal="center"/>
    </xf>
    <xf numFmtId="168" fontId="0" fillId="0" borderId="68" xfId="0" applyNumberFormat="1" applyBorder="1"/>
    <xf numFmtId="0" fontId="0" fillId="0" borderId="68" xfId="0" applyBorder="1"/>
    <xf numFmtId="0" fontId="0" fillId="0" borderId="69" xfId="0" applyBorder="1"/>
    <xf numFmtId="0" fontId="0" fillId="0" borderId="67" xfId="0" applyBorder="1" applyAlignment="1">
      <alignment horizontal="center"/>
    </xf>
    <xf numFmtId="0" fontId="2" fillId="0" borderId="70" xfId="0" applyFont="1" applyBorder="1"/>
    <xf numFmtId="0" fontId="2" fillId="0" borderId="64" xfId="0" applyFont="1" applyBorder="1"/>
    <xf numFmtId="0" fontId="0" fillId="0" borderId="64" xfId="0" applyBorder="1" applyAlignment="1">
      <alignment horizontal="center"/>
    </xf>
    <xf numFmtId="168" fontId="0" fillId="0" borderId="64" xfId="0" applyNumberFormat="1" applyBorder="1"/>
    <xf numFmtId="0" fontId="0" fillId="0" borderId="64" xfId="0" applyBorder="1"/>
    <xf numFmtId="0" fontId="0" fillId="0" borderId="71" xfId="0" applyBorder="1"/>
    <xf numFmtId="0" fontId="0" fillId="0" borderId="70" xfId="0" applyBorder="1"/>
    <xf numFmtId="0" fontId="0" fillId="0" borderId="77" xfId="0" applyBorder="1"/>
    <xf numFmtId="0" fontId="2" fillId="0" borderId="72" xfId="0" applyFont="1" applyBorder="1"/>
    <xf numFmtId="0" fontId="2" fillId="0" borderId="63" xfId="0" applyFont="1" applyBorder="1"/>
    <xf numFmtId="0" fontId="0" fillId="0" borderId="63" xfId="0" applyBorder="1" applyAlignment="1">
      <alignment horizontal="center"/>
    </xf>
    <xf numFmtId="168" fontId="0" fillId="0" borderId="63" xfId="0" applyNumberFormat="1" applyBorder="1"/>
    <xf numFmtId="0" fontId="0" fillId="0" borderId="63" xfId="0" applyBorder="1"/>
    <xf numFmtId="0" fontId="0" fillId="0" borderId="73" xfId="0" applyBorder="1"/>
    <xf numFmtId="0" fontId="0" fillId="9" borderId="77" xfId="0" applyFill="1" applyBorder="1" applyAlignment="1">
      <alignment horizontal="center"/>
    </xf>
    <xf numFmtId="0" fontId="0" fillId="9" borderId="65" xfId="0" applyFill="1" applyBorder="1" applyAlignment="1">
      <alignment horizontal="center"/>
    </xf>
    <xf numFmtId="0" fontId="0" fillId="9" borderId="78" xfId="0" applyFill="1" applyBorder="1" applyAlignment="1">
      <alignment horizontal="center"/>
    </xf>
    <xf numFmtId="0" fontId="2" fillId="0" borderId="67" xfId="0" applyFont="1" applyBorder="1" applyAlignment="1">
      <alignment horizontal="center"/>
    </xf>
    <xf numFmtId="0" fontId="2" fillId="0" borderId="68" xfId="0" applyFont="1" applyBorder="1" applyAlignment="1">
      <alignment horizontal="center"/>
    </xf>
    <xf numFmtId="0" fontId="2" fillId="0" borderId="69" xfId="0" applyFont="1" applyBorder="1" applyAlignment="1">
      <alignment horizontal="center"/>
    </xf>
    <xf numFmtId="0" fontId="0" fillId="0" borderId="72" xfId="0" applyBorder="1"/>
    <xf numFmtId="0" fontId="5" fillId="0" borderId="67" xfId="0" applyFont="1" applyBorder="1" applyAlignment="1">
      <alignment horizontal="center"/>
    </xf>
    <xf numFmtId="0" fontId="5" fillId="0" borderId="68" xfId="0" applyFont="1" applyBorder="1" applyAlignment="1">
      <alignment horizontal="center"/>
    </xf>
    <xf numFmtId="0" fontId="5" fillId="0" borderId="69" xfId="0" applyFont="1" applyBorder="1" applyAlignment="1">
      <alignment horizontal="center"/>
    </xf>
    <xf numFmtId="0" fontId="2" fillId="0" borderId="79" xfId="0" applyFont="1" applyBorder="1" applyAlignment="1">
      <alignment horizontal="center"/>
    </xf>
    <xf numFmtId="0" fontId="2" fillId="0" borderId="80" xfId="0" applyFont="1" applyBorder="1" applyAlignment="1">
      <alignment horizontal="center"/>
    </xf>
    <xf numFmtId="0" fontId="2" fillId="0" borderId="81" xfId="0" applyFont="1" applyBorder="1" applyAlignment="1">
      <alignment horizontal="center"/>
    </xf>
    <xf numFmtId="0" fontId="2" fillId="0" borderId="67" xfId="0" applyFont="1" applyBorder="1"/>
    <xf numFmtId="0" fontId="2" fillId="0" borderId="68" xfId="0" applyFont="1" applyBorder="1"/>
    <xf numFmtId="0" fontId="0" fillId="9" borderId="82" xfId="0" applyFill="1" applyBorder="1" applyAlignment="1">
      <alignment horizontal="center"/>
    </xf>
    <xf numFmtId="0" fontId="0" fillId="9" borderId="83" xfId="0" applyFill="1" applyBorder="1" applyAlignment="1">
      <alignment horizontal="center"/>
    </xf>
    <xf numFmtId="0" fontId="0" fillId="9" borderId="84" xfId="0" applyFill="1" applyBorder="1" applyAlignment="1">
      <alignment horizontal="center"/>
    </xf>
    <xf numFmtId="0" fontId="29" fillId="0" borderId="63" xfId="0" applyFont="1" applyBorder="1" applyAlignment="1">
      <alignment horizontal="left" vertical="center" wrapText="1"/>
    </xf>
    <xf numFmtId="0" fontId="29" fillId="0" borderId="63" xfId="0" applyFont="1" applyBorder="1" applyAlignment="1">
      <alignment vertical="center" wrapText="1"/>
    </xf>
    <xf numFmtId="0" fontId="30" fillId="0" borderId="63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27" fillId="0" borderId="63" xfId="0" applyFont="1" applyBorder="1" applyAlignment="1">
      <alignment horizontal="left" vertical="center" wrapText="1"/>
    </xf>
    <xf numFmtId="0" fontId="28" fillId="0" borderId="63" xfId="0" applyFont="1" applyBorder="1" applyAlignment="1">
      <alignment vertical="center" wrapText="1"/>
    </xf>
    <xf numFmtId="0" fontId="26" fillId="0" borderId="92" xfId="0" applyFont="1" applyBorder="1" applyAlignment="1">
      <alignment vertical="center"/>
    </xf>
    <xf numFmtId="0" fontId="26" fillId="0" borderId="90" xfId="0" applyFont="1" applyBorder="1" applyAlignment="1">
      <alignment vertical="center"/>
    </xf>
    <xf numFmtId="0" fontId="26" fillId="0" borderId="91" xfId="0" applyFont="1" applyBorder="1" applyAlignment="1">
      <alignment vertical="center"/>
    </xf>
    <xf numFmtId="0" fontId="26" fillId="0" borderId="89" xfId="0" applyFont="1" applyBorder="1" applyAlignment="1">
      <alignment vertical="center"/>
    </xf>
    <xf numFmtId="0" fontId="26" fillId="0" borderId="89" xfId="0" applyFont="1" applyBorder="1" applyAlignment="1">
      <alignment horizontal="right" vertical="center"/>
    </xf>
    <xf numFmtId="0" fontId="26" fillId="0" borderId="90" xfId="0" applyFont="1" applyBorder="1" applyAlignment="1">
      <alignment horizontal="right" vertical="center"/>
    </xf>
    <xf numFmtId="0" fontId="26" fillId="0" borderId="91" xfId="0" applyFont="1" applyBorder="1" applyAlignment="1">
      <alignment horizontal="right" vertical="center"/>
    </xf>
    <xf numFmtId="168" fontId="26" fillId="0" borderId="89" xfId="0" applyNumberFormat="1" applyFont="1" applyBorder="1" applyAlignment="1">
      <alignment horizontal="right" vertical="center"/>
    </xf>
    <xf numFmtId="168" fontId="26" fillId="0" borderId="90" xfId="0" applyNumberFormat="1" applyFont="1" applyBorder="1" applyAlignment="1">
      <alignment horizontal="right" vertical="center"/>
    </xf>
    <xf numFmtId="168" fontId="26" fillId="0" borderId="91" xfId="0" applyNumberFormat="1" applyFont="1" applyBorder="1" applyAlignment="1">
      <alignment horizontal="right" vertical="center"/>
    </xf>
    <xf numFmtId="168" fontId="26" fillId="0" borderId="104" xfId="0" applyNumberFormat="1" applyFont="1" applyBorder="1" applyAlignment="1">
      <alignment horizontal="right" vertical="center"/>
    </xf>
    <xf numFmtId="0" fontId="26" fillId="0" borderId="67" xfId="0" applyFont="1" applyBorder="1" applyAlignment="1">
      <alignment vertical="center"/>
    </xf>
    <xf numFmtId="0" fontId="26" fillId="0" borderId="68" xfId="0" applyFont="1" applyBorder="1" applyAlignment="1">
      <alignment vertical="center"/>
    </xf>
    <xf numFmtId="168" fontId="26" fillId="0" borderId="68" xfId="0" applyNumberFormat="1" applyFont="1" applyBorder="1" applyAlignment="1">
      <alignment vertical="center"/>
    </xf>
    <xf numFmtId="168" fontId="25" fillId="0" borderId="68" xfId="0" applyNumberFormat="1" applyFont="1" applyBorder="1" applyAlignment="1">
      <alignment horizontal="right" vertical="center"/>
    </xf>
    <xf numFmtId="0" fontId="25" fillId="0" borderId="68" xfId="0" applyFont="1" applyBorder="1" applyAlignment="1">
      <alignment horizontal="right" vertical="center"/>
    </xf>
    <xf numFmtId="0" fontId="25" fillId="0" borderId="69" xfId="0" applyFont="1" applyBorder="1" applyAlignment="1">
      <alignment horizontal="right" vertical="center"/>
    </xf>
    <xf numFmtId="168" fontId="26" fillId="0" borderId="63" xfId="0" applyNumberFormat="1" applyFont="1" applyBorder="1" applyAlignment="1">
      <alignment horizontal="right" vertical="center"/>
    </xf>
    <xf numFmtId="0" fontId="26" fillId="0" borderId="63" xfId="0" applyFont="1" applyBorder="1" applyAlignment="1">
      <alignment horizontal="right" vertical="center"/>
    </xf>
    <xf numFmtId="0" fontId="26" fillId="0" borderId="73" xfId="0" applyFont="1" applyBorder="1" applyAlignment="1">
      <alignment horizontal="right" vertical="center"/>
    </xf>
    <xf numFmtId="0" fontId="25" fillId="0" borderId="74" xfId="0" applyFont="1" applyBorder="1" applyAlignment="1">
      <alignment horizontal="left"/>
    </xf>
    <xf numFmtId="0" fontId="25" fillId="0" borderId="75" xfId="0" applyFont="1" applyBorder="1" applyAlignment="1">
      <alignment horizontal="left"/>
    </xf>
    <xf numFmtId="168" fontId="25" fillId="0" borderId="75" xfId="0" applyNumberFormat="1" applyFont="1" applyBorder="1" applyAlignment="1">
      <alignment horizontal="left"/>
    </xf>
    <xf numFmtId="0" fontId="25" fillId="0" borderId="76" xfId="0" applyFont="1" applyBorder="1" applyAlignment="1">
      <alignment horizontal="left"/>
    </xf>
    <xf numFmtId="0" fontId="26" fillId="0" borderId="109" xfId="0" applyFont="1" applyBorder="1" applyAlignment="1">
      <alignment vertical="center"/>
    </xf>
    <xf numFmtId="0" fontId="26" fillId="0" borderId="110" xfId="0" applyFont="1" applyBorder="1" applyAlignment="1">
      <alignment vertical="center"/>
    </xf>
    <xf numFmtId="168" fontId="26" fillId="0" borderId="110" xfId="0" applyNumberFormat="1" applyFont="1" applyBorder="1" applyAlignment="1">
      <alignment vertical="center"/>
    </xf>
    <xf numFmtId="168" fontId="26" fillId="0" borderId="110" xfId="0" applyNumberFormat="1" applyFont="1" applyBorder="1" applyAlignment="1">
      <alignment horizontal="right" vertical="center"/>
    </xf>
    <xf numFmtId="0" fontId="26" fillId="0" borderId="110" xfId="0" applyFont="1" applyBorder="1" applyAlignment="1">
      <alignment horizontal="right" vertical="center"/>
    </xf>
    <xf numFmtId="0" fontId="26" fillId="0" borderId="111" xfId="0" applyFont="1" applyBorder="1" applyAlignment="1">
      <alignment horizontal="right" vertical="center"/>
    </xf>
    <xf numFmtId="0" fontId="0" fillId="9" borderId="79" xfId="0" applyFill="1" applyBorder="1" applyAlignment="1">
      <alignment horizontal="center"/>
    </xf>
    <xf numFmtId="0" fontId="0" fillId="9" borderId="80" xfId="0" applyFill="1" applyBorder="1" applyAlignment="1">
      <alignment horizontal="center"/>
    </xf>
    <xf numFmtId="168" fontId="0" fillId="9" borderId="80" xfId="0" applyNumberFormat="1" applyFill="1" applyBorder="1" applyAlignment="1">
      <alignment horizontal="center"/>
    </xf>
    <xf numFmtId="0" fontId="0" fillId="9" borderId="81" xfId="0" applyFill="1" applyBorder="1" applyAlignment="1">
      <alignment horizontal="center"/>
    </xf>
    <xf numFmtId="0" fontId="25" fillId="19" borderId="112" xfId="0" applyFont="1" applyFill="1" applyBorder="1" applyAlignment="1">
      <alignment horizontal="left" vertical="center"/>
    </xf>
    <xf numFmtId="0" fontId="25" fillId="19" borderId="113" xfId="0" applyFont="1" applyFill="1" applyBorder="1" applyAlignment="1">
      <alignment horizontal="left" vertical="center"/>
    </xf>
    <xf numFmtId="168" fontId="25" fillId="19" borderId="113" xfId="0" applyNumberFormat="1" applyFont="1" applyFill="1" applyBorder="1" applyAlignment="1">
      <alignment horizontal="left" vertical="center"/>
    </xf>
    <xf numFmtId="168" fontId="26" fillId="19" borderId="113" xfId="0" applyNumberFormat="1" applyFont="1" applyFill="1" applyBorder="1" applyAlignment="1">
      <alignment horizontal="right" vertical="center"/>
    </xf>
    <xf numFmtId="0" fontId="26" fillId="19" borderId="113" xfId="0" applyFont="1" applyFill="1" applyBorder="1" applyAlignment="1">
      <alignment horizontal="right" vertical="center"/>
    </xf>
    <xf numFmtId="0" fontId="26" fillId="19" borderId="114" xfId="0" applyFont="1" applyFill="1" applyBorder="1" applyAlignment="1">
      <alignment horizontal="right" vertical="center"/>
    </xf>
    <xf numFmtId="0" fontId="26" fillId="0" borderId="107" xfId="0" applyFont="1" applyBorder="1" applyAlignment="1">
      <alignment vertical="center"/>
    </xf>
    <xf numFmtId="0" fontId="26" fillId="0" borderId="106" xfId="0" applyFont="1" applyBorder="1" applyAlignment="1">
      <alignment vertical="center"/>
    </xf>
    <xf numFmtId="168" fontId="26" fillId="0" borderId="106" xfId="0" applyNumberFormat="1" applyFont="1" applyBorder="1" applyAlignment="1">
      <alignment vertical="center"/>
    </xf>
    <xf numFmtId="168" fontId="26" fillId="0" borderId="106" xfId="0" applyNumberFormat="1" applyFont="1" applyBorder="1" applyAlignment="1">
      <alignment horizontal="right" vertical="center"/>
    </xf>
    <xf numFmtId="0" fontId="26" fillId="0" borderId="106" xfId="0" applyFont="1" applyBorder="1" applyAlignment="1">
      <alignment horizontal="right" vertical="center"/>
    </xf>
    <xf numFmtId="0" fontId="26" fillId="0" borderId="108" xfId="0" applyFont="1" applyBorder="1" applyAlignment="1">
      <alignment horizontal="right" vertical="center"/>
    </xf>
    <xf numFmtId="0" fontId="25" fillId="19" borderId="1" xfId="0" applyFont="1" applyFill="1" applyBorder="1" applyAlignment="1">
      <alignment vertical="center"/>
    </xf>
    <xf numFmtId="0" fontId="25" fillId="19" borderId="1" xfId="0" applyFont="1" applyFill="1" applyBorder="1" applyAlignment="1">
      <alignment horizontal="right" vertical="center"/>
    </xf>
    <xf numFmtId="0" fontId="24" fillId="0" borderId="96" xfId="0" applyFont="1" applyBorder="1" applyAlignment="1">
      <alignment vertical="top" wrapText="1"/>
    </xf>
    <xf numFmtId="0" fontId="24" fillId="0" borderId="97" xfId="0" applyFont="1" applyBorder="1" applyAlignment="1">
      <alignment vertical="top" wrapText="1"/>
    </xf>
    <xf numFmtId="0" fontId="24" fillId="0" borderId="86" xfId="0" applyFont="1" applyBorder="1" applyAlignment="1">
      <alignment vertical="top" wrapText="1"/>
    </xf>
    <xf numFmtId="0" fontId="24" fillId="0" borderId="87" xfId="0" applyFont="1" applyBorder="1" applyAlignment="1">
      <alignment vertical="top" wrapText="1"/>
    </xf>
    <xf numFmtId="0" fontId="24" fillId="0" borderId="88" xfId="0" applyFont="1" applyBorder="1" applyAlignment="1">
      <alignment vertical="top" wrapText="1"/>
    </xf>
    <xf numFmtId="0" fontId="35" fillId="0" borderId="89" xfId="0" applyFont="1" applyBorder="1" applyAlignment="1">
      <alignment vertical="top" wrapText="1"/>
    </xf>
    <xf numFmtId="0" fontId="35" fillId="0" borderId="90" xfId="0" applyFont="1" applyBorder="1" applyAlignment="1">
      <alignment vertical="top" wrapText="1"/>
    </xf>
    <xf numFmtId="0" fontId="35" fillId="0" borderId="91" xfId="0" applyFont="1" applyBorder="1" applyAlignment="1">
      <alignment vertical="top" wrapText="1"/>
    </xf>
    <xf numFmtId="0" fontId="36" fillId="0" borderId="93" xfId="0" applyFont="1" applyBorder="1" applyAlignment="1">
      <alignment vertical="top" wrapText="1"/>
    </xf>
    <xf numFmtId="0" fontId="36" fillId="0" borderId="0" xfId="0" applyFont="1" applyAlignment="1">
      <alignment vertical="top" wrapText="1"/>
    </xf>
    <xf numFmtId="0" fontId="36" fillId="0" borderId="94" xfId="0" applyFont="1" applyBorder="1" applyAlignment="1">
      <alignment vertical="top" wrapText="1"/>
    </xf>
    <xf numFmtId="0" fontId="36" fillId="0" borderId="85" xfId="0" applyFont="1" applyBorder="1" applyAlignment="1">
      <alignment vertical="top" wrapText="1"/>
    </xf>
    <xf numFmtId="0" fontId="36" fillId="0" borderId="103" xfId="0" applyFont="1" applyBorder="1" applyAlignment="1">
      <alignment vertical="top" wrapText="1"/>
    </xf>
    <xf numFmtId="0" fontId="35" fillId="0" borderId="93" xfId="0" applyFont="1" applyBorder="1" applyAlignment="1">
      <alignment vertical="top" wrapText="1"/>
    </xf>
    <xf numFmtId="0" fontId="35" fillId="0" borderId="85" xfId="0" applyFont="1" applyBorder="1" applyAlignment="1">
      <alignment vertical="top" wrapText="1"/>
    </xf>
    <xf numFmtId="0" fontId="35" fillId="0" borderId="103" xfId="0" applyFont="1" applyBorder="1" applyAlignment="1">
      <alignment vertical="top" wrapText="1"/>
    </xf>
    <xf numFmtId="0" fontId="35" fillId="0" borderId="98" xfId="0" applyFont="1" applyBorder="1" applyAlignment="1">
      <alignment vertical="top" wrapText="1"/>
    </xf>
    <xf numFmtId="0" fontId="35" fillId="0" borderId="99" xfId="0" applyFont="1" applyBorder="1" applyAlignment="1">
      <alignment vertical="top" wrapText="1"/>
    </xf>
    <xf numFmtId="0" fontId="35" fillId="0" borderId="100" xfId="0" applyFont="1" applyBorder="1" applyAlignment="1">
      <alignment vertical="top" wrapText="1"/>
    </xf>
    <xf numFmtId="49" fontId="34" fillId="0" borderId="0" xfId="0" quotePrefix="1" applyNumberFormat="1" applyFont="1"/>
    <xf numFmtId="0" fontId="34" fillId="0" borderId="0" xfId="0" applyFont="1"/>
    <xf numFmtId="0" fontId="34" fillId="0" borderId="0" xfId="0" applyFont="1" applyAlignment="1">
      <alignment vertical="center"/>
    </xf>
    <xf numFmtId="0" fontId="24" fillId="0" borderId="95" xfId="0" applyFont="1" applyBorder="1" applyAlignment="1">
      <alignment vertical="top" wrapText="1"/>
    </xf>
    <xf numFmtId="0" fontId="24" fillId="0" borderId="101" xfId="0" applyFont="1" applyBorder="1" applyAlignment="1">
      <alignment vertical="top" wrapText="1"/>
    </xf>
    <xf numFmtId="0" fontId="24" fillId="0" borderId="85" xfId="0" applyFont="1" applyBorder="1" applyAlignment="1">
      <alignment vertical="top" wrapText="1"/>
    </xf>
    <xf numFmtId="0" fontId="24" fillId="0" borderId="102" xfId="0" applyFont="1" applyBorder="1" applyAlignment="1">
      <alignment vertical="top" wrapText="1"/>
    </xf>
    <xf numFmtId="49" fontId="34" fillId="0" borderId="0" xfId="0" quotePrefix="1" applyNumberFormat="1" applyFont="1" applyAlignment="1">
      <alignment vertical="center"/>
    </xf>
    <xf numFmtId="0" fontId="32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0" fontId="34" fillId="0" borderId="0" xfId="0" applyFont="1" applyAlignment="1">
      <alignment horizontal="left"/>
    </xf>
    <xf numFmtId="0" fontId="32" fillId="0" borderId="0" xfId="0" applyFont="1"/>
    <xf numFmtId="14" fontId="32" fillId="0" borderId="0" xfId="0" applyNumberFormat="1" applyFont="1" applyAlignment="1">
      <alignment horizontal="left"/>
    </xf>
    <xf numFmtId="0" fontId="0" fillId="0" borderId="85" xfId="0" applyBorder="1"/>
    <xf numFmtId="14" fontId="32" fillId="0" borderId="0" xfId="0" applyNumberFormat="1" applyFont="1"/>
    <xf numFmtId="14" fontId="34" fillId="0" borderId="0" xfId="0" applyNumberFormat="1" applyFont="1" applyAlignment="1">
      <alignment horizontal="left"/>
    </xf>
    <xf numFmtId="0" fontId="20" fillId="0" borderId="0" xfId="0" applyFont="1" applyAlignment="1">
      <alignment horizontal="left" vertical="center"/>
    </xf>
    <xf numFmtId="0" fontId="18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0" fontId="2" fillId="17" borderId="1" xfId="0" applyFont="1" applyFill="1" applyBorder="1" applyAlignment="1">
      <alignment horizontal="center"/>
    </xf>
    <xf numFmtId="0" fontId="2" fillId="21" borderId="1" xfId="0" applyFont="1" applyFill="1" applyBorder="1" applyAlignment="1">
      <alignment horizontal="center"/>
    </xf>
    <xf numFmtId="0" fontId="2" fillId="20" borderId="1" xfId="0" applyFont="1" applyFill="1" applyBorder="1" applyAlignment="1">
      <alignment horizontal="center"/>
    </xf>
    <xf numFmtId="0" fontId="2" fillId="22" borderId="1" xfId="0" applyFont="1" applyFill="1" applyBorder="1" applyAlignment="1">
      <alignment horizontal="center"/>
    </xf>
    <xf numFmtId="2" fontId="44" fillId="23" borderId="29" xfId="0" applyNumberFormat="1" applyFont="1" applyFill="1" applyBorder="1"/>
    <xf numFmtId="2" fontId="44" fillId="23" borderId="11" xfId="0" applyNumberFormat="1" applyFont="1" applyFill="1" applyBorder="1"/>
    <xf numFmtId="0" fontId="42" fillId="25" borderId="48" xfId="0" applyFont="1" applyFill="1" applyBorder="1"/>
    <xf numFmtId="0" fontId="42" fillId="25" borderId="9" xfId="0" applyFont="1" applyFill="1" applyBorder="1"/>
    <xf numFmtId="0" fontId="42" fillId="25" borderId="34" xfId="0" applyFont="1" applyFill="1" applyBorder="1"/>
    <xf numFmtId="0" fontId="42" fillId="0" borderId="3" xfId="0" applyFont="1" applyBorder="1"/>
    <xf numFmtId="2" fontId="42" fillId="0" borderId="49" xfId="0" applyNumberFormat="1" applyFont="1" applyBorder="1"/>
    <xf numFmtId="2" fontId="42" fillId="0" borderId="4" xfId="0" applyNumberFormat="1" applyFont="1" applyBorder="1"/>
  </cellXfs>
  <cellStyles count="9">
    <cellStyle name="Comma" xfId="2" builtinId="3"/>
    <cellStyle name="Comma 2" xfId="5" xr:uid="{00000000-0005-0000-0000-000005000000}"/>
    <cellStyle name="Currency" xfId="1" builtinId="4"/>
    <cellStyle name="Currency 2" xfId="8" xr:uid="{CD9A771C-BE7A-4D40-9D87-732D2063B664}"/>
    <cellStyle name="Hyperlink 2" xfId="4" xr:uid="{00000000-0005-0000-0000-000004000000}"/>
    <cellStyle name="Normal" xfId="0" builtinId="0"/>
    <cellStyle name="Normal 2" xfId="3" xr:uid="{00000000-0005-0000-0000-000003000000}"/>
    <cellStyle name="Normal 2 2" xfId="7" xr:uid="{4B1DA9EF-F98F-4F2B-A680-27BC4B237F15}"/>
    <cellStyle name="Percent" xfId="6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4.9989318521683403E-2"/>
        </patternFill>
      </fill>
    </dxf>
    <dxf>
      <font>
        <b/>
        <strike val="0"/>
        <color theme="0"/>
      </font>
      <fill>
        <gradientFill degree="90">
          <stop position="0">
            <color theme="3"/>
          </stop>
          <stop position="1">
            <color theme="3"/>
          </stop>
        </gradient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5" tint="0.59996337778862885"/>
        </vertical>
        <horizontal style="thin">
          <color theme="3"/>
        </horizontal>
      </border>
    </dxf>
    <dxf>
      <border>
        <left style="thin">
          <color theme="3"/>
        </left>
        <right style="thin">
          <color theme="3"/>
        </right>
        <top style="thick">
          <color theme="3"/>
        </top>
        <bottom style="thick">
          <color theme="3"/>
        </bottom>
        <vertical style="thin">
          <color theme="6" tint="0.59996337778862885"/>
        </vertical>
        <horizontal style="thin">
          <color theme="6" tint="0.59996337778862885"/>
        </horizontal>
      </border>
    </dxf>
  </dxfs>
  <tableStyles count="1" defaultTableStyle="TableStyleMedium2" defaultPivotStyle="PivotStyleLight16">
    <tableStyle name="Business Table" pivot="0" count="3" xr9:uid="{00000000-0011-0000-FFFF-FFFF00000000}">
      <tableStyleElement type="wholeTable" dxfId="5"/>
      <tableStyleElement type="headerRow" dxfId="4"/>
      <tableStyleElement type="secondRowStrip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4611</xdr:colOff>
      <xdr:row>30</xdr:row>
      <xdr:rowOff>97863</xdr:rowOff>
    </xdr:from>
    <xdr:to>
      <xdr:col>10</xdr:col>
      <xdr:colOff>730137</xdr:colOff>
      <xdr:row>33</xdr:row>
      <xdr:rowOff>170933</xdr:rowOff>
    </xdr:to>
    <xdr:sp macro="[0]!SendQtytoIndividualSheets" textlink="">
      <xdr:nvSpPr>
        <xdr:cNvPr id="10" name="Rectangle: Rounded Corners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1785195" y="6249892"/>
          <a:ext cx="1753266" cy="700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SEND DATA TO INDIVIDUAL</a:t>
          </a:r>
          <a:r>
            <a:rPr lang="en-US" sz="1100" b="1" baseline="0"/>
            <a:t> SHEETS</a:t>
          </a:r>
          <a:endParaRPr lang="en-US" sz="1100" b="1"/>
        </a:p>
      </xdr:txBody>
    </xdr:sp>
    <xdr:clientData/>
  </xdr:twoCellAnchor>
  <xdr:twoCellAnchor editAs="oneCell">
    <xdr:from>
      <xdr:col>7</xdr:col>
      <xdr:colOff>205518</xdr:colOff>
      <xdr:row>0</xdr:row>
      <xdr:rowOff>79105</xdr:rowOff>
    </xdr:from>
    <xdr:to>
      <xdr:col>7</xdr:col>
      <xdr:colOff>1083994</xdr:colOff>
      <xdr:row>2</xdr:row>
      <xdr:rowOff>171698</xdr:rowOff>
    </xdr:to>
    <xdr:sp macro="[0]!ResetTempl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0259685" y="79105"/>
          <a:ext cx="878476" cy="48621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RESET TEMPLATE</a:t>
          </a:r>
        </a:p>
      </xdr:txBody>
    </xdr:sp>
    <xdr:clientData/>
  </xdr:twoCellAnchor>
  <xdr:twoCellAnchor editAs="oneCell">
    <xdr:from>
      <xdr:col>7</xdr:col>
      <xdr:colOff>227455</xdr:colOff>
      <xdr:row>8</xdr:row>
      <xdr:rowOff>182187</xdr:rowOff>
    </xdr:from>
    <xdr:to>
      <xdr:col>7</xdr:col>
      <xdr:colOff>1100734</xdr:colOff>
      <xdr:row>11</xdr:row>
      <xdr:rowOff>94736</xdr:rowOff>
    </xdr:to>
    <xdr:sp macro="[0]!printPDF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0281622" y="1702339"/>
          <a:ext cx="873279" cy="501026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PRINT TEMPLATE</a:t>
          </a:r>
        </a:p>
      </xdr:txBody>
    </xdr:sp>
    <xdr:clientData/>
  </xdr:twoCellAnchor>
  <xdr:twoCellAnchor editAs="oneCell">
    <xdr:from>
      <xdr:col>7</xdr:col>
      <xdr:colOff>205518</xdr:colOff>
      <xdr:row>4</xdr:row>
      <xdr:rowOff>95598</xdr:rowOff>
    </xdr:from>
    <xdr:to>
      <xdr:col>7</xdr:col>
      <xdr:colOff>1083994</xdr:colOff>
      <xdr:row>7</xdr:row>
      <xdr:rowOff>6464</xdr:rowOff>
    </xdr:to>
    <xdr:sp macro="[0]!UpdateQuantities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0259685" y="855674"/>
          <a:ext cx="878476" cy="510551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FILL TEMPLATE</a:t>
          </a:r>
        </a:p>
      </xdr:txBody>
    </xdr:sp>
    <xdr:clientData/>
  </xdr:twoCellAnchor>
  <xdr:twoCellAnchor editAs="absolute">
    <xdr:from>
      <xdr:col>8</xdr:col>
      <xdr:colOff>449490</xdr:colOff>
      <xdr:row>26</xdr:row>
      <xdr:rowOff>69327</xdr:rowOff>
    </xdr:from>
    <xdr:to>
      <xdr:col>10</xdr:col>
      <xdr:colOff>712373</xdr:colOff>
      <xdr:row>29</xdr:row>
      <xdr:rowOff>142531</xdr:rowOff>
    </xdr:to>
    <xdr:sp macro="[0]!copyParameters" textlink="">
      <xdr:nvSpPr>
        <xdr:cNvPr id="2" name="Rectangle: Rounded Corners 2">
          <a:extLst>
            <a:ext uri="{FF2B5EF4-FFF2-40B4-BE49-F238E27FC236}">
              <a16:creationId xmlns:a16="http://schemas.microsoft.com/office/drawing/2014/main" id="{C3F063D6-59C4-4371-B3E2-CB31C7EA3DE4}"/>
            </a:ext>
          </a:extLst>
        </xdr:cNvPr>
        <xdr:cNvSpPr/>
      </xdr:nvSpPr>
      <xdr:spPr>
        <a:xfrm>
          <a:off x="11767431" y="5380915"/>
          <a:ext cx="1753266" cy="700734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COPY PARAMETERS</a:t>
          </a:r>
        </a:p>
      </xdr:txBody>
    </xdr:sp>
    <xdr:clientData/>
  </xdr:twoCellAnchor>
  <xdr:twoCellAnchor editAs="oneCell">
    <xdr:from>
      <xdr:col>7</xdr:col>
      <xdr:colOff>205518</xdr:colOff>
      <xdr:row>0</xdr:row>
      <xdr:rowOff>79105</xdr:rowOff>
    </xdr:from>
    <xdr:to>
      <xdr:col>7</xdr:col>
      <xdr:colOff>1083994</xdr:colOff>
      <xdr:row>2</xdr:row>
      <xdr:rowOff>171698</xdr:rowOff>
    </xdr:to>
    <xdr:sp macro="[0]!ResetTemplate" textlink="">
      <xdr:nvSpPr>
        <xdr:cNvPr id="3" name="Rectangle 2">
          <a:extLst>
            <a:ext uri="{FF2B5EF4-FFF2-40B4-BE49-F238E27FC236}">
              <a16:creationId xmlns:a16="http://schemas.microsoft.com/office/drawing/2014/main" id="{04B63C59-0D6E-42BC-965A-EED1ABFBEE30}"/>
            </a:ext>
          </a:extLst>
        </xdr:cNvPr>
        <xdr:cNvSpPr/>
      </xdr:nvSpPr>
      <xdr:spPr>
        <a:xfrm>
          <a:off x="10392732" y="79105"/>
          <a:ext cx="878476" cy="48479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RESET TEMPLATE</a:t>
          </a:r>
        </a:p>
      </xdr:txBody>
    </xdr:sp>
    <xdr:clientData/>
  </xdr:twoCellAnchor>
  <xdr:twoCellAnchor editAs="oneCell">
    <xdr:from>
      <xdr:col>7</xdr:col>
      <xdr:colOff>227455</xdr:colOff>
      <xdr:row>8</xdr:row>
      <xdr:rowOff>182187</xdr:rowOff>
    </xdr:from>
    <xdr:to>
      <xdr:col>7</xdr:col>
      <xdr:colOff>1100734</xdr:colOff>
      <xdr:row>11</xdr:row>
      <xdr:rowOff>94736</xdr:rowOff>
    </xdr:to>
    <xdr:sp macro="[0]!printPDF" textlink="">
      <xdr:nvSpPr>
        <xdr:cNvPr id="7" name="Rectangle 6">
          <a:extLst>
            <a:ext uri="{FF2B5EF4-FFF2-40B4-BE49-F238E27FC236}">
              <a16:creationId xmlns:a16="http://schemas.microsoft.com/office/drawing/2014/main" id="{85AD2AAE-E936-4C19-891A-0BD0223F3404}"/>
            </a:ext>
          </a:extLst>
        </xdr:cNvPr>
        <xdr:cNvSpPr/>
      </xdr:nvSpPr>
      <xdr:spPr>
        <a:xfrm>
          <a:off x="10414669" y="1697116"/>
          <a:ext cx="873279" cy="495254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PRINT TEMPLATE</a:t>
          </a:r>
        </a:p>
      </xdr:txBody>
    </xdr:sp>
    <xdr:clientData/>
  </xdr:twoCellAnchor>
  <xdr:twoCellAnchor editAs="oneCell">
    <xdr:from>
      <xdr:col>7</xdr:col>
      <xdr:colOff>205518</xdr:colOff>
      <xdr:row>4</xdr:row>
      <xdr:rowOff>95598</xdr:rowOff>
    </xdr:from>
    <xdr:to>
      <xdr:col>7</xdr:col>
      <xdr:colOff>1083994</xdr:colOff>
      <xdr:row>7</xdr:row>
      <xdr:rowOff>6464</xdr:rowOff>
    </xdr:to>
    <xdr:sp macro="[0]!UpdateQuantities" textlink="">
      <xdr:nvSpPr>
        <xdr:cNvPr id="8" name="Rectangle 7">
          <a:extLst>
            <a:ext uri="{FF2B5EF4-FFF2-40B4-BE49-F238E27FC236}">
              <a16:creationId xmlns:a16="http://schemas.microsoft.com/office/drawing/2014/main" id="{38AAF4E4-7A82-41F1-927B-2CCE30320949}"/>
            </a:ext>
          </a:extLst>
        </xdr:cNvPr>
        <xdr:cNvSpPr/>
      </xdr:nvSpPr>
      <xdr:spPr>
        <a:xfrm>
          <a:off x="10392732" y="857598"/>
          <a:ext cx="878476" cy="504779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FILL TEMPLATE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957</xdr:colOff>
      <xdr:row>1</xdr:row>
      <xdr:rowOff>128906</xdr:rowOff>
    </xdr:from>
    <xdr:to>
      <xdr:col>7</xdr:col>
      <xdr:colOff>134470</xdr:colOff>
      <xdr:row>7</xdr:row>
      <xdr:rowOff>24847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FBCD15A0-FFF3-4421-8105-1F4C12CD80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75" y="254412"/>
          <a:ext cx="1074807" cy="97170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nas Patel" id="{32505060-A0A4-46E5-8E5E-0B4F423043C4}" userId="a80a20872ddba06d" providerId="Windows Live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B050"/>
        </a:solidFill>
      </a:spPr>
      <a:bodyPr vertOverflow="clip" horzOverflow="clip" rtlCol="0" anchor="ctr"/>
      <a:lstStyle>
        <a:defPPr algn="ctr">
          <a:defRPr sz="1000" b="1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4" dT="2025-01-13T17:21:46.45" personId="{32505060-A0A4-46E5-8E5E-0B4F423043C4}" id="{6A2C02F8-48BD-49FD-818F-244A0F0B6B05}">
    <text>This will be filled when we click on Generate Time file button.
Format: mmddyy-hhmmss</text>
  </threadedComment>
  <threadedComment ref="C4" dT="2025-01-13T17:23:00.53" personId="{32505060-A0A4-46E5-8E5E-0B4F423043C4}" id="{FC27EB42-F107-4747-B8E6-54796E830985}">
    <text>This is the date when the quote is generated</text>
  </threadedComment>
  <threadedComment ref="D4" dT="2025-01-13T17:23:40.56" personId="{32505060-A0A4-46E5-8E5E-0B4F423043C4}" id="{ADBC5D3B-E309-416D-A853-33F40773F4E4}">
    <text>Status:
1. Pending: When Time file is generated but the quote is not printed
2. Done: When the quote is printed</text>
  </threadedComment>
  <threadedComment ref="F4" dT="2025-01-13T17:24:04.14" personId="{32505060-A0A4-46E5-8E5E-0B4F423043C4}" id="{BD024CA7-F18E-4679-B77C-25E1F6239D8B}">
    <text>Category:
Proto Type
Low Volume
High Volume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rspcbassembly.com/" TargetMode="Externa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8591B-C4AD-4E70-A831-BDF495694C16}">
  <sheetPr codeName="Sheet8"/>
  <dimension ref="A1:N82"/>
  <sheetViews>
    <sheetView topLeftCell="K28" zoomScale="70" zoomScaleNormal="70" workbookViewId="0">
      <selection activeCell="N73" sqref="N73"/>
    </sheetView>
  </sheetViews>
  <sheetFormatPr defaultRowHeight="15" x14ac:dyDescent="0.25"/>
  <cols>
    <col min="1" max="1" width="43.42578125" bestFit="1" customWidth="1"/>
    <col min="2" max="2" width="41.140625" customWidth="1"/>
    <col min="3" max="3" width="9.5703125" customWidth="1"/>
    <col min="4" max="4" width="11.7109375" customWidth="1"/>
    <col min="5" max="7" width="3.7109375" customWidth="1"/>
    <col min="8" max="8" width="30.28515625" customWidth="1"/>
    <col min="9" max="9" width="6.7109375" customWidth="1"/>
    <col min="10" max="10" width="56.7109375" customWidth="1"/>
    <col min="11" max="11" width="51.5703125" customWidth="1"/>
    <col min="12" max="12" width="43.28515625" customWidth="1"/>
    <col min="13" max="13" width="43.5703125" customWidth="1"/>
    <col min="14" max="14" width="28.7109375" customWidth="1"/>
  </cols>
  <sheetData>
    <row r="1" spans="1:14" ht="25.9" customHeight="1" x14ac:dyDescent="0.25">
      <c r="A1" s="594" t="s">
        <v>494</v>
      </c>
      <c r="B1" s="594" t="s">
        <v>495</v>
      </c>
      <c r="C1" s="594" t="s">
        <v>496</v>
      </c>
      <c r="D1" s="595"/>
      <c r="H1" s="596" t="s">
        <v>497</v>
      </c>
      <c r="J1" s="597" t="s">
        <v>498</v>
      </c>
      <c r="K1" s="597" t="s">
        <v>499</v>
      </c>
      <c r="L1" s="597" t="s">
        <v>500</v>
      </c>
      <c r="M1" s="598" t="s">
        <v>869</v>
      </c>
      <c r="N1" s="598" t="s">
        <v>501</v>
      </c>
    </row>
    <row r="2" spans="1:14" ht="16.899999999999999" customHeight="1" x14ac:dyDescent="0.25">
      <c r="A2" s="599" t="s">
        <v>502</v>
      </c>
      <c r="B2" s="600" t="s">
        <v>5</v>
      </c>
      <c r="C2" s="599" t="s">
        <v>503</v>
      </c>
      <c r="D2" s="601"/>
      <c r="F2" s="602"/>
      <c r="H2" s="603" t="s">
        <v>330</v>
      </c>
      <c r="J2" s="4" t="s">
        <v>504</v>
      </c>
      <c r="K2" s="4" t="s">
        <v>443</v>
      </c>
      <c r="L2" s="605" t="s">
        <v>16</v>
      </c>
      <c r="M2" s="4" t="s">
        <v>512</v>
      </c>
      <c r="N2" s="4" t="s">
        <v>513</v>
      </c>
    </row>
    <row r="3" spans="1:14" ht="16.899999999999999" customHeight="1" x14ac:dyDescent="0.25">
      <c r="A3" s="603" t="s">
        <v>505</v>
      </c>
      <c r="B3" s="604" t="s">
        <v>238</v>
      </c>
      <c r="C3" s="603" t="s">
        <v>506</v>
      </c>
      <c r="D3" s="601"/>
      <c r="H3" s="603" t="s">
        <v>331</v>
      </c>
      <c r="J3" s="4" t="s">
        <v>507</v>
      </c>
      <c r="K3" s="4" t="s">
        <v>508</v>
      </c>
      <c r="L3" s="605" t="s">
        <v>26</v>
      </c>
      <c r="M3" s="4" t="s">
        <v>517</v>
      </c>
      <c r="N3" s="4" t="s">
        <v>518</v>
      </c>
    </row>
    <row r="4" spans="1:14" ht="16.899999999999999" customHeight="1" x14ac:dyDescent="0.25">
      <c r="A4" s="599" t="s">
        <v>509</v>
      </c>
      <c r="B4" s="600" t="s">
        <v>253</v>
      </c>
      <c r="C4" s="599" t="s">
        <v>510</v>
      </c>
      <c r="D4" s="601"/>
      <c r="H4" s="603" t="s">
        <v>332</v>
      </c>
      <c r="J4" s="4" t="s">
        <v>511</v>
      </c>
      <c r="K4" s="4" t="s">
        <v>512</v>
      </c>
      <c r="L4" s="605" t="s">
        <v>524</v>
      </c>
      <c r="M4" s="4" t="s">
        <v>523</v>
      </c>
      <c r="N4" s="4" t="s">
        <v>525</v>
      </c>
    </row>
    <row r="5" spans="1:14" ht="16.899999999999999" customHeight="1" x14ac:dyDescent="0.25">
      <c r="A5" s="603" t="s">
        <v>514</v>
      </c>
      <c r="B5" s="604" t="s">
        <v>254</v>
      </c>
      <c r="C5" s="603" t="s">
        <v>515</v>
      </c>
      <c r="D5" s="601"/>
      <c r="H5" s="603" t="s">
        <v>333</v>
      </c>
      <c r="J5" s="4" t="s">
        <v>516</v>
      </c>
      <c r="K5" s="4" t="s">
        <v>517</v>
      </c>
      <c r="L5" s="605" t="s">
        <v>531</v>
      </c>
      <c r="M5" s="4" t="s">
        <v>530</v>
      </c>
      <c r="N5" s="4" t="s">
        <v>532</v>
      </c>
    </row>
    <row r="6" spans="1:14" ht="16.899999999999999" customHeight="1" x14ac:dyDescent="0.25">
      <c r="A6" s="599" t="s">
        <v>519</v>
      </c>
      <c r="B6" s="600" t="s">
        <v>356</v>
      </c>
      <c r="C6" s="599" t="s">
        <v>520</v>
      </c>
      <c r="D6" s="601"/>
      <c r="H6" s="603" t="s">
        <v>521</v>
      </c>
      <c r="J6" s="4" t="s">
        <v>522</v>
      </c>
      <c r="K6" s="4" t="s">
        <v>523</v>
      </c>
      <c r="L6" s="605" t="s">
        <v>33</v>
      </c>
      <c r="M6" s="4" t="s">
        <v>538</v>
      </c>
      <c r="N6" s="4" t="s">
        <v>539</v>
      </c>
    </row>
    <row r="7" spans="1:14" ht="16.899999999999999" customHeight="1" x14ac:dyDescent="0.25">
      <c r="A7" s="603" t="s">
        <v>526</v>
      </c>
      <c r="B7" s="604" t="s">
        <v>350</v>
      </c>
      <c r="C7" s="603" t="s">
        <v>527</v>
      </c>
      <c r="D7" s="601"/>
      <c r="H7" s="603" t="s">
        <v>528</v>
      </c>
      <c r="J7" s="4" t="s">
        <v>529</v>
      </c>
      <c r="K7" s="4" t="s">
        <v>530</v>
      </c>
      <c r="L7" s="605" t="s">
        <v>35</v>
      </c>
      <c r="M7" s="4" t="s">
        <v>545</v>
      </c>
      <c r="N7" s="4" t="s">
        <v>546</v>
      </c>
    </row>
    <row r="8" spans="1:14" ht="16.899999999999999" customHeight="1" x14ac:dyDescent="0.25">
      <c r="A8" s="599" t="s">
        <v>533</v>
      </c>
      <c r="B8" s="600" t="s">
        <v>534</v>
      </c>
      <c r="C8" s="599" t="s">
        <v>535</v>
      </c>
      <c r="D8" s="601"/>
      <c r="H8" s="603" t="s">
        <v>536</v>
      </c>
      <c r="J8" s="4" t="s">
        <v>537</v>
      </c>
      <c r="K8" s="4" t="s">
        <v>538</v>
      </c>
      <c r="L8" s="605" t="s">
        <v>38</v>
      </c>
      <c r="M8" s="4" t="s">
        <v>552</v>
      </c>
      <c r="N8" s="4" t="s">
        <v>553</v>
      </c>
    </row>
    <row r="9" spans="1:14" ht="16.899999999999999" customHeight="1" x14ac:dyDescent="0.25">
      <c r="A9" s="603" t="s">
        <v>540</v>
      </c>
      <c r="B9" s="604" t="s">
        <v>541</v>
      </c>
      <c r="C9" s="603" t="s">
        <v>542</v>
      </c>
      <c r="D9" s="601"/>
      <c r="H9" s="603" t="s">
        <v>543</v>
      </c>
      <c r="J9" s="4" t="s">
        <v>544</v>
      </c>
      <c r="K9" s="4" t="s">
        <v>545</v>
      </c>
      <c r="L9" s="605" t="s">
        <v>41</v>
      </c>
      <c r="M9" s="4" t="s">
        <v>558</v>
      </c>
      <c r="N9" s="4" t="s">
        <v>559</v>
      </c>
    </row>
    <row r="10" spans="1:14" ht="16.899999999999999" customHeight="1" x14ac:dyDescent="0.25">
      <c r="A10" s="599" t="s">
        <v>547</v>
      </c>
      <c r="B10" s="600" t="s">
        <v>548</v>
      </c>
      <c r="C10" s="599" t="s">
        <v>549</v>
      </c>
      <c r="D10" s="601"/>
      <c r="H10" s="603" t="s">
        <v>550</v>
      </c>
      <c r="J10" s="4" t="s">
        <v>551</v>
      </c>
      <c r="K10" s="4" t="s">
        <v>552</v>
      </c>
      <c r="L10" s="605" t="s">
        <v>43</v>
      </c>
      <c r="M10" s="4" t="s">
        <v>564</v>
      </c>
      <c r="N10" s="4" t="s">
        <v>565</v>
      </c>
    </row>
    <row r="11" spans="1:14" ht="16.899999999999999" customHeight="1" x14ac:dyDescent="0.25">
      <c r="A11" s="603" t="s">
        <v>554</v>
      </c>
      <c r="B11" s="604" t="s">
        <v>541</v>
      </c>
      <c r="C11" s="603" t="s">
        <v>555</v>
      </c>
      <c r="D11" s="601"/>
      <c r="H11" s="603" t="s">
        <v>556</v>
      </c>
      <c r="J11" s="4" t="s">
        <v>557</v>
      </c>
      <c r="K11" s="4" t="s">
        <v>558</v>
      </c>
      <c r="L11" s="605" t="s">
        <v>45</v>
      </c>
      <c r="M11" s="4" t="s">
        <v>570</v>
      </c>
      <c r="N11" s="4" t="s">
        <v>571</v>
      </c>
    </row>
    <row r="12" spans="1:14" ht="16.899999999999999" customHeight="1" x14ac:dyDescent="0.25">
      <c r="A12" s="599" t="s">
        <v>560</v>
      </c>
      <c r="B12" s="600" t="s">
        <v>338</v>
      </c>
      <c r="C12" s="599" t="s">
        <v>561</v>
      </c>
      <c r="D12" s="601"/>
      <c r="H12" s="603" t="s">
        <v>562</v>
      </c>
      <c r="J12" s="4" t="s">
        <v>563</v>
      </c>
      <c r="K12" s="4" t="s">
        <v>564</v>
      </c>
      <c r="L12" s="605" t="s">
        <v>47</v>
      </c>
      <c r="M12" s="4" t="s">
        <v>576</v>
      </c>
      <c r="N12" s="4" t="s">
        <v>577</v>
      </c>
    </row>
    <row r="13" spans="1:14" x14ac:dyDescent="0.25">
      <c r="A13" s="603" t="s">
        <v>566</v>
      </c>
      <c r="B13" s="604" t="s">
        <v>35</v>
      </c>
      <c r="C13" s="603" t="s">
        <v>567</v>
      </c>
      <c r="D13" s="601"/>
      <c r="H13" s="603" t="s">
        <v>568</v>
      </c>
      <c r="J13" s="4" t="s">
        <v>569</v>
      </c>
      <c r="K13" s="4" t="s">
        <v>570</v>
      </c>
      <c r="L13" s="605" t="s">
        <v>49</v>
      </c>
      <c r="M13" s="4" t="s">
        <v>582</v>
      </c>
      <c r="N13" s="4" t="s">
        <v>583</v>
      </c>
    </row>
    <row r="14" spans="1:14" x14ac:dyDescent="0.25">
      <c r="A14" s="599" t="s">
        <v>572</v>
      </c>
      <c r="B14" s="600" t="s">
        <v>38</v>
      </c>
      <c r="C14" s="599" t="s">
        <v>573</v>
      </c>
      <c r="D14" s="601"/>
      <c r="H14" s="603" t="s">
        <v>574</v>
      </c>
      <c r="J14" s="4" t="s">
        <v>575</v>
      </c>
      <c r="K14" s="4" t="s">
        <v>576</v>
      </c>
      <c r="L14" s="605" t="s">
        <v>51</v>
      </c>
      <c r="M14" s="4" t="s">
        <v>588</v>
      </c>
      <c r="N14" s="4" t="s">
        <v>589</v>
      </c>
    </row>
    <row r="15" spans="1:14" x14ac:dyDescent="0.25">
      <c r="A15" s="603" t="s">
        <v>578</v>
      </c>
      <c r="B15" s="604" t="s">
        <v>41</v>
      </c>
      <c r="C15" s="603" t="s">
        <v>579</v>
      </c>
      <c r="D15" s="601"/>
      <c r="H15" s="603" t="s">
        <v>580</v>
      </c>
      <c r="J15" s="4" t="s">
        <v>581</v>
      </c>
      <c r="K15" s="4" t="s">
        <v>582</v>
      </c>
      <c r="L15" s="606" t="s">
        <v>53</v>
      </c>
      <c r="M15" s="4" t="s">
        <v>594</v>
      </c>
      <c r="N15" s="4" t="s">
        <v>595</v>
      </c>
    </row>
    <row r="16" spans="1:14" x14ac:dyDescent="0.25">
      <c r="A16" s="599" t="s">
        <v>584</v>
      </c>
      <c r="B16" s="600" t="s">
        <v>43</v>
      </c>
      <c r="C16" s="599" t="s">
        <v>585</v>
      </c>
      <c r="D16" s="601"/>
      <c r="H16" s="603" t="s">
        <v>586</v>
      </c>
      <c r="J16" s="4" t="s">
        <v>587</v>
      </c>
      <c r="K16" s="4" t="s">
        <v>588</v>
      </c>
      <c r="L16" s="606" t="s">
        <v>600</v>
      </c>
      <c r="M16" s="4" t="s">
        <v>600</v>
      </c>
      <c r="N16" s="4" t="s">
        <v>601</v>
      </c>
    </row>
    <row r="17" spans="1:14" x14ac:dyDescent="0.25">
      <c r="A17" s="603" t="s">
        <v>590</v>
      </c>
      <c r="B17" s="604" t="s">
        <v>45</v>
      </c>
      <c r="C17" s="603" t="s">
        <v>591</v>
      </c>
      <c r="D17" s="601"/>
      <c r="H17" s="603" t="s">
        <v>592</v>
      </c>
      <c r="J17" s="4" t="s">
        <v>593</v>
      </c>
      <c r="K17" s="4" t="s">
        <v>594</v>
      </c>
      <c r="L17" s="606" t="s">
        <v>607</v>
      </c>
      <c r="M17" s="4" t="s">
        <v>607</v>
      </c>
      <c r="N17" s="4" t="s">
        <v>608</v>
      </c>
    </row>
    <row r="18" spans="1:14" x14ac:dyDescent="0.25">
      <c r="A18" s="599" t="s">
        <v>596</v>
      </c>
      <c r="B18" s="600" t="s">
        <v>47</v>
      </c>
      <c r="C18" s="599" t="s">
        <v>597</v>
      </c>
      <c r="D18" s="601"/>
      <c r="H18" s="603" t="s">
        <v>598</v>
      </c>
      <c r="J18" s="4" t="s">
        <v>599</v>
      </c>
      <c r="K18" s="4" t="s">
        <v>600</v>
      </c>
      <c r="L18" s="606" t="s">
        <v>613</v>
      </c>
      <c r="M18" s="4" t="s">
        <v>613</v>
      </c>
      <c r="N18" s="4" t="s">
        <v>614</v>
      </c>
    </row>
    <row r="19" spans="1:14" x14ac:dyDescent="0.25">
      <c r="A19" s="603" t="s">
        <v>602</v>
      </c>
      <c r="B19" s="604" t="s">
        <v>603</v>
      </c>
      <c r="C19" s="603" t="s">
        <v>604</v>
      </c>
      <c r="D19" s="601"/>
      <c r="H19" s="603" t="s">
        <v>605</v>
      </c>
      <c r="J19" s="4" t="s">
        <v>606</v>
      </c>
      <c r="K19" s="4" t="s">
        <v>607</v>
      </c>
      <c r="L19" s="606" t="s">
        <v>619</v>
      </c>
      <c r="M19" s="4" t="s">
        <v>619</v>
      </c>
      <c r="N19" s="4" t="s">
        <v>620</v>
      </c>
    </row>
    <row r="20" spans="1:14" x14ac:dyDescent="0.25">
      <c r="A20" s="599" t="s">
        <v>609</v>
      </c>
      <c r="B20" s="600" t="s">
        <v>51</v>
      </c>
      <c r="C20" s="599" t="s">
        <v>610</v>
      </c>
      <c r="D20" s="601"/>
      <c r="H20" s="603" t="s">
        <v>611</v>
      </c>
      <c r="J20" s="4" t="s">
        <v>612</v>
      </c>
      <c r="K20" s="4" t="s">
        <v>613</v>
      </c>
      <c r="L20" s="606" t="s">
        <v>624</v>
      </c>
      <c r="M20" s="4" t="s">
        <v>624</v>
      </c>
      <c r="N20" s="4" t="s">
        <v>625</v>
      </c>
    </row>
    <row r="21" spans="1:14" x14ac:dyDescent="0.25">
      <c r="A21" s="603" t="s">
        <v>615</v>
      </c>
      <c r="B21" s="604" t="s">
        <v>53</v>
      </c>
      <c r="C21" s="603" t="s">
        <v>616</v>
      </c>
      <c r="D21" s="601"/>
      <c r="H21" s="603" t="s">
        <v>617</v>
      </c>
      <c r="J21" s="4" t="s">
        <v>618</v>
      </c>
      <c r="K21" s="4" t="s">
        <v>619</v>
      </c>
      <c r="L21" s="606" t="s">
        <v>630</v>
      </c>
      <c r="M21" s="4" t="s">
        <v>629</v>
      </c>
      <c r="N21" s="4" t="s">
        <v>631</v>
      </c>
    </row>
    <row r="22" spans="1:14" x14ac:dyDescent="0.25">
      <c r="A22" s="599" t="s">
        <v>621</v>
      </c>
      <c r="B22" s="600" t="s">
        <v>357</v>
      </c>
      <c r="C22" s="599" t="s">
        <v>622</v>
      </c>
      <c r="D22" s="601"/>
      <c r="J22" s="4" t="s">
        <v>623</v>
      </c>
      <c r="K22" s="4" t="s">
        <v>624</v>
      </c>
      <c r="L22" s="606" t="s">
        <v>141</v>
      </c>
      <c r="M22" s="4" t="s">
        <v>141</v>
      </c>
      <c r="N22" s="4" t="s">
        <v>635</v>
      </c>
    </row>
    <row r="23" spans="1:14" x14ac:dyDescent="0.25">
      <c r="A23" s="603" t="s">
        <v>626</v>
      </c>
      <c r="B23" s="604" t="s">
        <v>16</v>
      </c>
      <c r="C23" s="603" t="s">
        <v>627</v>
      </c>
      <c r="D23" s="601"/>
      <c r="J23" s="4" t="s">
        <v>628</v>
      </c>
      <c r="K23" s="4" t="s">
        <v>629</v>
      </c>
      <c r="L23" s="606" t="s">
        <v>641</v>
      </c>
      <c r="M23" s="4" t="s">
        <v>640</v>
      </c>
      <c r="N23" s="4" t="s">
        <v>642</v>
      </c>
    </row>
    <row r="24" spans="1:14" x14ac:dyDescent="0.25">
      <c r="A24" s="599" t="s">
        <v>632</v>
      </c>
      <c r="B24" s="600" t="s">
        <v>33</v>
      </c>
      <c r="C24" s="599" t="s">
        <v>633</v>
      </c>
      <c r="D24" s="601"/>
      <c r="J24" s="4" t="s">
        <v>634</v>
      </c>
      <c r="K24" s="4" t="s">
        <v>141</v>
      </c>
      <c r="L24" s="606" t="s">
        <v>648</v>
      </c>
      <c r="M24" s="4" t="s">
        <v>647</v>
      </c>
      <c r="N24" s="4" t="s">
        <v>649</v>
      </c>
    </row>
    <row r="25" spans="1:14" x14ac:dyDescent="0.25">
      <c r="A25" s="603" t="s">
        <v>636</v>
      </c>
      <c r="B25" s="607" t="s">
        <v>637</v>
      </c>
      <c r="C25" s="599" t="s">
        <v>638</v>
      </c>
      <c r="D25" s="601"/>
      <c r="J25" s="4" t="s">
        <v>639</v>
      </c>
      <c r="K25" s="4" t="s">
        <v>640</v>
      </c>
      <c r="L25" s="606" t="s">
        <v>654</v>
      </c>
      <c r="M25" s="4" t="s">
        <v>653</v>
      </c>
      <c r="N25" s="4" t="s">
        <v>655</v>
      </c>
    </row>
    <row r="26" spans="1:14" ht="15" customHeight="1" x14ac:dyDescent="0.25">
      <c r="A26" s="603" t="s">
        <v>643</v>
      </c>
      <c r="B26" s="607" t="s">
        <v>644</v>
      </c>
      <c r="C26" s="599" t="s">
        <v>645</v>
      </c>
      <c r="D26" s="601"/>
      <c r="J26" s="4" t="s">
        <v>646</v>
      </c>
      <c r="K26" s="4" t="s">
        <v>647</v>
      </c>
      <c r="L26" s="606" t="s">
        <v>660</v>
      </c>
      <c r="M26" s="4" t="s">
        <v>659</v>
      </c>
      <c r="N26" s="4" t="s">
        <v>661</v>
      </c>
    </row>
    <row r="27" spans="1:14" x14ac:dyDescent="0.25">
      <c r="A27" s="599" t="s">
        <v>650</v>
      </c>
      <c r="B27" s="608" t="s">
        <v>334</v>
      </c>
      <c r="C27" s="599" t="s">
        <v>651</v>
      </c>
      <c r="D27" s="601"/>
      <c r="J27" s="4" t="s">
        <v>652</v>
      </c>
      <c r="K27" s="4" t="s">
        <v>653</v>
      </c>
      <c r="L27" s="606" t="s">
        <v>178</v>
      </c>
      <c r="M27" s="4" t="s">
        <v>665</v>
      </c>
      <c r="N27" s="4" t="s">
        <v>666</v>
      </c>
    </row>
    <row r="28" spans="1:14" x14ac:dyDescent="0.25">
      <c r="A28" s="603" t="s">
        <v>656</v>
      </c>
      <c r="B28" s="607" t="s">
        <v>454</v>
      </c>
      <c r="C28" s="599" t="s">
        <v>657</v>
      </c>
      <c r="D28" s="601"/>
      <c r="J28" s="4" t="s">
        <v>658</v>
      </c>
      <c r="K28" s="4" t="s">
        <v>659</v>
      </c>
      <c r="L28" s="606" t="s">
        <v>135</v>
      </c>
      <c r="M28" s="4" t="s">
        <v>671</v>
      </c>
      <c r="N28" s="4" t="s">
        <v>672</v>
      </c>
    </row>
    <row r="29" spans="1:14" x14ac:dyDescent="0.25">
      <c r="A29" s="599" t="s">
        <v>662</v>
      </c>
      <c r="B29" s="607" t="s">
        <v>455</v>
      </c>
      <c r="C29" s="599" t="s">
        <v>663</v>
      </c>
      <c r="D29" s="601"/>
      <c r="J29" s="4" t="s">
        <v>664</v>
      </c>
      <c r="K29" s="4" t="s">
        <v>665</v>
      </c>
      <c r="L29" s="606" t="s">
        <v>180</v>
      </c>
      <c r="M29" s="4" t="s">
        <v>676</v>
      </c>
      <c r="N29" s="4" t="s">
        <v>677</v>
      </c>
    </row>
    <row r="30" spans="1:14" x14ac:dyDescent="0.25">
      <c r="A30" s="603" t="s">
        <v>667</v>
      </c>
      <c r="B30" s="607" t="s">
        <v>668</v>
      </c>
      <c r="C30" s="599" t="s">
        <v>669</v>
      </c>
      <c r="D30" s="601"/>
      <c r="J30" s="4" t="s">
        <v>670</v>
      </c>
      <c r="K30" s="4" t="s">
        <v>671</v>
      </c>
      <c r="L30" s="606" t="s">
        <v>181</v>
      </c>
      <c r="M30" s="4" t="s">
        <v>681</v>
      </c>
      <c r="N30" s="4" t="s">
        <v>682</v>
      </c>
    </row>
    <row r="31" spans="1:14" x14ac:dyDescent="0.25">
      <c r="A31" s="599" t="s">
        <v>673</v>
      </c>
      <c r="B31" s="607" t="s">
        <v>388</v>
      </c>
      <c r="C31" s="599" t="s">
        <v>674</v>
      </c>
      <c r="D31" s="601"/>
      <c r="J31" s="4" t="s">
        <v>675</v>
      </c>
      <c r="K31" s="4" t="s">
        <v>676</v>
      </c>
      <c r="L31" s="606" t="s">
        <v>183</v>
      </c>
      <c r="M31" s="4" t="s">
        <v>686</v>
      </c>
      <c r="N31" s="4" t="s">
        <v>687</v>
      </c>
    </row>
    <row r="32" spans="1:14" x14ac:dyDescent="0.25">
      <c r="A32" s="603" t="s">
        <v>678</v>
      </c>
      <c r="B32" s="607" t="s">
        <v>400</v>
      </c>
      <c r="C32" s="599" t="s">
        <v>679</v>
      </c>
      <c r="D32" s="601"/>
      <c r="J32" s="4" t="s">
        <v>680</v>
      </c>
      <c r="K32" s="4" t="s">
        <v>681</v>
      </c>
      <c r="L32" s="606" t="s">
        <v>193</v>
      </c>
      <c r="M32" s="4" t="s">
        <v>691</v>
      </c>
      <c r="N32" s="4" t="s">
        <v>692</v>
      </c>
    </row>
    <row r="33" spans="1:14" x14ac:dyDescent="0.25">
      <c r="A33" s="599" t="s">
        <v>683</v>
      </c>
      <c r="B33" s="607" t="s">
        <v>285</v>
      </c>
      <c r="C33" s="599" t="s">
        <v>684</v>
      </c>
      <c r="D33" s="601"/>
      <c r="J33" s="4" t="s">
        <v>685</v>
      </c>
      <c r="K33" s="4" t="s">
        <v>686</v>
      </c>
      <c r="L33" s="606" t="s">
        <v>200</v>
      </c>
      <c r="M33" s="4" t="s">
        <v>697</v>
      </c>
      <c r="N33" s="4" t="s">
        <v>698</v>
      </c>
    </row>
    <row r="34" spans="1:14" x14ac:dyDescent="0.25">
      <c r="A34" s="603" t="s">
        <v>688</v>
      </c>
      <c r="B34" s="607" t="s">
        <v>401</v>
      </c>
      <c r="C34" s="599" t="s">
        <v>689</v>
      </c>
      <c r="D34" s="601"/>
      <c r="J34" s="4" t="s">
        <v>690</v>
      </c>
      <c r="K34" s="4" t="s">
        <v>691</v>
      </c>
      <c r="L34" s="606" t="s">
        <v>202</v>
      </c>
      <c r="M34" s="4" t="s">
        <v>702</v>
      </c>
      <c r="N34" s="4" t="s">
        <v>703</v>
      </c>
    </row>
    <row r="35" spans="1:14" x14ac:dyDescent="0.25">
      <c r="A35" s="599" t="s">
        <v>693</v>
      </c>
      <c r="B35" s="607" t="s">
        <v>694</v>
      </c>
      <c r="C35" s="599" t="s">
        <v>695</v>
      </c>
      <c r="D35" s="601"/>
      <c r="J35" s="4" t="s">
        <v>696</v>
      </c>
      <c r="K35" s="4" t="s">
        <v>697</v>
      </c>
      <c r="L35" s="606" t="s">
        <v>207</v>
      </c>
      <c r="M35" s="4" t="s">
        <v>707</v>
      </c>
      <c r="N35" s="4" t="s">
        <v>708</v>
      </c>
    </row>
    <row r="36" spans="1:14" x14ac:dyDescent="0.25">
      <c r="A36" s="603" t="s">
        <v>699</v>
      </c>
      <c r="B36" s="609" t="s">
        <v>236</v>
      </c>
      <c r="C36" s="599" t="s">
        <v>700</v>
      </c>
      <c r="D36" s="601"/>
      <c r="J36" s="4" t="s">
        <v>701</v>
      </c>
      <c r="K36" s="4" t="s">
        <v>702</v>
      </c>
      <c r="L36" s="610" t="s">
        <v>217</v>
      </c>
      <c r="M36" s="4" t="s">
        <v>217</v>
      </c>
      <c r="N36" s="4" t="s">
        <v>713</v>
      </c>
    </row>
    <row r="37" spans="1:14" x14ac:dyDescent="0.25">
      <c r="A37" s="599" t="s">
        <v>704</v>
      </c>
      <c r="B37" s="609" t="s">
        <v>246</v>
      </c>
      <c r="C37" s="599" t="s">
        <v>705</v>
      </c>
      <c r="D37" s="601"/>
      <c r="J37" s="4" t="s">
        <v>706</v>
      </c>
      <c r="K37" s="4" t="s">
        <v>707</v>
      </c>
      <c r="L37" s="610" t="s">
        <v>218</v>
      </c>
      <c r="M37" s="4" t="s">
        <v>718</v>
      </c>
      <c r="N37" s="4" t="s">
        <v>719</v>
      </c>
    </row>
    <row r="38" spans="1:14" x14ac:dyDescent="0.25">
      <c r="A38" s="603" t="s">
        <v>709</v>
      </c>
      <c r="B38" s="607" t="s">
        <v>710</v>
      </c>
      <c r="C38" s="599" t="s">
        <v>711</v>
      </c>
      <c r="D38" s="601"/>
      <c r="J38" s="4" t="s">
        <v>712</v>
      </c>
      <c r="K38" s="4" t="s">
        <v>217</v>
      </c>
      <c r="L38" s="610" t="s">
        <v>220</v>
      </c>
      <c r="M38" s="4" t="s">
        <v>723</v>
      </c>
      <c r="N38" s="4" t="s">
        <v>724</v>
      </c>
    </row>
    <row r="39" spans="1:14" x14ac:dyDescent="0.25">
      <c r="A39" s="603" t="s">
        <v>714</v>
      </c>
      <c r="B39" s="607" t="s">
        <v>715</v>
      </c>
      <c r="C39" s="599" t="s">
        <v>716</v>
      </c>
      <c r="D39" s="601"/>
      <c r="J39" s="4" t="s">
        <v>717</v>
      </c>
      <c r="K39" s="4" t="s">
        <v>718</v>
      </c>
      <c r="L39" s="611" t="s">
        <v>263</v>
      </c>
      <c r="M39" s="4" t="s">
        <v>454</v>
      </c>
      <c r="N39" s="4" t="s">
        <v>728</v>
      </c>
    </row>
    <row r="40" spans="1:14" x14ac:dyDescent="0.25">
      <c r="A40" s="599" t="s">
        <v>720</v>
      </c>
      <c r="B40" s="599" t="s">
        <v>360</v>
      </c>
      <c r="C40" s="599" t="s">
        <v>721</v>
      </c>
      <c r="D40" s="601"/>
      <c r="J40" s="4" t="s">
        <v>722</v>
      </c>
      <c r="K40" s="4" t="s">
        <v>723</v>
      </c>
      <c r="L40" s="611" t="s">
        <v>264</v>
      </c>
      <c r="M40" s="4" t="s">
        <v>455</v>
      </c>
      <c r="N40" s="4" t="s">
        <v>732</v>
      </c>
    </row>
    <row r="41" spans="1:14" x14ac:dyDescent="0.25">
      <c r="A41" s="603" t="s">
        <v>725</v>
      </c>
      <c r="B41" s="599" t="s">
        <v>326</v>
      </c>
      <c r="C41" s="599" t="s">
        <v>726</v>
      </c>
      <c r="D41" s="601"/>
      <c r="J41" s="4" t="s">
        <v>727</v>
      </c>
      <c r="K41" s="4" t="s">
        <v>454</v>
      </c>
      <c r="L41" s="611" t="s">
        <v>5</v>
      </c>
      <c r="M41" s="4" t="s">
        <v>5</v>
      </c>
      <c r="N41" s="4" t="s">
        <v>736</v>
      </c>
    </row>
    <row r="42" spans="1:14" x14ac:dyDescent="0.25">
      <c r="A42" s="599" t="s">
        <v>729</v>
      </c>
      <c r="B42" s="599" t="s">
        <v>244</v>
      </c>
      <c r="C42" s="599" t="s">
        <v>730</v>
      </c>
      <c r="D42" s="601"/>
      <c r="J42" s="4" t="s">
        <v>731</v>
      </c>
      <c r="K42" s="4" t="s">
        <v>455</v>
      </c>
      <c r="L42" s="612" t="s">
        <v>60</v>
      </c>
      <c r="M42" s="4" t="s">
        <v>740</v>
      </c>
      <c r="N42" s="4" t="s">
        <v>741</v>
      </c>
    </row>
    <row r="43" spans="1:14" x14ac:dyDescent="0.25">
      <c r="A43" s="603" t="s">
        <v>733</v>
      </c>
      <c r="B43" s="599" t="s">
        <v>327</v>
      </c>
      <c r="C43" s="599" t="s">
        <v>734</v>
      </c>
      <c r="D43" s="601"/>
      <c r="J43" s="4" t="s">
        <v>735</v>
      </c>
      <c r="K43" s="4" t="s">
        <v>5</v>
      </c>
      <c r="L43" s="612" t="s">
        <v>63</v>
      </c>
      <c r="M43" s="4" t="s">
        <v>745</v>
      </c>
      <c r="N43" s="4" t="s">
        <v>746</v>
      </c>
    </row>
    <row r="44" spans="1:14" x14ac:dyDescent="0.25">
      <c r="A44" s="599" t="s">
        <v>737</v>
      </c>
      <c r="B44" s="599" t="s">
        <v>328</v>
      </c>
      <c r="C44" s="599" t="s">
        <v>738</v>
      </c>
      <c r="D44" s="601"/>
      <c r="J44" s="4" t="s">
        <v>739</v>
      </c>
      <c r="K44" s="4" t="s">
        <v>740</v>
      </c>
      <c r="L44" s="612" t="s">
        <v>30</v>
      </c>
      <c r="M44" s="4" t="s">
        <v>30</v>
      </c>
      <c r="N44" s="4" t="s">
        <v>755</v>
      </c>
    </row>
    <row r="45" spans="1:14" x14ac:dyDescent="0.25">
      <c r="A45" s="603" t="s">
        <v>742</v>
      </c>
      <c r="B45" s="599" t="s">
        <v>317</v>
      </c>
      <c r="C45" s="599" t="s">
        <v>743</v>
      </c>
      <c r="D45" s="601"/>
      <c r="J45" s="4" t="s">
        <v>744</v>
      </c>
      <c r="K45" s="4" t="s">
        <v>745</v>
      </c>
      <c r="L45" s="612" t="s">
        <v>69</v>
      </c>
      <c r="M45" s="4" t="s">
        <v>760</v>
      </c>
      <c r="N45" s="4" t="s">
        <v>761</v>
      </c>
    </row>
    <row r="46" spans="1:14" x14ac:dyDescent="0.25">
      <c r="A46" s="599" t="s">
        <v>747</v>
      </c>
      <c r="B46" s="599" t="s">
        <v>329</v>
      </c>
      <c r="C46" s="599" t="s">
        <v>748</v>
      </c>
      <c r="D46" s="601"/>
      <c r="J46" s="4" t="s">
        <v>749</v>
      </c>
      <c r="K46" s="4" t="s">
        <v>750</v>
      </c>
      <c r="L46" s="612" t="s">
        <v>72</v>
      </c>
      <c r="M46" s="4" t="s">
        <v>768</v>
      </c>
      <c r="N46" s="4" t="s">
        <v>769</v>
      </c>
    </row>
    <row r="47" spans="1:14" x14ac:dyDescent="0.25">
      <c r="A47" s="603" t="s">
        <v>751</v>
      </c>
      <c r="B47" s="599" t="s">
        <v>752</v>
      </c>
      <c r="C47" s="599" t="s">
        <v>753</v>
      </c>
      <c r="D47" s="601"/>
      <c r="J47" s="4" t="s">
        <v>754</v>
      </c>
      <c r="K47" s="4" t="s">
        <v>30</v>
      </c>
      <c r="L47" s="612" t="s">
        <v>73</v>
      </c>
      <c r="M47" s="4" t="s">
        <v>774</v>
      </c>
      <c r="N47" s="4" t="s">
        <v>775</v>
      </c>
    </row>
    <row r="48" spans="1:14" x14ac:dyDescent="0.25">
      <c r="A48" s="599" t="s">
        <v>756</v>
      </c>
      <c r="B48" s="599" t="s">
        <v>757</v>
      </c>
      <c r="C48" s="599" t="s">
        <v>758</v>
      </c>
      <c r="D48" s="601"/>
      <c r="J48" s="4" t="s">
        <v>759</v>
      </c>
      <c r="K48" s="4" t="s">
        <v>760</v>
      </c>
      <c r="L48" s="612" t="s">
        <v>75</v>
      </c>
      <c r="M48" s="4" t="s">
        <v>780</v>
      </c>
      <c r="N48" s="4" t="s">
        <v>781</v>
      </c>
    </row>
    <row r="49" spans="1:14" x14ac:dyDescent="0.25">
      <c r="A49" s="603" t="s">
        <v>762</v>
      </c>
      <c r="B49" s="599" t="s">
        <v>318</v>
      </c>
      <c r="C49" s="599" t="s">
        <v>763</v>
      </c>
      <c r="D49" s="601"/>
      <c r="J49" s="4" t="s">
        <v>764</v>
      </c>
      <c r="K49" s="4" t="s">
        <v>14</v>
      </c>
      <c r="L49" s="612" t="s">
        <v>77</v>
      </c>
      <c r="M49" s="4" t="s">
        <v>786</v>
      </c>
      <c r="N49" s="4" t="s">
        <v>787</v>
      </c>
    </row>
    <row r="50" spans="1:14" x14ac:dyDescent="0.25">
      <c r="A50" s="603" t="s">
        <v>765</v>
      </c>
      <c r="B50" s="599" t="s">
        <v>319</v>
      </c>
      <c r="C50" s="599" t="s">
        <v>766</v>
      </c>
      <c r="D50" s="601"/>
      <c r="J50" s="4" t="s">
        <v>767</v>
      </c>
      <c r="K50" s="4" t="s">
        <v>768</v>
      </c>
      <c r="L50" s="612" t="s">
        <v>80</v>
      </c>
      <c r="M50" s="4" t="s">
        <v>792</v>
      </c>
      <c r="N50" s="4" t="s">
        <v>793</v>
      </c>
    </row>
    <row r="51" spans="1:14" x14ac:dyDescent="0.25">
      <c r="A51" s="603" t="s">
        <v>770</v>
      </c>
      <c r="B51" s="599" t="s">
        <v>771</v>
      </c>
      <c r="C51" s="599" t="s">
        <v>772</v>
      </c>
      <c r="D51" s="601"/>
      <c r="J51" s="4" t="s">
        <v>773</v>
      </c>
      <c r="K51" s="4" t="s">
        <v>774</v>
      </c>
      <c r="L51" s="612" t="s">
        <v>84</v>
      </c>
      <c r="M51" s="4" t="s">
        <v>800</v>
      </c>
      <c r="N51" s="4" t="s">
        <v>801</v>
      </c>
    </row>
    <row r="52" spans="1:14" x14ac:dyDescent="0.25">
      <c r="A52" s="603" t="s">
        <v>776</v>
      </c>
      <c r="B52" s="599" t="s">
        <v>777</v>
      </c>
      <c r="C52" s="599" t="s">
        <v>778</v>
      </c>
      <c r="D52" s="601"/>
      <c r="J52" s="4" t="s">
        <v>779</v>
      </c>
      <c r="K52" s="4" t="s">
        <v>780</v>
      </c>
      <c r="L52" s="612" t="s">
        <v>86</v>
      </c>
      <c r="M52" s="4" t="s">
        <v>803</v>
      </c>
      <c r="N52" s="4" t="s">
        <v>804</v>
      </c>
    </row>
    <row r="53" spans="1:14" x14ac:dyDescent="0.25">
      <c r="A53" s="603" t="s">
        <v>782</v>
      </c>
      <c r="B53" s="599" t="s">
        <v>783</v>
      </c>
      <c r="C53" s="599" t="s">
        <v>784</v>
      </c>
      <c r="D53" s="601"/>
      <c r="J53" s="4" t="s">
        <v>785</v>
      </c>
      <c r="K53" s="4" t="s">
        <v>786</v>
      </c>
      <c r="L53" s="612" t="s">
        <v>88</v>
      </c>
      <c r="M53" s="4" t="s">
        <v>806</v>
      </c>
      <c r="N53" s="4" t="s">
        <v>807</v>
      </c>
    </row>
    <row r="54" spans="1:14" x14ac:dyDescent="0.25">
      <c r="A54" s="603" t="s">
        <v>788</v>
      </c>
      <c r="B54" s="599" t="s">
        <v>789</v>
      </c>
      <c r="C54" s="599" t="s">
        <v>790</v>
      </c>
      <c r="D54" s="601"/>
      <c r="J54" s="4" t="s">
        <v>791</v>
      </c>
      <c r="K54" s="4" t="s">
        <v>792</v>
      </c>
      <c r="L54" s="612" t="s">
        <v>90</v>
      </c>
      <c r="M54" s="4" t="s">
        <v>809</v>
      </c>
      <c r="N54" s="4" t="s">
        <v>810</v>
      </c>
    </row>
    <row r="55" spans="1:14" x14ac:dyDescent="0.25">
      <c r="A55" s="603" t="s">
        <v>794</v>
      </c>
      <c r="B55" s="599" t="s">
        <v>795</v>
      </c>
      <c r="C55" s="599" t="s">
        <v>796</v>
      </c>
      <c r="J55" s="4" t="s">
        <v>797</v>
      </c>
      <c r="K55" s="4" t="s">
        <v>798</v>
      </c>
      <c r="L55" s="612" t="s">
        <v>93</v>
      </c>
      <c r="M55" s="4" t="s">
        <v>814</v>
      </c>
      <c r="N55" s="4" t="s">
        <v>815</v>
      </c>
    </row>
    <row r="56" spans="1:14" x14ac:dyDescent="0.25">
      <c r="J56" s="4" t="s">
        <v>799</v>
      </c>
      <c r="K56" s="4" t="s">
        <v>800</v>
      </c>
      <c r="L56" s="612" t="s">
        <v>97</v>
      </c>
      <c r="M56" s="4" t="s">
        <v>819</v>
      </c>
      <c r="N56" s="4" t="s">
        <v>820</v>
      </c>
    </row>
    <row r="57" spans="1:14" x14ac:dyDescent="0.25">
      <c r="J57" s="4" t="s">
        <v>802</v>
      </c>
      <c r="K57" s="4" t="s">
        <v>803</v>
      </c>
      <c r="L57" s="612" t="s">
        <v>109</v>
      </c>
      <c r="M57" s="4" t="s">
        <v>828</v>
      </c>
      <c r="N57" s="4" t="s">
        <v>829</v>
      </c>
    </row>
    <row r="58" spans="1:14" x14ac:dyDescent="0.25">
      <c r="J58" s="4" t="s">
        <v>805</v>
      </c>
      <c r="K58" s="4" t="s">
        <v>806</v>
      </c>
      <c r="L58" s="612" t="s">
        <v>114</v>
      </c>
      <c r="M58" s="4" t="s">
        <v>832</v>
      </c>
      <c r="N58" s="4" t="s">
        <v>833</v>
      </c>
    </row>
    <row r="59" spans="1:14" x14ac:dyDescent="0.25">
      <c r="J59" s="4" t="s">
        <v>808</v>
      </c>
      <c r="K59" s="4" t="s">
        <v>809</v>
      </c>
      <c r="L59" s="612" t="s">
        <v>115</v>
      </c>
      <c r="M59" s="4" t="s">
        <v>835</v>
      </c>
      <c r="N59" s="4" t="s">
        <v>836</v>
      </c>
    </row>
    <row r="60" spans="1:14" x14ac:dyDescent="0.25">
      <c r="J60" s="4" t="s">
        <v>811</v>
      </c>
      <c r="K60" s="4" t="s">
        <v>812</v>
      </c>
      <c r="L60" s="612" t="s">
        <v>117</v>
      </c>
      <c r="M60" s="4" t="s">
        <v>838</v>
      </c>
      <c r="N60" s="4" t="s">
        <v>839</v>
      </c>
    </row>
    <row r="61" spans="1:14" x14ac:dyDescent="0.25">
      <c r="J61" s="4" t="s">
        <v>813</v>
      </c>
      <c r="K61" s="4" t="s">
        <v>814</v>
      </c>
      <c r="L61" s="612" t="s">
        <v>120</v>
      </c>
      <c r="M61" s="4" t="s">
        <v>841</v>
      </c>
      <c r="N61" s="4" t="s">
        <v>842</v>
      </c>
    </row>
    <row r="62" spans="1:14" x14ac:dyDescent="0.25">
      <c r="J62" s="4" t="s">
        <v>816</v>
      </c>
      <c r="K62" s="4" t="s">
        <v>817</v>
      </c>
      <c r="L62" s="612" t="s">
        <v>123</v>
      </c>
      <c r="M62" s="4" t="s">
        <v>844</v>
      </c>
      <c r="N62" s="4" t="s">
        <v>845</v>
      </c>
    </row>
    <row r="63" spans="1:14" x14ac:dyDescent="0.25">
      <c r="J63" s="4" t="s">
        <v>818</v>
      </c>
      <c r="K63" s="4" t="s">
        <v>819</v>
      </c>
      <c r="L63" s="612" t="s">
        <v>125</v>
      </c>
      <c r="M63" s="4" t="s">
        <v>847</v>
      </c>
      <c r="N63" s="4" t="s">
        <v>848</v>
      </c>
    </row>
    <row r="64" spans="1:14" x14ac:dyDescent="0.25">
      <c r="J64" s="4" t="s">
        <v>821</v>
      </c>
      <c r="K64" s="4" t="s">
        <v>822</v>
      </c>
      <c r="L64" s="612" t="s">
        <v>129</v>
      </c>
      <c r="M64" s="4" t="s">
        <v>851</v>
      </c>
      <c r="N64" s="4" t="s">
        <v>852</v>
      </c>
    </row>
    <row r="65" spans="10:14" x14ac:dyDescent="0.25">
      <c r="J65" s="4" t="s">
        <v>823</v>
      </c>
      <c r="K65" s="4" t="s">
        <v>824</v>
      </c>
      <c r="L65" s="612" t="s">
        <v>133</v>
      </c>
      <c r="M65" s="4" t="s">
        <v>855</v>
      </c>
      <c r="N65" s="4" t="s">
        <v>856</v>
      </c>
    </row>
    <row r="66" spans="10:14" x14ac:dyDescent="0.25">
      <c r="J66" s="4" t="s">
        <v>825</v>
      </c>
      <c r="K66" s="4" t="s">
        <v>826</v>
      </c>
      <c r="L66" s="612" t="s">
        <v>135</v>
      </c>
      <c r="M66" s="4" t="s">
        <v>858</v>
      </c>
      <c r="N66" s="4" t="s">
        <v>859</v>
      </c>
    </row>
    <row r="67" spans="10:14" x14ac:dyDescent="0.25">
      <c r="J67" s="4" t="s">
        <v>827</v>
      </c>
      <c r="K67" s="4" t="s">
        <v>828</v>
      </c>
      <c r="L67" s="612" t="s">
        <v>137</v>
      </c>
      <c r="M67" s="4" t="s">
        <v>861</v>
      </c>
      <c r="N67" s="4" t="s">
        <v>862</v>
      </c>
    </row>
    <row r="68" spans="10:14" x14ac:dyDescent="0.25">
      <c r="J68" s="4" t="s">
        <v>830</v>
      </c>
      <c r="K68" s="4" t="s">
        <v>112</v>
      </c>
      <c r="L68" s="612" t="s">
        <v>139</v>
      </c>
      <c r="M68" s="4" t="s">
        <v>864</v>
      </c>
      <c r="N68" s="4" t="s">
        <v>865</v>
      </c>
    </row>
    <row r="69" spans="10:14" x14ac:dyDescent="0.25">
      <c r="J69" s="4" t="s">
        <v>831</v>
      </c>
      <c r="K69" s="4" t="s">
        <v>832</v>
      </c>
      <c r="L69" s="612" t="s">
        <v>140</v>
      </c>
      <c r="M69" s="4" t="s">
        <v>867</v>
      </c>
      <c r="N69" s="4" t="s">
        <v>868</v>
      </c>
    </row>
    <row r="70" spans="10:14" x14ac:dyDescent="0.25">
      <c r="J70" s="4" t="s">
        <v>834</v>
      </c>
      <c r="K70" s="4" t="s">
        <v>835</v>
      </c>
      <c r="L70" s="4"/>
      <c r="M70" s="4" t="s">
        <v>870</v>
      </c>
      <c r="N70" s="4" t="s">
        <v>871</v>
      </c>
    </row>
    <row r="71" spans="10:14" x14ac:dyDescent="0.25">
      <c r="J71" s="4" t="s">
        <v>837</v>
      </c>
      <c r="K71" s="4" t="s">
        <v>838</v>
      </c>
      <c r="L71" s="4"/>
      <c r="M71" s="4" t="s">
        <v>872</v>
      </c>
      <c r="N71" s="4" t="s">
        <v>873</v>
      </c>
    </row>
    <row r="72" spans="10:14" x14ac:dyDescent="0.25">
      <c r="J72" s="4" t="s">
        <v>840</v>
      </c>
      <c r="K72" s="4" t="s">
        <v>841</v>
      </c>
      <c r="L72" s="4"/>
      <c r="M72" s="4" t="s">
        <v>874</v>
      </c>
      <c r="N72" s="4" t="s">
        <v>883</v>
      </c>
    </row>
    <row r="73" spans="10:14" x14ac:dyDescent="0.25">
      <c r="J73" s="4" t="s">
        <v>843</v>
      </c>
      <c r="K73" s="4" t="s">
        <v>844</v>
      </c>
      <c r="L73" s="4"/>
      <c r="M73" s="4" t="s">
        <v>875</v>
      </c>
      <c r="N73" s="4" t="s">
        <v>882</v>
      </c>
    </row>
    <row r="74" spans="10:14" x14ac:dyDescent="0.25">
      <c r="J74" s="4" t="s">
        <v>846</v>
      </c>
      <c r="K74" s="4" t="s">
        <v>847</v>
      </c>
      <c r="L74" s="4"/>
      <c r="M74" s="4" t="s">
        <v>876</v>
      </c>
      <c r="N74" s="4" t="s">
        <v>878</v>
      </c>
    </row>
    <row r="75" spans="10:14" x14ac:dyDescent="0.25">
      <c r="J75" s="4" t="s">
        <v>849</v>
      </c>
      <c r="K75" s="4" t="s">
        <v>127</v>
      </c>
      <c r="L75" s="4"/>
      <c r="M75" s="4" t="s">
        <v>338</v>
      </c>
      <c r="N75" s="4" t="s">
        <v>877</v>
      </c>
    </row>
    <row r="76" spans="10:14" x14ac:dyDescent="0.25">
      <c r="J76" s="4" t="s">
        <v>850</v>
      </c>
      <c r="K76" s="4" t="s">
        <v>851</v>
      </c>
      <c r="L76" s="4"/>
      <c r="M76" s="4" t="s">
        <v>879</v>
      </c>
      <c r="N76" s="4" t="s">
        <v>880</v>
      </c>
    </row>
    <row r="77" spans="10:14" x14ac:dyDescent="0.25">
      <c r="J77" s="4" t="s">
        <v>853</v>
      </c>
      <c r="K77" s="4" t="s">
        <v>131</v>
      </c>
    </row>
    <row r="78" spans="10:14" x14ac:dyDescent="0.25">
      <c r="J78" s="4" t="s">
        <v>854</v>
      </c>
      <c r="K78" s="4" t="s">
        <v>855</v>
      </c>
    </row>
    <row r="79" spans="10:14" x14ac:dyDescent="0.25">
      <c r="J79" s="4" t="s">
        <v>857</v>
      </c>
      <c r="K79" s="4" t="s">
        <v>858</v>
      </c>
    </row>
    <row r="80" spans="10:14" x14ac:dyDescent="0.25">
      <c r="J80" s="4" t="s">
        <v>860</v>
      </c>
      <c r="K80" s="4" t="s">
        <v>861</v>
      </c>
    </row>
    <row r="81" spans="10:11" x14ac:dyDescent="0.25">
      <c r="J81" s="4" t="s">
        <v>863</v>
      </c>
      <c r="K81" s="4" t="s">
        <v>864</v>
      </c>
    </row>
    <row r="82" spans="10:11" x14ac:dyDescent="0.25">
      <c r="J82" s="4" t="s">
        <v>866</v>
      </c>
      <c r="K82" s="4" t="s">
        <v>867</v>
      </c>
    </row>
  </sheetData>
  <conditionalFormatting sqref="J84:J1048576 J1:J82">
    <cfRule type="duplicateValues" dxfId="2" priority="1"/>
  </conditionalFormatting>
  <conditionalFormatting sqref="K84:K1048576 K1:K82">
    <cfRule type="duplicateValues" dxfId="1" priority="2"/>
  </conditionalFormatting>
  <conditionalFormatting sqref="M2:M69">
    <cfRule type="duplicateValues" dxfId="0" priority="3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415"/>
  <sheetViews>
    <sheetView topLeftCell="D212" zoomScaleNormal="100" workbookViewId="0">
      <selection activeCell="G243" sqref="G243"/>
    </sheetView>
  </sheetViews>
  <sheetFormatPr defaultRowHeight="15" x14ac:dyDescent="0.25"/>
  <cols>
    <col min="1" max="1" width="72" bestFit="1" customWidth="1"/>
    <col min="2" max="2" width="32.28515625" bestFit="1" customWidth="1"/>
    <col min="3" max="3" width="38.7109375" customWidth="1"/>
    <col min="4" max="4" width="56.42578125" bestFit="1" customWidth="1"/>
    <col min="5" max="5" width="34" customWidth="1"/>
    <col min="6" max="6" width="30.28515625" bestFit="1" customWidth="1"/>
    <col min="7" max="7" width="34" customWidth="1"/>
    <col min="8" max="8" width="34.42578125" customWidth="1"/>
    <col min="9" max="9" width="24.28515625" bestFit="1" customWidth="1"/>
    <col min="10" max="10" width="32.28515625" bestFit="1" customWidth="1"/>
    <col min="11" max="11" width="10.5703125" bestFit="1" customWidth="1"/>
    <col min="12" max="12" width="9.7109375" style="14" bestFit="1" customWidth="1"/>
    <col min="13" max="13" width="25.7109375" customWidth="1"/>
    <col min="15" max="15" width="15.42578125" customWidth="1"/>
    <col min="16" max="16" width="28.7109375" bestFit="1" customWidth="1"/>
    <col min="17" max="17" width="15.42578125" style="14" bestFit="1" customWidth="1"/>
    <col min="18" max="18" width="19.42578125" bestFit="1" customWidth="1"/>
    <col min="19" max="19" width="22.42578125" bestFit="1" customWidth="1"/>
    <col min="20" max="20" width="43.42578125" customWidth="1"/>
    <col min="22" max="22" width="29.5703125" bestFit="1" customWidth="1"/>
    <col min="23" max="23" width="12.42578125" bestFit="1" customWidth="1"/>
    <col min="24" max="24" width="9.5703125" bestFit="1" customWidth="1"/>
    <col min="25" max="25" width="30.7109375" customWidth="1"/>
    <col min="26" max="26" width="41.7109375" customWidth="1"/>
    <col min="28" max="28" width="29.5703125" bestFit="1" customWidth="1"/>
    <col min="29" max="29" width="12.42578125" bestFit="1" customWidth="1"/>
    <col min="30" max="30" width="9.5703125" bestFit="1" customWidth="1"/>
    <col min="31" max="31" width="30.7109375" customWidth="1"/>
    <col min="32" max="32" width="41.7109375" customWidth="1"/>
  </cols>
  <sheetData>
    <row r="1" spans="1:32" ht="33" customHeight="1" thickBot="1" x14ac:dyDescent="0.55000000000000004">
      <c r="A1" s="49" t="s">
        <v>0</v>
      </c>
      <c r="B1" s="4"/>
      <c r="D1" s="167" t="s">
        <v>1</v>
      </c>
      <c r="E1" s="168"/>
      <c r="F1" s="117"/>
      <c r="I1" s="13" t="s">
        <v>2</v>
      </c>
      <c r="J1" s="13"/>
      <c r="K1" s="110" t="s">
        <v>3</v>
      </c>
      <c r="L1" s="111"/>
      <c r="M1" s="112" t="s">
        <v>4</v>
      </c>
      <c r="P1" s="632" t="s">
        <v>5</v>
      </c>
      <c r="Q1" s="620"/>
      <c r="R1" s="620"/>
      <c r="S1" s="620"/>
      <c r="T1" s="621"/>
      <c r="V1" s="632" t="s">
        <v>6</v>
      </c>
      <c r="W1" s="620"/>
      <c r="X1" s="620"/>
      <c r="Y1" s="620"/>
      <c r="Z1" s="621"/>
      <c r="AA1" s="104"/>
      <c r="AB1" s="632" t="s">
        <v>7</v>
      </c>
      <c r="AC1" s="620"/>
      <c r="AD1" s="620"/>
      <c r="AE1" s="620"/>
      <c r="AF1" s="621"/>
    </row>
    <row r="2" spans="1:32" ht="24" customHeight="1" thickBot="1" x14ac:dyDescent="0.4">
      <c r="A2" s="4" t="s">
        <v>8</v>
      </c>
      <c r="B2" s="116">
        <f>H21</f>
        <v>1.0416666666666701E-2</v>
      </c>
      <c r="D2" s="165" t="s">
        <v>9</v>
      </c>
      <c r="E2" s="166"/>
      <c r="I2" s="211" t="s">
        <v>10</v>
      </c>
      <c r="J2" s="212" t="s">
        <v>11</v>
      </c>
      <c r="K2" s="81" t="s">
        <v>12</v>
      </c>
      <c r="L2" s="113" t="s">
        <v>13</v>
      </c>
      <c r="M2" s="114">
        <v>3.4722222222222199E-3</v>
      </c>
      <c r="P2" s="40"/>
      <c r="Q2" s="626" t="s">
        <v>5</v>
      </c>
      <c r="R2" s="627"/>
      <c r="S2" s="89"/>
      <c r="T2" s="90"/>
      <c r="V2" s="105"/>
      <c r="W2" s="628" t="s">
        <v>14</v>
      </c>
      <c r="X2" s="629"/>
      <c r="Y2" s="105"/>
      <c r="Z2" s="105"/>
      <c r="AB2" s="105"/>
      <c r="AC2" s="628" t="s">
        <v>14</v>
      </c>
      <c r="AD2" s="629"/>
      <c r="AE2" s="105"/>
      <c r="AF2" s="105"/>
    </row>
    <row r="3" spans="1:32" ht="15" customHeight="1" thickBot="1" x14ac:dyDescent="0.3">
      <c r="A3" s="4" t="s">
        <v>15</v>
      </c>
      <c r="B3" s="15">
        <f>(B2*E7)/2</f>
        <v>0</v>
      </c>
      <c r="D3" s="3" t="s">
        <v>16</v>
      </c>
      <c r="E3" s="115"/>
      <c r="I3" s="4">
        <v>0</v>
      </c>
      <c r="J3" s="15">
        <v>0</v>
      </c>
      <c r="K3" s="4">
        <v>1</v>
      </c>
      <c r="L3" s="15">
        <v>3.125E-2</v>
      </c>
      <c r="P3" s="294" t="s">
        <v>17</v>
      </c>
      <c r="Q3" s="176" t="s">
        <v>18</v>
      </c>
      <c r="R3" s="295" t="s">
        <v>19</v>
      </c>
      <c r="S3" s="296" t="s">
        <v>20</v>
      </c>
      <c r="T3" s="297" t="s">
        <v>21</v>
      </c>
      <c r="V3" s="3" t="s">
        <v>17</v>
      </c>
      <c r="W3" s="4" t="s">
        <v>22</v>
      </c>
      <c r="X3" s="298" t="s">
        <v>23</v>
      </c>
      <c r="Y3" s="299" t="s">
        <v>24</v>
      </c>
      <c r="Z3" s="300" t="s">
        <v>21</v>
      </c>
      <c r="AB3" s="222" t="s">
        <v>17</v>
      </c>
      <c r="AC3" s="301" t="s">
        <v>22</v>
      </c>
      <c r="AD3" s="302" t="s">
        <v>23</v>
      </c>
      <c r="AE3" s="303" t="s">
        <v>24</v>
      </c>
      <c r="AF3" s="304" t="s">
        <v>21</v>
      </c>
    </row>
    <row r="4" spans="1:32" ht="15" customHeight="1" thickBot="1" x14ac:dyDescent="0.3">
      <c r="A4" s="4" t="s">
        <v>25</v>
      </c>
      <c r="B4" s="15">
        <f>H20</f>
        <v>1.0416666666666701E-2</v>
      </c>
      <c r="D4" s="3" t="s">
        <v>26</v>
      </c>
      <c r="E4" s="115"/>
      <c r="I4" s="4">
        <v>1</v>
      </c>
      <c r="J4" s="15">
        <v>1.0416666666666699E-3</v>
      </c>
      <c r="K4" s="4">
        <v>10</v>
      </c>
      <c r="L4" s="15">
        <v>3.125E-2</v>
      </c>
      <c r="P4" s="636" t="s">
        <v>27</v>
      </c>
      <c r="Q4" s="59">
        <v>1</v>
      </c>
      <c r="R4" s="44">
        <v>2.7777777777777801E-2</v>
      </c>
      <c r="S4" s="52">
        <v>0</v>
      </c>
      <c r="T4" s="644">
        <v>1.38888888888889E-3</v>
      </c>
      <c r="V4" s="206">
        <v>0</v>
      </c>
      <c r="W4" s="207">
        <v>0</v>
      </c>
      <c r="X4" s="207">
        <v>0</v>
      </c>
      <c r="Y4" s="207">
        <v>0</v>
      </c>
      <c r="Z4" s="208">
        <v>0</v>
      </c>
      <c r="AB4" s="206">
        <v>0</v>
      </c>
      <c r="AC4" s="207">
        <v>0</v>
      </c>
      <c r="AD4" s="207">
        <v>0</v>
      </c>
      <c r="AE4" s="207">
        <v>0</v>
      </c>
      <c r="AF4" s="208">
        <v>0</v>
      </c>
    </row>
    <row r="5" spans="1:32" ht="15" customHeight="1" x14ac:dyDescent="0.25">
      <c r="A5" s="4" t="s">
        <v>28</v>
      </c>
      <c r="B5" s="15" t="e">
        <f>INDEX(R4:R203,MATCH(E8,Q4:Q203,0))</f>
        <v>#N/A</v>
      </c>
      <c r="D5" s="3" t="s">
        <v>299</v>
      </c>
      <c r="E5" s="3" t="e">
        <f>E4/E3</f>
        <v>#DIV/0!</v>
      </c>
      <c r="I5" s="4">
        <v>50</v>
      </c>
      <c r="J5" s="15">
        <v>1.0416666666666699E-3</v>
      </c>
      <c r="K5" s="4">
        <v>20</v>
      </c>
      <c r="L5" s="15">
        <v>3.125E-2</v>
      </c>
      <c r="P5" s="637"/>
      <c r="Q5" s="59">
        <v>2</v>
      </c>
      <c r="R5" s="52">
        <f t="shared" ref="R5:R68" si="0">$R$4+S5</f>
        <v>2.9166666666666698E-2</v>
      </c>
      <c r="S5" s="53">
        <f>S4+$T$4</f>
        <v>1.38888888888889E-3</v>
      </c>
      <c r="T5" s="623"/>
      <c r="V5" s="184" t="s">
        <v>29</v>
      </c>
      <c r="W5" s="59">
        <v>1</v>
      </c>
      <c r="X5" s="44">
        <v>1.38888888888889E-2</v>
      </c>
      <c r="Y5" s="52">
        <v>0</v>
      </c>
      <c r="Z5" s="201">
        <v>2.0833333333333298E-3</v>
      </c>
      <c r="AB5" s="203" t="s">
        <v>29</v>
      </c>
      <c r="AC5" s="204">
        <v>1</v>
      </c>
      <c r="AD5" s="205">
        <v>1.38888888888889E-2</v>
      </c>
      <c r="AE5" s="52">
        <v>0</v>
      </c>
      <c r="AF5" s="201">
        <v>2.0833333333333298E-3</v>
      </c>
    </row>
    <row r="6" spans="1:32" x14ac:dyDescent="0.25">
      <c r="A6" s="4" t="s">
        <v>30</v>
      </c>
      <c r="B6" s="44">
        <v>0</v>
      </c>
      <c r="C6" t="s">
        <v>31</v>
      </c>
      <c r="D6" s="3" t="s">
        <v>300</v>
      </c>
      <c r="E6" s="4">
        <f>E9*E3</f>
        <v>0</v>
      </c>
      <c r="I6" s="4">
        <v>100</v>
      </c>
      <c r="J6" s="15">
        <v>1.38888888888889E-3</v>
      </c>
      <c r="K6" s="4">
        <v>30</v>
      </c>
      <c r="L6" s="15">
        <v>3.125E-2</v>
      </c>
      <c r="P6" s="637"/>
      <c r="Q6" s="59">
        <v>3</v>
      </c>
      <c r="R6" s="52">
        <f t="shared" si="0"/>
        <v>3.05555555555556E-2</v>
      </c>
      <c r="S6" s="53">
        <f>S5+$T$4</f>
        <v>2.7777777777777801E-3</v>
      </c>
      <c r="T6" s="623"/>
      <c r="V6" s="184"/>
      <c r="W6" s="59">
        <v>2</v>
      </c>
      <c r="X6" s="52">
        <f t="shared" ref="X6:X69" si="1">$X$5+Y6</f>
        <v>1.59722222222222E-2</v>
      </c>
      <c r="Y6" s="53">
        <f>Y5+$Z$5</f>
        <v>2.0833333333333298E-3</v>
      </c>
      <c r="Z6" s="201"/>
      <c r="AB6" s="184"/>
      <c r="AC6" s="59">
        <v>2</v>
      </c>
      <c r="AD6" s="52">
        <f t="shared" ref="AD6:AD69" si="2">$AD$5+AE6</f>
        <v>1.59722222222222E-2</v>
      </c>
      <c r="AE6" s="53">
        <f>AE5+$AF$5</f>
        <v>2.0833333333333298E-3</v>
      </c>
      <c r="AF6" s="201"/>
    </row>
    <row r="7" spans="1:32" ht="15" customHeight="1" x14ac:dyDescent="0.25">
      <c r="A7" s="4" t="s">
        <v>32</v>
      </c>
      <c r="B7" s="15">
        <f>H24</f>
        <v>2.7777777777777801E-2</v>
      </c>
      <c r="D7" s="3" t="s">
        <v>33</v>
      </c>
      <c r="E7" s="115"/>
      <c r="I7" s="4">
        <v>200</v>
      </c>
      <c r="J7" s="15">
        <v>1.7361111111111099E-3</v>
      </c>
      <c r="K7" s="4">
        <v>40</v>
      </c>
      <c r="L7" s="15">
        <v>3.125E-2</v>
      </c>
      <c r="P7" s="637"/>
      <c r="Q7" s="59">
        <v>4</v>
      </c>
      <c r="R7" s="52">
        <f t="shared" si="0"/>
        <v>3.1944444444444497E-2</v>
      </c>
      <c r="S7" s="53">
        <f>S6+$T$4</f>
        <v>4.1666666666666701E-3</v>
      </c>
      <c r="T7" s="623"/>
      <c r="V7" s="184"/>
      <c r="W7" s="59">
        <v>3</v>
      </c>
      <c r="X7" s="52">
        <f t="shared" si="1"/>
        <v>1.8055555555555599E-2</v>
      </c>
      <c r="Y7" s="53">
        <f>Y6+$Z$5</f>
        <v>4.1666666666666597E-3</v>
      </c>
      <c r="Z7" s="201"/>
      <c r="AB7" s="184"/>
      <c r="AC7" s="59">
        <v>3</v>
      </c>
      <c r="AD7" s="52">
        <f t="shared" si="2"/>
        <v>1.8055555555555599E-2</v>
      </c>
      <c r="AE7" s="53">
        <f>AE6+$Z$5</f>
        <v>4.1666666666666597E-3</v>
      </c>
      <c r="AF7" s="201"/>
    </row>
    <row r="8" spans="1:32" x14ac:dyDescent="0.25">
      <c r="A8" s="4" t="s">
        <v>34</v>
      </c>
      <c r="B8" s="15">
        <f>B7*E7</f>
        <v>0</v>
      </c>
      <c r="C8" s="391">
        <f>B10*24</f>
        <v>0</v>
      </c>
      <c r="D8" s="421" t="s">
        <v>35</v>
      </c>
      <c r="E8" s="422"/>
      <c r="I8" s="4">
        <v>400</v>
      </c>
      <c r="J8" s="15">
        <v>2.0833333333333298E-3</v>
      </c>
      <c r="K8" s="4">
        <v>50</v>
      </c>
      <c r="L8" s="15">
        <v>3.125E-2</v>
      </c>
      <c r="P8" s="638"/>
      <c r="Q8" s="59">
        <v>5</v>
      </c>
      <c r="R8" s="52">
        <f t="shared" si="0"/>
        <v>3.3333333333333402E-2</v>
      </c>
      <c r="S8" s="53">
        <f>S7+$T$4</f>
        <v>5.5555555555555601E-3</v>
      </c>
      <c r="T8" s="624"/>
      <c r="V8" s="184"/>
      <c r="W8" s="59">
        <v>4</v>
      </c>
      <c r="X8" s="52">
        <f t="shared" si="1"/>
        <v>2.0138888888888901E-2</v>
      </c>
      <c r="Y8" s="53">
        <f>Y7+$Z$5</f>
        <v>6.2499999999999899E-3</v>
      </c>
      <c r="Z8" s="201"/>
      <c r="AB8" s="184"/>
      <c r="AC8" s="59">
        <v>4</v>
      </c>
      <c r="AD8" s="52">
        <f t="shared" si="2"/>
        <v>2.0138888888888901E-2</v>
      </c>
      <c r="AE8" s="53">
        <f>AE7+$Z$5</f>
        <v>6.2499999999999899E-3</v>
      </c>
      <c r="AF8" s="201"/>
    </row>
    <row r="9" spans="1:32" ht="15" customHeight="1" x14ac:dyDescent="0.25">
      <c r="A9" s="4" t="s">
        <v>36</v>
      </c>
      <c r="B9" s="341" t="e">
        <f>SUM(B2:B8)</f>
        <v>#N/A</v>
      </c>
      <c r="C9" s="381" t="s">
        <v>37</v>
      </c>
      <c r="D9" s="421" t="s">
        <v>38</v>
      </c>
      <c r="E9" s="115"/>
      <c r="I9" s="4">
        <v>600</v>
      </c>
      <c r="J9" s="15">
        <v>3.4722222222222199E-3</v>
      </c>
      <c r="K9" s="4">
        <v>60</v>
      </c>
      <c r="L9" s="15">
        <f t="shared" ref="L9:L72" si="3">$L$6+(((K9-$K$6)/10)*$M$2)</f>
        <v>4.1666666666666699E-2</v>
      </c>
      <c r="P9" s="91" t="s">
        <v>39</v>
      </c>
      <c r="Q9" s="69">
        <v>6</v>
      </c>
      <c r="R9" s="70">
        <f t="shared" si="0"/>
        <v>3.50694444444445E-2</v>
      </c>
      <c r="S9" s="71">
        <f t="shared" ref="S9:S18" si="4">S8+$T$9</f>
        <v>7.2916666666666703E-3</v>
      </c>
      <c r="T9" s="643">
        <v>1.7361111111111099E-3</v>
      </c>
      <c r="V9" s="184"/>
      <c r="W9" s="59">
        <v>5</v>
      </c>
      <c r="X9" s="52">
        <f t="shared" si="1"/>
        <v>2.2222222222222199E-2</v>
      </c>
      <c r="Y9" s="53">
        <f>Y8+$Z$5</f>
        <v>8.3333333333333193E-3</v>
      </c>
      <c r="Z9" s="201"/>
      <c r="AB9" s="184"/>
      <c r="AC9" s="59">
        <v>5</v>
      </c>
      <c r="AD9" s="52">
        <f t="shared" si="2"/>
        <v>2.2222222222222199E-2</v>
      </c>
      <c r="AE9" s="53">
        <f>AE8+$Z$5</f>
        <v>8.3333333333333193E-3</v>
      </c>
      <c r="AF9" s="201"/>
    </row>
    <row r="10" spans="1:32" ht="15" customHeight="1" thickBot="1" x14ac:dyDescent="0.3">
      <c r="A10" s="329" t="s">
        <v>40</v>
      </c>
      <c r="B10" s="17">
        <f>IF(E9&gt;0,B9,0)</f>
        <v>0</v>
      </c>
      <c r="C10" s="382">
        <f>C8/7</f>
        <v>0</v>
      </c>
      <c r="D10" s="421" t="s">
        <v>41</v>
      </c>
      <c r="E10" s="115"/>
      <c r="I10" s="4">
        <v>700</v>
      </c>
      <c r="J10" s="15">
        <v>3.81944444444444E-3</v>
      </c>
      <c r="K10" s="4">
        <v>70</v>
      </c>
      <c r="L10" s="15">
        <f t="shared" si="3"/>
        <v>4.5138888888888902E-2</v>
      </c>
      <c r="P10" s="91"/>
      <c r="Q10" s="69">
        <v>7</v>
      </c>
      <c r="R10" s="70">
        <f t="shared" si="0"/>
        <v>3.6805555555555598E-2</v>
      </c>
      <c r="S10" s="71">
        <f t="shared" si="4"/>
        <v>9.0277777777777804E-3</v>
      </c>
      <c r="T10" s="623"/>
      <c r="V10" s="68" t="s">
        <v>42</v>
      </c>
      <c r="W10" s="69">
        <v>6</v>
      </c>
      <c r="X10" s="52">
        <f t="shared" si="1"/>
        <v>2.4652777777777801E-2</v>
      </c>
      <c r="Y10" s="71">
        <f t="shared" ref="Y10:Y19" si="5">Y9+$Z$10</f>
        <v>1.0763888888888899E-2</v>
      </c>
      <c r="Z10" s="202">
        <v>2.4305555555555599E-3</v>
      </c>
      <c r="AB10" s="68" t="s">
        <v>42</v>
      </c>
      <c r="AC10" s="69">
        <v>6</v>
      </c>
      <c r="AD10" s="52">
        <f t="shared" si="2"/>
        <v>2.4652777777777801E-2</v>
      </c>
      <c r="AE10" s="71">
        <f t="shared" ref="AE10:AE19" si="6">AE9+$AF$10</f>
        <v>1.0763888888888899E-2</v>
      </c>
      <c r="AF10" s="202">
        <v>2.4305555555555599E-3</v>
      </c>
    </row>
    <row r="11" spans="1:32" ht="15" customHeight="1" thickBot="1" x14ac:dyDescent="0.3">
      <c r="A11" s="30"/>
      <c r="B11" s="30"/>
      <c r="C11" s="383"/>
      <c r="D11" s="3" t="s">
        <v>43</v>
      </c>
      <c r="E11" s="422"/>
      <c r="I11" s="4">
        <v>800</v>
      </c>
      <c r="J11" s="15">
        <v>4.5138888888888902E-3</v>
      </c>
      <c r="K11" s="4">
        <v>80</v>
      </c>
      <c r="L11" s="15">
        <f t="shared" si="3"/>
        <v>4.8611111111111098E-2</v>
      </c>
      <c r="P11" s="91"/>
      <c r="Q11" s="69">
        <v>8</v>
      </c>
      <c r="R11" s="70">
        <f t="shared" si="0"/>
        <v>3.8541666666666703E-2</v>
      </c>
      <c r="S11" s="71">
        <f t="shared" si="4"/>
        <v>1.0763888888888899E-2</v>
      </c>
      <c r="T11" s="623"/>
      <c r="V11" s="68"/>
      <c r="W11" s="69">
        <v>7</v>
      </c>
      <c r="X11" s="52">
        <f t="shared" si="1"/>
        <v>2.70833333333334E-2</v>
      </c>
      <c r="Y11" s="71">
        <f t="shared" si="5"/>
        <v>1.31944444444445E-2</v>
      </c>
      <c r="Z11" s="187"/>
      <c r="AB11" s="68"/>
      <c r="AC11" s="69">
        <v>7</v>
      </c>
      <c r="AD11" s="52">
        <f t="shared" si="2"/>
        <v>2.70833333333334E-2</v>
      </c>
      <c r="AE11" s="71">
        <f t="shared" si="6"/>
        <v>1.31944444444445E-2</v>
      </c>
      <c r="AF11" s="187"/>
    </row>
    <row r="12" spans="1:32" ht="15" customHeight="1" thickBot="1" x14ac:dyDescent="0.3">
      <c r="A12" s="337" t="s">
        <v>44</v>
      </c>
      <c r="B12" s="340"/>
      <c r="C12" s="244"/>
      <c r="D12" s="421" t="s">
        <v>45</v>
      </c>
      <c r="E12" s="115"/>
      <c r="I12" s="4">
        <v>900</v>
      </c>
      <c r="J12" s="15">
        <v>4.8611111111111103E-3</v>
      </c>
      <c r="K12" s="4">
        <v>90</v>
      </c>
      <c r="L12" s="15">
        <f t="shared" si="3"/>
        <v>5.2083333333333301E-2</v>
      </c>
      <c r="P12" s="91"/>
      <c r="Q12" s="69">
        <v>9</v>
      </c>
      <c r="R12" s="70">
        <f t="shared" si="0"/>
        <v>4.0277777777777801E-2</v>
      </c>
      <c r="S12" s="71">
        <f t="shared" si="4"/>
        <v>1.2500000000000001E-2</v>
      </c>
      <c r="T12" s="623"/>
      <c r="V12" s="68"/>
      <c r="W12" s="69">
        <v>8</v>
      </c>
      <c r="X12" s="52">
        <f t="shared" si="1"/>
        <v>2.9513888888888999E-2</v>
      </c>
      <c r="Y12" s="71">
        <f t="shared" si="5"/>
        <v>1.5625000000000101E-2</v>
      </c>
      <c r="Z12" s="187"/>
      <c r="AB12" s="68"/>
      <c r="AC12" s="69">
        <v>8</v>
      </c>
      <c r="AD12" s="52">
        <f t="shared" si="2"/>
        <v>2.9513888888888999E-2</v>
      </c>
      <c r="AE12" s="71">
        <f t="shared" si="6"/>
        <v>1.5625000000000101E-2</v>
      </c>
      <c r="AF12" s="187"/>
    </row>
    <row r="13" spans="1:32" ht="15" customHeight="1" x14ac:dyDescent="0.25">
      <c r="A13" s="106" t="s">
        <v>46</v>
      </c>
      <c r="B13" s="107"/>
      <c r="C13" s="244"/>
      <c r="D13" s="3" t="s">
        <v>47</v>
      </c>
      <c r="E13" s="422"/>
      <c r="I13" s="4">
        <v>1000</v>
      </c>
      <c r="J13" s="15">
        <v>5.9027777777777802E-3</v>
      </c>
      <c r="K13" s="4">
        <v>100</v>
      </c>
      <c r="L13" s="15">
        <f t="shared" si="3"/>
        <v>5.5555555555555497E-2</v>
      </c>
      <c r="P13" s="91"/>
      <c r="Q13" s="69">
        <v>10</v>
      </c>
      <c r="R13" s="70">
        <f t="shared" si="0"/>
        <v>4.2013888888888899E-2</v>
      </c>
      <c r="S13" s="71">
        <f t="shared" si="4"/>
        <v>1.42361111111111E-2</v>
      </c>
      <c r="T13" s="623"/>
      <c r="V13" s="68"/>
      <c r="W13" s="69">
        <v>9</v>
      </c>
      <c r="X13" s="52">
        <f t="shared" si="1"/>
        <v>3.1944444444444602E-2</v>
      </c>
      <c r="Y13" s="71">
        <f t="shared" si="5"/>
        <v>1.80555555555557E-2</v>
      </c>
      <c r="Z13" s="187"/>
      <c r="AB13" s="68"/>
      <c r="AC13" s="69">
        <v>9</v>
      </c>
      <c r="AD13" s="52">
        <f t="shared" si="2"/>
        <v>3.1944444444444602E-2</v>
      </c>
      <c r="AE13" s="71">
        <f t="shared" si="6"/>
        <v>1.80555555555557E-2</v>
      </c>
      <c r="AF13" s="187"/>
    </row>
    <row r="14" spans="1:32" ht="15" customHeight="1" x14ac:dyDescent="0.25">
      <c r="A14" s="5" t="s">
        <v>48</v>
      </c>
      <c r="B14" s="108">
        <f>H29</f>
        <v>1.38888888888889E-2</v>
      </c>
      <c r="C14" s="244"/>
      <c r="D14" s="421" t="s">
        <v>49</v>
      </c>
      <c r="E14" s="115"/>
      <c r="I14" s="4">
        <v>1100</v>
      </c>
      <c r="J14" s="15">
        <v>6.2500000000000003E-3</v>
      </c>
      <c r="K14" s="4">
        <v>110</v>
      </c>
      <c r="L14" s="15">
        <f t="shared" si="3"/>
        <v>5.9027777777777797E-2</v>
      </c>
      <c r="P14" s="91"/>
      <c r="Q14" s="69">
        <v>11</v>
      </c>
      <c r="R14" s="70">
        <f t="shared" si="0"/>
        <v>4.3749999999999997E-2</v>
      </c>
      <c r="S14" s="71">
        <f t="shared" si="4"/>
        <v>1.59722222222222E-2</v>
      </c>
      <c r="T14" s="623"/>
      <c r="V14" s="68"/>
      <c r="W14" s="69">
        <v>10</v>
      </c>
      <c r="X14" s="52">
        <f t="shared" si="1"/>
        <v>3.4375000000000197E-2</v>
      </c>
      <c r="Y14" s="71">
        <f t="shared" si="5"/>
        <v>2.0486111111111299E-2</v>
      </c>
      <c r="Z14" s="187"/>
      <c r="AB14" s="68"/>
      <c r="AC14" s="69">
        <v>10</v>
      </c>
      <c r="AD14" s="52">
        <f t="shared" si="2"/>
        <v>3.4375000000000197E-2</v>
      </c>
      <c r="AE14" s="71">
        <f t="shared" si="6"/>
        <v>2.0486111111111299E-2</v>
      </c>
      <c r="AF14" s="187"/>
    </row>
    <row r="15" spans="1:32" x14ac:dyDescent="0.25">
      <c r="A15" s="5" t="s">
        <v>50</v>
      </c>
      <c r="B15" s="108">
        <f>(B14*E7)*2</f>
        <v>0</v>
      </c>
      <c r="C15" s="244"/>
      <c r="D15" s="421" t="s">
        <v>51</v>
      </c>
      <c r="E15" s="115"/>
      <c r="I15" s="4">
        <v>1200</v>
      </c>
      <c r="J15" s="15">
        <v>6.5972222222222196E-3</v>
      </c>
      <c r="K15" s="4">
        <v>120</v>
      </c>
      <c r="L15" s="15">
        <f t="shared" si="3"/>
        <v>6.25E-2</v>
      </c>
      <c r="P15" s="91"/>
      <c r="Q15" s="69">
        <v>12</v>
      </c>
      <c r="R15" s="70">
        <f t="shared" si="0"/>
        <v>4.5486111111111102E-2</v>
      </c>
      <c r="S15" s="71">
        <f t="shared" si="4"/>
        <v>1.7708333333333302E-2</v>
      </c>
      <c r="T15" s="623"/>
      <c r="V15" s="68"/>
      <c r="W15" s="69">
        <v>11</v>
      </c>
      <c r="X15" s="52">
        <f t="shared" si="1"/>
        <v>3.6805555555555799E-2</v>
      </c>
      <c r="Y15" s="71">
        <f t="shared" si="5"/>
        <v>2.2916666666666901E-2</v>
      </c>
      <c r="Z15" s="187"/>
      <c r="AB15" s="68"/>
      <c r="AC15" s="69">
        <v>11</v>
      </c>
      <c r="AD15" s="52">
        <f t="shared" si="2"/>
        <v>3.6805555555555799E-2</v>
      </c>
      <c r="AE15" s="71">
        <f t="shared" si="6"/>
        <v>2.2916666666666901E-2</v>
      </c>
      <c r="AF15" s="187"/>
    </row>
    <row r="16" spans="1:32" ht="15" customHeight="1" x14ac:dyDescent="0.25">
      <c r="A16" s="5" t="s">
        <v>52</v>
      </c>
      <c r="B16" s="109">
        <f>SUM(B14:B15)</f>
        <v>1.38888888888889E-2</v>
      </c>
      <c r="C16" s="244"/>
      <c r="D16" s="3" t="s">
        <v>53</v>
      </c>
      <c r="E16" s="115"/>
      <c r="I16" s="4">
        <v>1300</v>
      </c>
      <c r="J16" s="15">
        <v>6.9444444444444397E-3</v>
      </c>
      <c r="K16" s="4">
        <v>130</v>
      </c>
      <c r="L16" s="15">
        <f t="shared" si="3"/>
        <v>6.5972222222222196E-2</v>
      </c>
      <c r="P16" s="91"/>
      <c r="Q16" s="69">
        <v>13</v>
      </c>
      <c r="R16" s="70">
        <f t="shared" si="0"/>
        <v>4.72222222222222E-2</v>
      </c>
      <c r="S16" s="71">
        <f t="shared" si="4"/>
        <v>1.94444444444444E-2</v>
      </c>
      <c r="T16" s="623"/>
      <c r="V16" s="68"/>
      <c r="W16" s="69">
        <v>12</v>
      </c>
      <c r="X16" s="52">
        <f t="shared" si="1"/>
        <v>3.9236111111111402E-2</v>
      </c>
      <c r="Y16" s="71">
        <f t="shared" si="5"/>
        <v>2.53472222222225E-2</v>
      </c>
      <c r="Z16" s="187"/>
      <c r="AB16" s="68"/>
      <c r="AC16" s="69">
        <v>12</v>
      </c>
      <c r="AD16" s="52">
        <f t="shared" si="2"/>
        <v>3.9236111111111402E-2</v>
      </c>
      <c r="AE16" s="71">
        <f t="shared" si="6"/>
        <v>2.53472222222225E-2</v>
      </c>
      <c r="AF16" s="187"/>
    </row>
    <row r="17" spans="1:32" ht="15" customHeight="1" thickBot="1" x14ac:dyDescent="0.3">
      <c r="A17" s="10"/>
      <c r="B17" s="325">
        <f>IF(E9&gt;0,B16,0)</f>
        <v>0</v>
      </c>
      <c r="C17" s="244"/>
      <c r="K17" s="4">
        <v>140</v>
      </c>
      <c r="L17" s="15">
        <f t="shared" si="3"/>
        <v>6.9444444444444406E-2</v>
      </c>
      <c r="P17" s="91"/>
      <c r="Q17" s="69">
        <v>14</v>
      </c>
      <c r="R17" s="70">
        <f t="shared" si="0"/>
        <v>4.8958333333333298E-2</v>
      </c>
      <c r="S17" s="71">
        <f t="shared" si="4"/>
        <v>2.1180555555555501E-2</v>
      </c>
      <c r="T17" s="623"/>
      <c r="V17" s="68"/>
      <c r="W17" s="69">
        <v>13</v>
      </c>
      <c r="X17" s="52">
        <f t="shared" si="1"/>
        <v>4.1666666666666997E-2</v>
      </c>
      <c r="Y17" s="71">
        <f t="shared" si="5"/>
        <v>2.7777777777778099E-2</v>
      </c>
      <c r="Z17" s="187"/>
      <c r="AB17" s="68"/>
      <c r="AC17" s="69">
        <v>13</v>
      </c>
      <c r="AD17" s="52">
        <f t="shared" si="2"/>
        <v>4.1666666666666997E-2</v>
      </c>
      <c r="AE17" s="71">
        <f t="shared" si="6"/>
        <v>2.7777777777778099E-2</v>
      </c>
      <c r="AF17" s="187"/>
    </row>
    <row r="18" spans="1:32" x14ac:dyDescent="0.25">
      <c r="A18" s="333" t="s">
        <v>54</v>
      </c>
      <c r="B18" s="1"/>
      <c r="C18" s="244"/>
      <c r="K18" s="4">
        <v>150</v>
      </c>
      <c r="L18" s="15">
        <f t="shared" si="3"/>
        <v>7.2916666666666602E-2</v>
      </c>
      <c r="P18" s="91"/>
      <c r="Q18" s="69">
        <v>15</v>
      </c>
      <c r="R18" s="70">
        <f t="shared" si="0"/>
        <v>5.0694444444444403E-2</v>
      </c>
      <c r="S18" s="71">
        <f t="shared" si="4"/>
        <v>2.2916666666666599E-2</v>
      </c>
      <c r="T18" s="624"/>
      <c r="V18" s="68"/>
      <c r="W18" s="69">
        <v>14</v>
      </c>
      <c r="X18" s="52">
        <f t="shared" si="1"/>
        <v>4.40972222222226E-2</v>
      </c>
      <c r="Y18" s="71">
        <f t="shared" si="5"/>
        <v>3.0208333333333701E-2</v>
      </c>
      <c r="Z18" s="187"/>
      <c r="AB18" s="68"/>
      <c r="AC18" s="69">
        <v>14</v>
      </c>
      <c r="AD18" s="52">
        <f t="shared" si="2"/>
        <v>4.40972222222226E-2</v>
      </c>
      <c r="AE18" s="71">
        <f t="shared" si="6"/>
        <v>3.0208333333333701E-2</v>
      </c>
      <c r="AF18" s="187"/>
    </row>
    <row r="19" spans="1:32" ht="21" customHeight="1" x14ac:dyDescent="0.35">
      <c r="A19" s="4" t="s">
        <v>55</v>
      </c>
      <c r="B19" s="15">
        <f>INDEX(X4:X154,MATCH(E10,W4:W154,0))</f>
        <v>0</v>
      </c>
      <c r="C19" s="244"/>
      <c r="G19" s="266" t="s">
        <v>5</v>
      </c>
      <c r="H19" s="322" t="s">
        <v>56</v>
      </c>
      <c r="I19" s="323" t="s">
        <v>57</v>
      </c>
      <c r="K19" s="4">
        <v>160</v>
      </c>
      <c r="L19" s="15">
        <f t="shared" si="3"/>
        <v>7.6388888888888895E-2</v>
      </c>
      <c r="P19" s="92" t="s">
        <v>58</v>
      </c>
      <c r="Q19" s="63">
        <v>16</v>
      </c>
      <c r="R19" s="55">
        <f t="shared" si="0"/>
        <v>5.2604166666666598E-2</v>
      </c>
      <c r="S19" s="56">
        <f t="shared" ref="S19:S28" si="7">S18+$T$19</f>
        <v>2.4826388888888801E-2</v>
      </c>
      <c r="T19" s="622">
        <v>1.90972222222222E-3</v>
      </c>
      <c r="V19" s="68"/>
      <c r="W19" s="69">
        <v>15</v>
      </c>
      <c r="X19" s="52">
        <f t="shared" si="1"/>
        <v>4.6527777777778202E-2</v>
      </c>
      <c r="Y19" s="71">
        <f t="shared" si="5"/>
        <v>3.26388888888893E-2</v>
      </c>
      <c r="Z19" s="86"/>
      <c r="AB19" s="68"/>
      <c r="AC19" s="69">
        <v>15</v>
      </c>
      <c r="AD19" s="52">
        <f t="shared" si="2"/>
        <v>4.6527777777778202E-2</v>
      </c>
      <c r="AE19" s="71">
        <f t="shared" si="6"/>
        <v>3.26388888888893E-2</v>
      </c>
      <c r="AF19" s="86"/>
    </row>
    <row r="20" spans="1:32" x14ac:dyDescent="0.25">
      <c r="A20" s="4" t="s">
        <v>59</v>
      </c>
      <c r="B20" s="15">
        <f>INDEX(AD4:AD64,MATCH(E12,AC4:AC64,0))</f>
        <v>0</v>
      </c>
      <c r="C20" s="244"/>
      <c r="G20" s="267" t="s">
        <v>60</v>
      </c>
      <c r="H20" s="116">
        <v>1.0416666666666701E-2</v>
      </c>
      <c r="I20" s="15">
        <v>2.0833333333333301E-2</v>
      </c>
      <c r="K20" s="4">
        <v>170</v>
      </c>
      <c r="L20" s="15">
        <f t="shared" si="3"/>
        <v>7.9861111111111105E-2</v>
      </c>
      <c r="P20" s="92"/>
      <c r="Q20" s="63">
        <v>17</v>
      </c>
      <c r="R20" s="55">
        <f t="shared" si="0"/>
        <v>5.4513888888888799E-2</v>
      </c>
      <c r="S20" s="56">
        <f t="shared" si="7"/>
        <v>2.6736111111110999E-2</v>
      </c>
      <c r="T20" s="623"/>
      <c r="V20" s="62" t="s">
        <v>61</v>
      </c>
      <c r="W20" s="63">
        <v>16</v>
      </c>
      <c r="X20" s="52">
        <f t="shared" si="1"/>
        <v>4.9652777777778198E-2</v>
      </c>
      <c r="Y20" s="56">
        <f t="shared" ref="Y20:Y29" si="8">Y19+$Z$20</f>
        <v>3.5763888888889303E-2</v>
      </c>
      <c r="Z20" s="198">
        <v>3.1250000000000002E-3</v>
      </c>
      <c r="AB20" s="62" t="s">
        <v>61</v>
      </c>
      <c r="AC20" s="63">
        <v>16</v>
      </c>
      <c r="AD20" s="52">
        <f t="shared" si="2"/>
        <v>4.9652777777778198E-2</v>
      </c>
      <c r="AE20" s="56">
        <f t="shared" ref="AE20:AE29" si="9">AE19+$AF$20</f>
        <v>3.5763888888889303E-2</v>
      </c>
      <c r="AF20" s="198">
        <v>3.1250000000000002E-3</v>
      </c>
    </row>
    <row r="21" spans="1:32" x14ac:dyDescent="0.25">
      <c r="A21" s="4" t="s">
        <v>62</v>
      </c>
      <c r="B21" s="116">
        <f>H33*E10</f>
        <v>0</v>
      </c>
      <c r="C21" s="244"/>
      <c r="G21" s="267" t="s">
        <v>63</v>
      </c>
      <c r="H21" s="252">
        <v>1.0416666666666701E-2</v>
      </c>
      <c r="I21" s="264">
        <v>3.125E-2</v>
      </c>
      <c r="K21" s="4">
        <v>180</v>
      </c>
      <c r="L21" s="15">
        <f t="shared" si="3"/>
        <v>8.3333333333333301E-2</v>
      </c>
      <c r="P21" s="92"/>
      <c r="Q21" s="63">
        <v>18</v>
      </c>
      <c r="R21" s="55">
        <f t="shared" si="0"/>
        <v>5.6423611111111001E-2</v>
      </c>
      <c r="S21" s="56">
        <f t="shared" si="7"/>
        <v>2.86458333333332E-2</v>
      </c>
      <c r="T21" s="623"/>
      <c r="V21" s="62"/>
      <c r="W21" s="63">
        <v>17</v>
      </c>
      <c r="X21" s="52">
        <f t="shared" si="1"/>
        <v>5.2777777777778201E-2</v>
      </c>
      <c r="Y21" s="56">
        <f t="shared" si="8"/>
        <v>3.8888888888889299E-2</v>
      </c>
      <c r="Z21" s="199"/>
      <c r="AB21" s="62"/>
      <c r="AC21" s="63">
        <v>17</v>
      </c>
      <c r="AD21" s="52">
        <f t="shared" si="2"/>
        <v>5.2777777777778201E-2</v>
      </c>
      <c r="AE21" s="56">
        <f t="shared" si="9"/>
        <v>3.8888888888889299E-2</v>
      </c>
      <c r="AF21" s="199"/>
    </row>
    <row r="22" spans="1:32" x14ac:dyDescent="0.25">
      <c r="A22" s="4" t="s">
        <v>64</v>
      </c>
      <c r="B22" s="15">
        <f>B21/2</f>
        <v>0</v>
      </c>
      <c r="C22" s="244"/>
      <c r="G22" s="267" t="s">
        <v>65</v>
      </c>
      <c r="H22" s="50" t="s">
        <v>66</v>
      </c>
      <c r="I22" s="4"/>
      <c r="K22" s="4">
        <v>190</v>
      </c>
      <c r="L22" s="15">
        <f t="shared" si="3"/>
        <v>8.6805555555555497E-2</v>
      </c>
      <c r="P22" s="92"/>
      <c r="Q22" s="63">
        <v>19</v>
      </c>
      <c r="R22" s="55">
        <f t="shared" si="0"/>
        <v>5.8333333333333202E-2</v>
      </c>
      <c r="S22" s="56">
        <f t="shared" si="7"/>
        <v>3.0555555555555398E-2</v>
      </c>
      <c r="T22" s="623"/>
      <c r="V22" s="62"/>
      <c r="W22" s="63">
        <v>18</v>
      </c>
      <c r="X22" s="52">
        <f t="shared" si="1"/>
        <v>5.5902777777778197E-2</v>
      </c>
      <c r="Y22" s="56">
        <f t="shared" si="8"/>
        <v>4.2013888888889302E-2</v>
      </c>
      <c r="Z22" s="199"/>
      <c r="AB22" s="62"/>
      <c r="AC22" s="63">
        <v>18</v>
      </c>
      <c r="AD22" s="52">
        <f t="shared" si="2"/>
        <v>5.5902777777778197E-2</v>
      </c>
      <c r="AE22" s="56">
        <f t="shared" si="9"/>
        <v>4.2013888888889302E-2</v>
      </c>
      <c r="AF22" s="199"/>
    </row>
    <row r="23" spans="1:32" x14ac:dyDescent="0.25">
      <c r="A23" s="4" t="s">
        <v>67</v>
      </c>
      <c r="B23" s="15">
        <f>H33*E12</f>
        <v>0</v>
      </c>
      <c r="C23" s="244"/>
      <c r="G23" s="267" t="s">
        <v>30</v>
      </c>
      <c r="H23" s="252">
        <v>0</v>
      </c>
      <c r="I23" s="51">
        <v>0</v>
      </c>
      <c r="K23" s="4">
        <v>200</v>
      </c>
      <c r="L23" s="15">
        <f t="shared" si="3"/>
        <v>9.0277777777777707E-2</v>
      </c>
      <c r="P23" s="92"/>
      <c r="Q23" s="63">
        <v>20</v>
      </c>
      <c r="R23" s="55">
        <f t="shared" si="0"/>
        <v>6.0243055555555397E-2</v>
      </c>
      <c r="S23" s="56">
        <f t="shared" si="7"/>
        <v>3.24652777777776E-2</v>
      </c>
      <c r="T23" s="623"/>
      <c r="V23" s="62"/>
      <c r="W23" s="63">
        <v>19</v>
      </c>
      <c r="X23" s="52">
        <f t="shared" si="1"/>
        <v>5.90277777777782E-2</v>
      </c>
      <c r="Y23" s="56">
        <f t="shared" si="8"/>
        <v>4.5138888888889298E-2</v>
      </c>
      <c r="Z23" s="199"/>
      <c r="AB23" s="62"/>
      <c r="AC23" s="63">
        <v>19</v>
      </c>
      <c r="AD23" s="52">
        <f t="shared" si="2"/>
        <v>5.90277777777782E-2</v>
      </c>
      <c r="AE23" s="56">
        <f t="shared" si="9"/>
        <v>4.5138888888889298E-2</v>
      </c>
      <c r="AF23" s="199"/>
    </row>
    <row r="24" spans="1:32" x14ac:dyDescent="0.25">
      <c r="A24" s="4" t="s">
        <v>68</v>
      </c>
      <c r="B24" s="15">
        <f>B23</f>
        <v>0</v>
      </c>
      <c r="C24" s="380">
        <f>B26*24</f>
        <v>0.75</v>
      </c>
      <c r="G24" s="267" t="s">
        <v>69</v>
      </c>
      <c r="H24" s="116">
        <v>2.7777777777777801E-2</v>
      </c>
      <c r="I24" s="15">
        <v>2.7777777777777801E-2</v>
      </c>
      <c r="K24" s="4">
        <v>210</v>
      </c>
      <c r="L24" s="15">
        <f t="shared" si="3"/>
        <v>9.375E-2</v>
      </c>
      <c r="P24" s="92"/>
      <c r="Q24" s="63">
        <v>21</v>
      </c>
      <c r="R24" s="55">
        <f t="shared" si="0"/>
        <v>6.2152777777777599E-2</v>
      </c>
      <c r="S24" s="56">
        <f t="shared" si="7"/>
        <v>3.4374999999999802E-2</v>
      </c>
      <c r="T24" s="623"/>
      <c r="V24" s="62"/>
      <c r="W24" s="63">
        <v>20</v>
      </c>
      <c r="X24" s="52">
        <f t="shared" si="1"/>
        <v>6.2152777777778202E-2</v>
      </c>
      <c r="Y24" s="56">
        <f t="shared" si="8"/>
        <v>4.82638888888893E-2</v>
      </c>
      <c r="Z24" s="199"/>
      <c r="AB24" s="62"/>
      <c r="AC24" s="63">
        <v>20</v>
      </c>
      <c r="AD24" s="52">
        <f t="shared" si="2"/>
        <v>6.2152777777778202E-2</v>
      </c>
      <c r="AE24" s="56">
        <f t="shared" si="9"/>
        <v>4.82638888888893E-2</v>
      </c>
      <c r="AF24" s="199"/>
    </row>
    <row r="25" spans="1:32" ht="21" customHeight="1" x14ac:dyDescent="0.35">
      <c r="A25" s="4" t="s">
        <v>70</v>
      </c>
      <c r="B25" s="116">
        <f>H26+(H27*E8)</f>
        <v>3.125E-2</v>
      </c>
      <c r="C25" s="381" t="s">
        <v>37</v>
      </c>
      <c r="G25" s="268" t="s">
        <v>14</v>
      </c>
      <c r="H25" s="4"/>
      <c r="I25" s="4"/>
      <c r="K25" s="4">
        <v>220</v>
      </c>
      <c r="L25" s="15">
        <f t="shared" si="3"/>
        <v>9.7222222222222196E-2</v>
      </c>
      <c r="P25" s="92"/>
      <c r="Q25" s="63">
        <v>22</v>
      </c>
      <c r="R25" s="55">
        <f t="shared" si="0"/>
        <v>6.40624999999998E-2</v>
      </c>
      <c r="S25" s="56">
        <f t="shared" si="7"/>
        <v>3.6284722222222003E-2</v>
      </c>
      <c r="T25" s="623"/>
      <c r="V25" s="62"/>
      <c r="W25" s="63">
        <v>21</v>
      </c>
      <c r="X25" s="52">
        <f t="shared" si="1"/>
        <v>6.5277777777778198E-2</v>
      </c>
      <c r="Y25" s="56">
        <f t="shared" si="8"/>
        <v>5.1388888888889303E-2</v>
      </c>
      <c r="Z25" s="199"/>
      <c r="AB25" s="62"/>
      <c r="AC25" s="63">
        <v>21</v>
      </c>
      <c r="AD25" s="52">
        <f t="shared" si="2"/>
        <v>6.5277777777778198E-2</v>
      </c>
      <c r="AE25" s="56">
        <f t="shared" si="9"/>
        <v>5.1388888888889303E-2</v>
      </c>
      <c r="AF25" s="199"/>
    </row>
    <row r="26" spans="1:32" x14ac:dyDescent="0.25">
      <c r="A26" s="49" t="s">
        <v>71</v>
      </c>
      <c r="B26" s="332">
        <f>SUM(B17:B25)</f>
        <v>3.125E-2</v>
      </c>
      <c r="C26" s="382">
        <f>C24/7</f>
        <v>0.11</v>
      </c>
      <c r="F26" s="169"/>
      <c r="G26" s="267" t="s">
        <v>72</v>
      </c>
      <c r="H26" s="51">
        <v>3.125E-2</v>
      </c>
      <c r="I26" s="4"/>
      <c r="K26" s="4">
        <v>230</v>
      </c>
      <c r="L26" s="15">
        <f t="shared" si="3"/>
        <v>0.100694444444444</v>
      </c>
      <c r="P26" s="92"/>
      <c r="Q26" s="63">
        <v>23</v>
      </c>
      <c r="R26" s="55">
        <f t="shared" si="0"/>
        <v>6.5972222222222002E-2</v>
      </c>
      <c r="S26" s="56">
        <f t="shared" si="7"/>
        <v>3.8194444444444198E-2</v>
      </c>
      <c r="T26" s="623"/>
      <c r="V26" s="62"/>
      <c r="W26" s="63">
        <v>22</v>
      </c>
      <c r="X26" s="52">
        <f t="shared" si="1"/>
        <v>6.8402777777778201E-2</v>
      </c>
      <c r="Y26" s="56">
        <f t="shared" si="8"/>
        <v>5.4513888888889299E-2</v>
      </c>
      <c r="Z26" s="199"/>
      <c r="AB26" s="62"/>
      <c r="AC26" s="63">
        <v>22</v>
      </c>
      <c r="AD26" s="52">
        <f t="shared" si="2"/>
        <v>6.8402777777778201E-2</v>
      </c>
      <c r="AE26" s="56">
        <f t="shared" si="9"/>
        <v>5.4513888888889299E-2</v>
      </c>
      <c r="AF26" s="199"/>
    </row>
    <row r="27" spans="1:32" ht="15" customHeight="1" thickBot="1" x14ac:dyDescent="0.3">
      <c r="A27" s="30"/>
      <c r="B27" s="30"/>
      <c r="C27" s="244"/>
      <c r="G27" s="267" t="s">
        <v>73</v>
      </c>
      <c r="H27" s="51">
        <v>1.0416666666666699E-3</v>
      </c>
      <c r="I27" s="4"/>
      <c r="K27" s="4">
        <v>240</v>
      </c>
      <c r="L27" s="15">
        <f t="shared" si="3"/>
        <v>0.104166666666667</v>
      </c>
      <c r="P27" s="92"/>
      <c r="Q27" s="63">
        <v>24</v>
      </c>
      <c r="R27" s="55">
        <f t="shared" si="0"/>
        <v>6.7881944444444203E-2</v>
      </c>
      <c r="S27" s="56">
        <f t="shared" si="7"/>
        <v>4.0104166666666399E-2</v>
      </c>
      <c r="T27" s="623"/>
      <c r="V27" s="62"/>
      <c r="W27" s="63">
        <v>23</v>
      </c>
      <c r="X27" s="52">
        <f t="shared" si="1"/>
        <v>7.1527777777778204E-2</v>
      </c>
      <c r="Y27" s="56">
        <f t="shared" si="8"/>
        <v>5.7638888888889302E-2</v>
      </c>
      <c r="Z27" s="199"/>
      <c r="AB27" s="62"/>
      <c r="AC27" s="63">
        <v>23</v>
      </c>
      <c r="AD27" s="52">
        <f t="shared" si="2"/>
        <v>7.1527777777778204E-2</v>
      </c>
      <c r="AE27" s="56">
        <f t="shared" si="9"/>
        <v>5.7638888888889302E-2</v>
      </c>
      <c r="AF27" s="199"/>
    </row>
    <row r="28" spans="1:32" ht="21.4" customHeight="1" thickBot="1" x14ac:dyDescent="0.4">
      <c r="A28" s="163" t="s">
        <v>74</v>
      </c>
      <c r="B28" s="164"/>
      <c r="C28" s="244"/>
      <c r="G28" s="268" t="s">
        <v>75</v>
      </c>
      <c r="H28" s="38">
        <v>1.0416666666666699E-3</v>
      </c>
      <c r="I28" s="4"/>
      <c r="K28" s="4">
        <v>250</v>
      </c>
      <c r="L28" s="15">
        <f t="shared" si="3"/>
        <v>0.10763888888888901</v>
      </c>
      <c r="P28" s="92"/>
      <c r="Q28" s="63">
        <v>25</v>
      </c>
      <c r="R28" s="55">
        <f t="shared" si="0"/>
        <v>6.9791666666666405E-2</v>
      </c>
      <c r="S28" s="56">
        <f t="shared" si="7"/>
        <v>4.2013888888888601E-2</v>
      </c>
      <c r="T28" s="624"/>
      <c r="V28" s="62"/>
      <c r="W28" s="63">
        <v>24</v>
      </c>
      <c r="X28" s="52">
        <f t="shared" si="1"/>
        <v>7.4652777777778206E-2</v>
      </c>
      <c r="Y28" s="56">
        <f t="shared" si="8"/>
        <v>6.0763888888889298E-2</v>
      </c>
      <c r="Z28" s="199"/>
      <c r="AB28" s="62"/>
      <c r="AC28" s="63">
        <v>24</v>
      </c>
      <c r="AD28" s="52">
        <f t="shared" si="2"/>
        <v>7.4652777777778206E-2</v>
      </c>
      <c r="AE28" s="56">
        <f t="shared" si="9"/>
        <v>6.0763888888889298E-2</v>
      </c>
      <c r="AF28" s="199"/>
    </row>
    <row r="29" spans="1:32" x14ac:dyDescent="0.25">
      <c r="A29" s="8" t="s">
        <v>76</v>
      </c>
      <c r="B29" s="36">
        <f>H28</f>
        <v>1.0416666666666699E-3</v>
      </c>
      <c r="C29" s="244"/>
      <c r="G29" s="267" t="s">
        <v>77</v>
      </c>
      <c r="H29" s="252">
        <v>1.38888888888889E-2</v>
      </c>
      <c r="I29" s="4"/>
      <c r="K29" s="4">
        <v>260</v>
      </c>
      <c r="L29" s="15">
        <f t="shared" si="3"/>
        <v>0.11111111111111099</v>
      </c>
      <c r="P29" s="93" t="s">
        <v>78</v>
      </c>
      <c r="Q29" s="73">
        <v>26</v>
      </c>
      <c r="R29" s="74">
        <f t="shared" si="0"/>
        <v>7.1874999999999703E-2</v>
      </c>
      <c r="S29" s="75">
        <f t="shared" ref="S29:S38" si="10">S28+$T$29</f>
        <v>4.4097222222221899E-2</v>
      </c>
      <c r="T29" s="634">
        <v>2.0833333333333298E-3</v>
      </c>
      <c r="V29" s="62"/>
      <c r="W29" s="63">
        <v>25</v>
      </c>
      <c r="X29" s="52">
        <f t="shared" si="1"/>
        <v>7.7777777777778195E-2</v>
      </c>
      <c r="Y29" s="56">
        <f t="shared" si="8"/>
        <v>6.38888888888893E-2</v>
      </c>
      <c r="Z29" s="200"/>
      <c r="AB29" s="62"/>
      <c r="AC29" s="63">
        <v>25</v>
      </c>
      <c r="AD29" s="52">
        <f t="shared" si="2"/>
        <v>7.7777777777778195E-2</v>
      </c>
      <c r="AE29" s="56">
        <f t="shared" si="9"/>
        <v>6.38888888888893E-2</v>
      </c>
      <c r="AF29" s="200"/>
    </row>
    <row r="30" spans="1:32" x14ac:dyDescent="0.25">
      <c r="A30" s="5" t="s">
        <v>79</v>
      </c>
      <c r="B30" s="21" t="e">
        <f>B29*E5</f>
        <v>#DIV/0!</v>
      </c>
      <c r="C30" s="244"/>
      <c r="F30" s="169"/>
      <c r="G30" s="267" t="s">
        <v>80</v>
      </c>
      <c r="H30" s="38">
        <v>1.38888888888889E-2</v>
      </c>
      <c r="I30" s="38">
        <v>1.38888888888889E-2</v>
      </c>
      <c r="K30" s="4">
        <v>270</v>
      </c>
      <c r="L30" s="15">
        <f t="shared" si="3"/>
        <v>0.114583333333333</v>
      </c>
      <c r="P30" s="93"/>
      <c r="Q30" s="73">
        <v>27</v>
      </c>
      <c r="R30" s="74">
        <f t="shared" si="0"/>
        <v>7.3958333333333001E-2</v>
      </c>
      <c r="S30" s="75">
        <f t="shared" si="10"/>
        <v>4.6180555555555197E-2</v>
      </c>
      <c r="T30" s="623"/>
      <c r="V30" s="72" t="s">
        <v>81</v>
      </c>
      <c r="W30" s="73">
        <v>26</v>
      </c>
      <c r="X30" s="52">
        <f t="shared" si="1"/>
        <v>8.0902777777778198E-2</v>
      </c>
      <c r="Y30" s="75">
        <f t="shared" ref="Y30:Y39" si="11">Y29+$Z$30</f>
        <v>6.7013888888889303E-2</v>
      </c>
      <c r="Z30" s="194">
        <v>3.1250000000000002E-3</v>
      </c>
      <c r="AB30" s="72" t="s">
        <v>81</v>
      </c>
      <c r="AC30" s="73">
        <v>26</v>
      </c>
      <c r="AD30" s="52">
        <f t="shared" si="2"/>
        <v>8.0902777777778198E-2</v>
      </c>
      <c r="AE30" s="75">
        <f t="shared" ref="AE30:AE39" si="12">AE29+$AF$30</f>
        <v>6.7013888888889303E-2</v>
      </c>
      <c r="AF30" s="194">
        <v>3.1250000000000002E-3</v>
      </c>
    </row>
    <row r="31" spans="1:32" x14ac:dyDescent="0.25">
      <c r="A31" s="4" t="s">
        <v>82</v>
      </c>
      <c r="B31" s="37">
        <f>H30</f>
        <v>1.38888888888889E-2</v>
      </c>
      <c r="C31" s="244"/>
      <c r="G31" s="267" t="s">
        <v>55</v>
      </c>
      <c r="H31" s="51" t="s">
        <v>66</v>
      </c>
      <c r="I31" s="4"/>
      <c r="K31" s="4">
        <v>280</v>
      </c>
      <c r="L31" s="15">
        <f t="shared" si="3"/>
        <v>0.118055555555555</v>
      </c>
      <c r="P31" s="93"/>
      <c r="Q31" s="73">
        <v>28</v>
      </c>
      <c r="R31" s="74">
        <f t="shared" si="0"/>
        <v>7.6041666666666299E-2</v>
      </c>
      <c r="S31" s="75">
        <f t="shared" si="10"/>
        <v>4.8263888888888502E-2</v>
      </c>
      <c r="T31" s="623"/>
      <c r="V31" s="72"/>
      <c r="W31" s="73">
        <v>27</v>
      </c>
      <c r="X31" s="52">
        <f t="shared" si="1"/>
        <v>8.4027777777778201E-2</v>
      </c>
      <c r="Y31" s="75">
        <f t="shared" si="11"/>
        <v>7.0138888888889306E-2</v>
      </c>
      <c r="Z31" s="195"/>
      <c r="AB31" s="72"/>
      <c r="AC31" s="73">
        <v>27</v>
      </c>
      <c r="AD31" s="52">
        <f t="shared" si="2"/>
        <v>8.4027777777778201E-2</v>
      </c>
      <c r="AE31" s="75">
        <f t="shared" si="12"/>
        <v>7.0138888888889306E-2</v>
      </c>
      <c r="AF31" s="195"/>
    </row>
    <row r="32" spans="1:32" ht="21" customHeight="1" x14ac:dyDescent="0.35">
      <c r="A32" s="4" t="s">
        <v>83</v>
      </c>
      <c r="B32" s="15">
        <f>H43</f>
        <v>3.4722222222222202E-4</v>
      </c>
      <c r="C32" s="244"/>
      <c r="G32" s="268" t="s">
        <v>84</v>
      </c>
      <c r="H32" s="38">
        <v>1.1574074074074101E-5</v>
      </c>
      <c r="I32" s="4"/>
      <c r="K32" s="4">
        <v>290</v>
      </c>
      <c r="L32" s="15">
        <f t="shared" si="3"/>
        <v>0.121527777777778</v>
      </c>
      <c r="P32" s="93"/>
      <c r="Q32" s="73">
        <v>29</v>
      </c>
      <c r="R32" s="74">
        <f t="shared" si="0"/>
        <v>7.8124999999999598E-2</v>
      </c>
      <c r="S32" s="75">
        <f t="shared" si="10"/>
        <v>5.03472222222218E-2</v>
      </c>
      <c r="T32" s="623"/>
      <c r="V32" s="72"/>
      <c r="W32" s="73">
        <v>28</v>
      </c>
      <c r="X32" s="52">
        <f t="shared" si="1"/>
        <v>8.7152777777778204E-2</v>
      </c>
      <c r="Y32" s="75">
        <f t="shared" si="11"/>
        <v>7.3263888888889295E-2</v>
      </c>
      <c r="Z32" s="195"/>
      <c r="AB32" s="72"/>
      <c r="AC32" s="73">
        <v>28</v>
      </c>
      <c r="AD32" s="52">
        <f t="shared" si="2"/>
        <v>8.7152777777778204E-2</v>
      </c>
      <c r="AE32" s="75">
        <f t="shared" si="12"/>
        <v>7.3263888888889295E-2</v>
      </c>
      <c r="AF32" s="195"/>
    </row>
    <row r="33" spans="1:32" x14ac:dyDescent="0.25">
      <c r="A33" s="4" t="s">
        <v>85</v>
      </c>
      <c r="B33" s="15" t="e">
        <f>B32*E5</f>
        <v>#DIV/0!</v>
      </c>
      <c r="C33" s="244"/>
      <c r="G33" s="267" t="s">
        <v>86</v>
      </c>
      <c r="H33" s="51">
        <v>1.38888888888889E-3</v>
      </c>
      <c r="I33" s="4"/>
      <c r="K33" s="4">
        <v>300</v>
      </c>
      <c r="L33" s="15">
        <f t="shared" si="3"/>
        <v>0.125</v>
      </c>
      <c r="P33" s="93"/>
      <c r="Q33" s="73">
        <v>30</v>
      </c>
      <c r="R33" s="74">
        <f t="shared" si="0"/>
        <v>8.0208333333332896E-2</v>
      </c>
      <c r="S33" s="75">
        <f t="shared" si="10"/>
        <v>5.2430555555555099E-2</v>
      </c>
      <c r="T33" s="623"/>
      <c r="V33" s="72"/>
      <c r="W33" s="73">
        <v>29</v>
      </c>
      <c r="X33" s="52">
        <f t="shared" si="1"/>
        <v>9.0277777777778206E-2</v>
      </c>
      <c r="Y33" s="75">
        <f t="shared" si="11"/>
        <v>7.6388888888889298E-2</v>
      </c>
      <c r="Z33" s="195"/>
      <c r="AB33" s="72"/>
      <c r="AC33" s="73">
        <v>29</v>
      </c>
      <c r="AD33" s="52">
        <f t="shared" si="2"/>
        <v>9.0277777777778206E-2</v>
      </c>
      <c r="AE33" s="75">
        <f t="shared" si="12"/>
        <v>7.6388888888889298E-2</v>
      </c>
      <c r="AF33" s="195"/>
    </row>
    <row r="34" spans="1:32" x14ac:dyDescent="0.25">
      <c r="A34" s="4" t="s">
        <v>87</v>
      </c>
      <c r="B34" s="37" t="e">
        <f>B30+B31+B33</f>
        <v>#DIV/0!</v>
      </c>
      <c r="C34" s="244"/>
      <c r="G34" s="269" t="s">
        <v>88</v>
      </c>
      <c r="H34" s="4">
        <f>E11*E3</f>
        <v>0</v>
      </c>
      <c r="I34" s="4"/>
      <c r="K34" s="4">
        <v>310</v>
      </c>
      <c r="L34" s="15">
        <f t="shared" si="3"/>
        <v>0.12847222222222199</v>
      </c>
      <c r="P34" s="93"/>
      <c r="Q34" s="73">
        <v>31</v>
      </c>
      <c r="R34" s="74">
        <f t="shared" si="0"/>
        <v>8.2291666666666194E-2</v>
      </c>
      <c r="S34" s="75">
        <f t="shared" si="10"/>
        <v>5.4513888888888397E-2</v>
      </c>
      <c r="T34" s="623"/>
      <c r="V34" s="72"/>
      <c r="W34" s="73">
        <v>30</v>
      </c>
      <c r="X34" s="52">
        <f t="shared" si="1"/>
        <v>9.3402777777778195E-2</v>
      </c>
      <c r="Y34" s="75">
        <f t="shared" si="11"/>
        <v>7.95138888888893E-2</v>
      </c>
      <c r="Z34" s="195"/>
      <c r="AB34" s="72"/>
      <c r="AC34" s="73">
        <v>30</v>
      </c>
      <c r="AD34" s="52">
        <f t="shared" si="2"/>
        <v>9.3402777777778195E-2</v>
      </c>
      <c r="AE34" s="75">
        <f t="shared" si="12"/>
        <v>7.95138888888893E-2</v>
      </c>
      <c r="AF34" s="195"/>
    </row>
    <row r="35" spans="1:32" ht="21" customHeight="1" x14ac:dyDescent="0.35">
      <c r="A35" s="31" t="s">
        <v>89</v>
      </c>
      <c r="B35" s="9">
        <f>E7</f>
        <v>0</v>
      </c>
      <c r="C35" s="244"/>
      <c r="G35" s="268" t="s">
        <v>90</v>
      </c>
      <c r="H35" s="38">
        <f>final!E31</f>
        <v>2.31481481481481E-5</v>
      </c>
      <c r="I35" s="38">
        <v>3.4722222222222202E-5</v>
      </c>
      <c r="K35" s="4">
        <v>320</v>
      </c>
      <c r="L35" s="15">
        <f t="shared" si="3"/>
        <v>0.131944444444444</v>
      </c>
      <c r="P35" s="93"/>
      <c r="Q35" s="73">
        <v>32</v>
      </c>
      <c r="R35" s="74">
        <f t="shared" si="0"/>
        <v>8.4374999999999506E-2</v>
      </c>
      <c r="S35" s="75">
        <f t="shared" si="10"/>
        <v>5.6597222222221702E-2</v>
      </c>
      <c r="T35" s="623"/>
      <c r="V35" s="72"/>
      <c r="W35" s="73">
        <v>31</v>
      </c>
      <c r="X35" s="52">
        <f t="shared" si="1"/>
        <v>9.6527777777778198E-2</v>
      </c>
      <c r="Y35" s="75">
        <f t="shared" si="11"/>
        <v>8.2638888888889303E-2</v>
      </c>
      <c r="Z35" s="195"/>
      <c r="AB35" s="72"/>
      <c r="AC35" s="73">
        <v>31</v>
      </c>
      <c r="AD35" s="52">
        <f t="shared" si="2"/>
        <v>9.6527777777778198E-2</v>
      </c>
      <c r="AE35" s="75">
        <f t="shared" si="12"/>
        <v>8.2638888888889303E-2</v>
      </c>
      <c r="AF35" s="195"/>
    </row>
    <row r="36" spans="1:32" x14ac:dyDescent="0.25">
      <c r="A36" s="32" t="s">
        <v>91</v>
      </c>
      <c r="B36" s="16" t="str">
        <f>IF(B35&gt;0,B34+0,"0")</f>
        <v>0</v>
      </c>
      <c r="C36" s="244"/>
      <c r="G36" s="267" t="s">
        <v>59</v>
      </c>
      <c r="H36" s="51" t="s">
        <v>66</v>
      </c>
      <c r="I36" s="4"/>
      <c r="K36" s="4">
        <v>330</v>
      </c>
      <c r="L36" s="15">
        <f t="shared" si="3"/>
        <v>0.13541666666666699</v>
      </c>
      <c r="P36" s="93"/>
      <c r="Q36" s="73">
        <v>33</v>
      </c>
      <c r="R36" s="74">
        <f t="shared" si="0"/>
        <v>8.6458333333332804E-2</v>
      </c>
      <c r="S36" s="75">
        <f t="shared" si="10"/>
        <v>5.8680555555555E-2</v>
      </c>
      <c r="T36" s="623"/>
      <c r="V36" s="72"/>
      <c r="W36" s="73">
        <v>32</v>
      </c>
      <c r="X36" s="52">
        <f t="shared" si="1"/>
        <v>9.9652777777778201E-2</v>
      </c>
      <c r="Y36" s="75">
        <f t="shared" si="11"/>
        <v>8.5763888888889306E-2</v>
      </c>
      <c r="Z36" s="195"/>
      <c r="AB36" s="72"/>
      <c r="AC36" s="73">
        <v>32</v>
      </c>
      <c r="AD36" s="52">
        <f t="shared" si="2"/>
        <v>9.9652777777778201E-2</v>
      </c>
      <c r="AE36" s="75">
        <f t="shared" si="12"/>
        <v>8.5763888888889306E-2</v>
      </c>
      <c r="AF36" s="195"/>
    </row>
    <row r="37" spans="1:32" x14ac:dyDescent="0.25">
      <c r="A37" s="32" t="s">
        <v>92</v>
      </c>
      <c r="B37" s="16" t="str">
        <f>IF(B35&gt;0,B31*2,"0")</f>
        <v>0</v>
      </c>
      <c r="C37" s="244"/>
      <c r="G37" s="269" t="s">
        <v>93</v>
      </c>
      <c r="H37" s="4">
        <f>E13*E3</f>
        <v>0</v>
      </c>
      <c r="I37" s="4"/>
      <c r="K37" s="4">
        <v>340</v>
      </c>
      <c r="L37" s="15">
        <f t="shared" si="3"/>
        <v>0.13888888888888901</v>
      </c>
      <c r="P37" s="93"/>
      <c r="Q37" s="73">
        <v>34</v>
      </c>
      <c r="R37" s="74">
        <f t="shared" si="0"/>
        <v>8.8541666666666102E-2</v>
      </c>
      <c r="S37" s="75">
        <f t="shared" si="10"/>
        <v>6.0763888888888298E-2</v>
      </c>
      <c r="T37" s="623"/>
      <c r="V37" s="72"/>
      <c r="W37" s="73">
        <v>33</v>
      </c>
      <c r="X37" s="52">
        <f t="shared" si="1"/>
        <v>0.102777777777778</v>
      </c>
      <c r="Y37" s="75">
        <f t="shared" si="11"/>
        <v>8.8888888888889295E-2</v>
      </c>
      <c r="Z37" s="195"/>
      <c r="AB37" s="72"/>
      <c r="AC37" s="73">
        <v>33</v>
      </c>
      <c r="AD37" s="52">
        <f t="shared" si="2"/>
        <v>0.102777777777778</v>
      </c>
      <c r="AE37" s="75">
        <f t="shared" si="12"/>
        <v>8.8888888888889295E-2</v>
      </c>
      <c r="AF37" s="195"/>
    </row>
    <row r="38" spans="1:32" ht="21" customHeight="1" x14ac:dyDescent="0.35">
      <c r="A38" s="32" t="s">
        <v>94</v>
      </c>
      <c r="B38" s="16">
        <f>B36+B37</f>
        <v>0</v>
      </c>
      <c r="C38" s="244"/>
      <c r="G38" s="268" t="s">
        <v>95</v>
      </c>
      <c r="I38" s="4"/>
      <c r="K38" s="4">
        <v>350</v>
      </c>
      <c r="L38" s="15">
        <f t="shared" si="3"/>
        <v>0.14236111111111099</v>
      </c>
      <c r="P38" s="93"/>
      <c r="Q38" s="73">
        <v>35</v>
      </c>
      <c r="R38" s="74">
        <f t="shared" si="0"/>
        <v>9.06249999999994E-2</v>
      </c>
      <c r="S38" s="75">
        <f t="shared" si="10"/>
        <v>6.2847222222221596E-2</v>
      </c>
      <c r="T38" s="624"/>
      <c r="V38" s="72"/>
      <c r="W38" s="73">
        <v>34</v>
      </c>
      <c r="X38" s="52">
        <f t="shared" si="1"/>
        <v>0.105902777777778</v>
      </c>
      <c r="Y38" s="75">
        <f t="shared" si="11"/>
        <v>9.2013888888889298E-2</v>
      </c>
      <c r="Z38" s="195"/>
      <c r="AB38" s="72"/>
      <c r="AC38" s="73">
        <v>34</v>
      </c>
      <c r="AD38" s="52">
        <f t="shared" si="2"/>
        <v>0.105902777777778</v>
      </c>
      <c r="AE38" s="75">
        <f t="shared" si="12"/>
        <v>9.2013888888889298E-2</v>
      </c>
      <c r="AF38" s="195"/>
    </row>
    <row r="39" spans="1:32" x14ac:dyDescent="0.25">
      <c r="A39" s="3" t="s">
        <v>96</v>
      </c>
      <c r="B39" s="15" t="e">
        <f>(B38+B34)/E4</f>
        <v>#DIV/0!</v>
      </c>
      <c r="C39" s="244"/>
      <c r="G39" s="270" t="s">
        <v>97</v>
      </c>
      <c r="H39" s="38">
        <v>5.20833333333333E-4</v>
      </c>
      <c r="I39" s="37">
        <v>1.7361111111111101E-4</v>
      </c>
      <c r="K39" s="4">
        <v>360</v>
      </c>
      <c r="L39" s="15">
        <f t="shared" si="3"/>
        <v>0.14583333333333301</v>
      </c>
      <c r="P39" s="94" t="s">
        <v>98</v>
      </c>
      <c r="Q39" s="77">
        <v>36</v>
      </c>
      <c r="R39" s="78">
        <f t="shared" si="0"/>
        <v>9.3055555555555003E-2</v>
      </c>
      <c r="S39" s="79">
        <f t="shared" ref="S39:S46" si="13">S38+$T$39</f>
        <v>6.5277777777777199E-2</v>
      </c>
      <c r="T39" s="95">
        <v>2.4305555555555599E-3</v>
      </c>
      <c r="V39" s="72"/>
      <c r="W39" s="73">
        <v>35</v>
      </c>
      <c r="X39" s="52">
        <f t="shared" si="1"/>
        <v>0.109027777777778</v>
      </c>
      <c r="Y39" s="75">
        <f t="shared" si="11"/>
        <v>9.51388888888893E-2</v>
      </c>
      <c r="Z39" s="196"/>
      <c r="AB39" s="72"/>
      <c r="AC39" s="73">
        <v>35</v>
      </c>
      <c r="AD39" s="52">
        <f t="shared" si="2"/>
        <v>0.109027777777778</v>
      </c>
      <c r="AE39" s="75">
        <f t="shared" si="12"/>
        <v>9.51388888888893E-2</v>
      </c>
      <c r="AF39" s="196"/>
    </row>
    <row r="40" spans="1:32" x14ac:dyDescent="0.25">
      <c r="A40" s="3" t="s">
        <v>99</v>
      </c>
      <c r="B40" s="15" t="e">
        <f>(B38+B34)/E5</f>
        <v>#DIV/0!</v>
      </c>
      <c r="C40" s="380">
        <f>B42*24</f>
        <v>0</v>
      </c>
      <c r="G40" s="273" t="s">
        <v>100</v>
      </c>
      <c r="H40" s="274" t="s">
        <v>101</v>
      </c>
      <c r="I40" s="72">
        <f>IF(E14&gt;1, H58, 0)</f>
        <v>0</v>
      </c>
      <c r="K40" s="4">
        <v>370</v>
      </c>
      <c r="L40" s="15">
        <f t="shared" si="3"/>
        <v>0.149305555555555</v>
      </c>
      <c r="P40" s="94"/>
      <c r="Q40" s="77">
        <v>37</v>
      </c>
      <c r="R40" s="78">
        <f t="shared" si="0"/>
        <v>9.5486111111110605E-2</v>
      </c>
      <c r="S40" s="79">
        <f t="shared" si="13"/>
        <v>6.7708333333332801E-2</v>
      </c>
      <c r="T40" s="96"/>
      <c r="V40" s="76" t="s">
        <v>102</v>
      </c>
      <c r="W40" s="77">
        <v>36</v>
      </c>
      <c r="X40" s="52">
        <f t="shared" si="1"/>
        <v>0.112152777777778</v>
      </c>
      <c r="Y40" s="79">
        <f t="shared" ref="Y40:Y47" si="14">Y39+$Z$40</f>
        <v>9.8263888888889303E-2</v>
      </c>
      <c r="Z40" s="87">
        <v>3.1250000000000002E-3</v>
      </c>
      <c r="AB40" s="76" t="s">
        <v>102</v>
      </c>
      <c r="AC40" s="77">
        <v>36</v>
      </c>
      <c r="AD40" s="52">
        <f t="shared" si="2"/>
        <v>0.112152777777778</v>
      </c>
      <c r="AE40" s="79">
        <f t="shared" ref="AE40:AE47" si="15">AE39+$AF$40</f>
        <v>9.8263888888889303E-2</v>
      </c>
      <c r="AF40" s="87">
        <v>3.1250000000000002E-3</v>
      </c>
    </row>
    <row r="41" spans="1:32" ht="21.4" customHeight="1" thickBot="1" x14ac:dyDescent="0.4">
      <c r="A41" s="10" t="s">
        <v>103</v>
      </c>
      <c r="B41" s="325" t="e">
        <f>B34+B38</f>
        <v>#DIV/0!</v>
      </c>
      <c r="C41" s="381" t="s">
        <v>37</v>
      </c>
      <c r="G41" s="276" t="s">
        <v>104</v>
      </c>
      <c r="H41" s="72" t="s">
        <v>66</v>
      </c>
      <c r="I41" s="72"/>
      <c r="K41" s="4">
        <v>380</v>
      </c>
      <c r="L41" s="15">
        <f t="shared" si="3"/>
        <v>0.15277777777777801</v>
      </c>
      <c r="P41" s="94"/>
      <c r="Q41" s="77">
        <v>38</v>
      </c>
      <c r="R41" s="78">
        <f t="shared" si="0"/>
        <v>9.7916666666666194E-2</v>
      </c>
      <c r="S41" s="79">
        <f t="shared" si="13"/>
        <v>7.0138888888888404E-2</v>
      </c>
      <c r="T41" s="96"/>
      <c r="V41" s="76"/>
      <c r="W41" s="77">
        <v>37</v>
      </c>
      <c r="X41" s="52">
        <f t="shared" si="1"/>
        <v>0.11527777777777801</v>
      </c>
      <c r="Y41" s="79">
        <f t="shared" si="14"/>
        <v>0.101388888888889</v>
      </c>
      <c r="Z41" s="88"/>
      <c r="AB41" s="76"/>
      <c r="AC41" s="77">
        <v>37</v>
      </c>
      <c r="AD41" s="52">
        <f t="shared" si="2"/>
        <v>0.11527777777777801</v>
      </c>
      <c r="AE41" s="79">
        <f t="shared" si="15"/>
        <v>0.101388888888889</v>
      </c>
      <c r="AF41" s="88"/>
    </row>
    <row r="42" spans="1:32" ht="21.4" customHeight="1" thickBot="1" x14ac:dyDescent="0.4">
      <c r="A42" s="10" t="s">
        <v>105</v>
      </c>
      <c r="B42" s="17">
        <f>IF(E9&gt;0,B41,0)</f>
        <v>0</v>
      </c>
      <c r="C42" s="382">
        <f>C40/7</f>
        <v>0</v>
      </c>
      <c r="G42" s="276" t="s">
        <v>106</v>
      </c>
      <c r="H42" s="72" t="s">
        <v>66</v>
      </c>
      <c r="I42" s="74" t="e">
        <f>B139</f>
        <v>#DIV/0!</v>
      </c>
      <c r="K42" s="4">
        <v>390</v>
      </c>
      <c r="L42" s="15">
        <f t="shared" si="3"/>
        <v>0.15625</v>
      </c>
      <c r="P42" s="94"/>
      <c r="Q42" s="77">
        <v>39</v>
      </c>
      <c r="R42" s="78">
        <f t="shared" si="0"/>
        <v>0.100347222222222</v>
      </c>
      <c r="S42" s="79">
        <f t="shared" si="13"/>
        <v>7.2569444444444006E-2</v>
      </c>
      <c r="T42" s="96"/>
      <c r="V42" s="76"/>
      <c r="W42" s="77">
        <v>38</v>
      </c>
      <c r="X42" s="52">
        <f t="shared" si="1"/>
        <v>0.118402777777778</v>
      </c>
      <c r="Y42" s="79">
        <f t="shared" si="14"/>
        <v>0.104513888888889</v>
      </c>
      <c r="Z42" s="88"/>
      <c r="AB42" s="76"/>
      <c r="AC42" s="77">
        <v>38</v>
      </c>
      <c r="AD42" s="52">
        <f t="shared" si="2"/>
        <v>0.118402777777778</v>
      </c>
      <c r="AE42" s="79">
        <f t="shared" si="15"/>
        <v>0.104513888888889</v>
      </c>
      <c r="AF42" s="88"/>
    </row>
    <row r="43" spans="1:32" ht="21" customHeight="1" x14ac:dyDescent="0.35">
      <c r="A43" s="30" t="s">
        <v>107</v>
      </c>
      <c r="B43" s="30">
        <v>8.1597222222222196E-2</v>
      </c>
      <c r="C43" s="34" t="s">
        <v>108</v>
      </c>
      <c r="G43" s="276" t="s">
        <v>109</v>
      </c>
      <c r="H43" s="275">
        <v>3.4722222222222202E-4</v>
      </c>
      <c r="I43" s="72"/>
      <c r="K43" s="4">
        <v>400</v>
      </c>
      <c r="L43" s="15">
        <f t="shared" si="3"/>
        <v>0.15972222222222199</v>
      </c>
      <c r="P43" s="94"/>
      <c r="Q43" s="77">
        <v>40</v>
      </c>
      <c r="R43" s="78">
        <f t="shared" si="0"/>
        <v>0.102777777777777</v>
      </c>
      <c r="S43" s="79">
        <f t="shared" si="13"/>
        <v>7.4999999999999595E-2</v>
      </c>
      <c r="T43" s="96"/>
      <c r="V43" s="76"/>
      <c r="W43" s="77">
        <v>39</v>
      </c>
      <c r="X43" s="52">
        <f t="shared" si="1"/>
        <v>0.121527777777778</v>
      </c>
      <c r="Y43" s="79">
        <f t="shared" si="14"/>
        <v>0.10763888888888901</v>
      </c>
      <c r="Z43" s="88"/>
      <c r="AB43" s="76"/>
      <c r="AC43" s="77">
        <v>39</v>
      </c>
      <c r="AD43" s="52">
        <f t="shared" si="2"/>
        <v>0.121527777777778</v>
      </c>
      <c r="AE43" s="79">
        <f t="shared" si="15"/>
        <v>0.10763888888888901</v>
      </c>
      <c r="AF43" s="88"/>
    </row>
    <row r="44" spans="1:32" ht="21" customHeight="1" x14ac:dyDescent="0.35">
      <c r="A44" s="327" t="s">
        <v>110</v>
      </c>
      <c r="B44" s="38">
        <f>H32</f>
        <v>1.1574074074074101E-5</v>
      </c>
      <c r="C44" s="244" t="s">
        <v>111</v>
      </c>
      <c r="G44" s="277" t="s">
        <v>112</v>
      </c>
      <c r="H44" s="4"/>
      <c r="I44" s="4"/>
      <c r="K44" s="4">
        <v>410</v>
      </c>
      <c r="L44" s="15">
        <f t="shared" si="3"/>
        <v>0.163194444444444</v>
      </c>
      <c r="P44" s="94"/>
      <c r="Q44" s="77">
        <v>41</v>
      </c>
      <c r="R44" s="78">
        <f t="shared" si="0"/>
        <v>0.105208333333333</v>
      </c>
      <c r="S44" s="79">
        <f t="shared" si="13"/>
        <v>7.7430555555555197E-2</v>
      </c>
      <c r="T44" s="96"/>
      <c r="V44" s="76"/>
      <c r="W44" s="77">
        <v>40</v>
      </c>
      <c r="X44" s="52">
        <f t="shared" si="1"/>
        <v>0.124652777777778</v>
      </c>
      <c r="Y44" s="79">
        <f t="shared" si="14"/>
        <v>0.11076388888888899</v>
      </c>
      <c r="Z44" s="88"/>
      <c r="AB44" s="76"/>
      <c r="AC44" s="77">
        <v>40</v>
      </c>
      <c r="AD44" s="52">
        <f t="shared" si="2"/>
        <v>0.124652777777778</v>
      </c>
      <c r="AE44" s="79">
        <f t="shared" si="15"/>
        <v>0.11076388888888899</v>
      </c>
      <c r="AF44" s="88"/>
    </row>
    <row r="45" spans="1:32" x14ac:dyDescent="0.25">
      <c r="A45" s="4" t="s">
        <v>113</v>
      </c>
      <c r="B45" s="4">
        <f>((B44/final!E30)*(H34))</f>
        <v>0</v>
      </c>
      <c r="C45" s="244"/>
      <c r="G45" s="269" t="s">
        <v>114</v>
      </c>
      <c r="H45" s="4">
        <f>E3*E15</f>
        <v>0</v>
      </c>
      <c r="I45" s="4"/>
      <c r="K45" s="4">
        <v>420</v>
      </c>
      <c r="L45" s="15">
        <f t="shared" si="3"/>
        <v>0.16666666666666699</v>
      </c>
      <c r="P45" s="94"/>
      <c r="Q45" s="77">
        <v>42</v>
      </c>
      <c r="R45" s="78">
        <f t="shared" si="0"/>
        <v>0.10763888888888901</v>
      </c>
      <c r="S45" s="79">
        <f t="shared" si="13"/>
        <v>7.98611111111108E-2</v>
      </c>
      <c r="T45" s="96"/>
      <c r="V45" s="76"/>
      <c r="W45" s="77">
        <v>41</v>
      </c>
      <c r="X45" s="52">
        <f t="shared" si="1"/>
        <v>0.12777777777777799</v>
      </c>
      <c r="Y45" s="79">
        <f t="shared" si="14"/>
        <v>0.113888888888889</v>
      </c>
      <c r="Z45" s="88"/>
      <c r="AB45" s="76"/>
      <c r="AC45" s="77">
        <v>41</v>
      </c>
      <c r="AD45" s="52">
        <f t="shared" si="2"/>
        <v>0.12777777777777799</v>
      </c>
      <c r="AE45" s="79">
        <f t="shared" si="15"/>
        <v>0.113888888888889</v>
      </c>
      <c r="AF45" s="88"/>
    </row>
    <row r="46" spans="1:32" x14ac:dyDescent="0.25">
      <c r="A46" s="4" t="s">
        <v>109</v>
      </c>
      <c r="B46" s="15" t="e">
        <f>H43*E5</f>
        <v>#DIV/0!</v>
      </c>
      <c r="C46" s="244"/>
      <c r="G46" s="270" t="s">
        <v>115</v>
      </c>
      <c r="H46" s="29">
        <f>E16*E4</f>
        <v>0</v>
      </c>
      <c r="I46" s="4"/>
      <c r="K46" s="4">
        <v>430</v>
      </c>
      <c r="L46" s="15">
        <f t="shared" si="3"/>
        <v>0.17013888888888901</v>
      </c>
      <c r="P46" s="94"/>
      <c r="Q46" s="77">
        <v>43</v>
      </c>
      <c r="R46" s="78">
        <f t="shared" si="0"/>
        <v>0.110069444444444</v>
      </c>
      <c r="S46" s="79">
        <f t="shared" si="13"/>
        <v>8.2291666666666402E-2</v>
      </c>
      <c r="T46" s="96"/>
      <c r="V46" s="76"/>
      <c r="W46" s="77">
        <v>42</v>
      </c>
      <c r="X46" s="52">
        <f t="shared" si="1"/>
        <v>0.13090277777777801</v>
      </c>
      <c r="Y46" s="79">
        <f t="shared" si="14"/>
        <v>0.117013888888889</v>
      </c>
      <c r="Z46" s="88"/>
      <c r="AB46" s="76"/>
      <c r="AC46" s="77">
        <v>42</v>
      </c>
      <c r="AD46" s="52">
        <f t="shared" si="2"/>
        <v>0.13090277777777801</v>
      </c>
      <c r="AE46" s="79">
        <f t="shared" si="15"/>
        <v>0.117013888888889</v>
      </c>
      <c r="AF46" s="88"/>
    </row>
    <row r="47" spans="1:32" x14ac:dyDescent="0.25">
      <c r="A47" s="4" t="s">
        <v>116</v>
      </c>
      <c r="B47" s="15" t="e">
        <f>B45*E5</f>
        <v>#DIV/0!</v>
      </c>
      <c r="C47" s="384"/>
      <c r="G47" s="267" t="s">
        <v>117</v>
      </c>
      <c r="H47" s="309">
        <v>5.78703703703704E-4</v>
      </c>
      <c r="I47" s="38">
        <v>4.6296296296296298E-4</v>
      </c>
      <c r="K47" s="4">
        <v>440</v>
      </c>
      <c r="L47" s="15">
        <f t="shared" si="3"/>
        <v>0.17361111111111099</v>
      </c>
      <c r="P47" s="97" t="s">
        <v>118</v>
      </c>
      <c r="Q47" s="61">
        <v>44</v>
      </c>
      <c r="R47" s="28">
        <f t="shared" si="0"/>
        <v>0.112847222222222</v>
      </c>
      <c r="S47" s="54">
        <f>S46+$T$47</f>
        <v>8.5069444444444198E-2</v>
      </c>
      <c r="T47" s="625">
        <v>2.7777777777777801E-3</v>
      </c>
      <c r="V47" s="76"/>
      <c r="W47" s="77">
        <v>43</v>
      </c>
      <c r="X47" s="52">
        <f t="shared" si="1"/>
        <v>0.134027777777778</v>
      </c>
      <c r="Y47" s="79">
        <f t="shared" si="14"/>
        <v>0.120138888888889</v>
      </c>
      <c r="Z47" s="88"/>
      <c r="AB47" s="76"/>
      <c r="AC47" s="77">
        <v>43</v>
      </c>
      <c r="AD47" s="52">
        <f t="shared" si="2"/>
        <v>0.134027777777778</v>
      </c>
      <c r="AE47" s="79">
        <f t="shared" si="15"/>
        <v>0.120138888888889</v>
      </c>
      <c r="AF47" s="88"/>
    </row>
    <row r="48" spans="1:32" x14ac:dyDescent="0.25">
      <c r="A48" s="4" t="s">
        <v>119</v>
      </c>
      <c r="B48" s="15" t="e">
        <f>(B45*E5)+B46</f>
        <v>#DIV/0!</v>
      </c>
      <c r="C48" s="244"/>
      <c r="G48" s="267" t="s">
        <v>120</v>
      </c>
      <c r="H48" s="309">
        <v>8.1018518518518503E-5</v>
      </c>
      <c r="I48" s="37">
        <v>1.15740740740741E-4</v>
      </c>
      <c r="K48" s="4">
        <v>450</v>
      </c>
      <c r="L48" s="15">
        <f t="shared" si="3"/>
        <v>0.17708333333333301</v>
      </c>
      <c r="P48" s="97"/>
      <c r="Q48" s="61">
        <v>45</v>
      </c>
      <c r="R48" s="28">
        <f t="shared" si="0"/>
        <v>0.11527777777777801</v>
      </c>
      <c r="S48" s="54">
        <f t="shared" ref="S48:S53" si="16">S47+$T$39</f>
        <v>8.74999999999998E-2</v>
      </c>
      <c r="T48" s="623"/>
      <c r="V48" s="60" t="s">
        <v>121</v>
      </c>
      <c r="W48" s="61">
        <v>44</v>
      </c>
      <c r="X48" s="52">
        <f t="shared" si="1"/>
        <v>0.13819444444444501</v>
      </c>
      <c r="Y48" s="54">
        <f t="shared" ref="Y48:Y64" si="17">Y47+$Z$48</f>
        <v>0.124305555555556</v>
      </c>
      <c r="Z48" s="197">
        <v>4.1666666666666701E-3</v>
      </c>
      <c r="AB48" s="60" t="s">
        <v>121</v>
      </c>
      <c r="AC48" s="61">
        <v>44</v>
      </c>
      <c r="AD48" s="52">
        <f t="shared" si="2"/>
        <v>0.13819444444444501</v>
      </c>
      <c r="AE48" s="54">
        <f t="shared" ref="AE48:AE64" si="18">AE47+$AF$48</f>
        <v>0.124305555555556</v>
      </c>
      <c r="AF48" s="197">
        <v>4.1666666666666701E-3</v>
      </c>
    </row>
    <row r="49" spans="1:32" x14ac:dyDescent="0.25">
      <c r="A49" s="4" t="s">
        <v>122</v>
      </c>
      <c r="B49" s="38">
        <f>$H$57</f>
        <v>1.38888888888889E-2</v>
      </c>
      <c r="C49" s="244"/>
      <c r="G49" s="267" t="s">
        <v>123</v>
      </c>
      <c r="H49" s="309">
        <v>2.3148148148148201E-5</v>
      </c>
      <c r="I49" s="15">
        <v>3.4722222222222202E-5</v>
      </c>
      <c r="K49" s="4">
        <v>460</v>
      </c>
      <c r="L49" s="15">
        <f t="shared" si="3"/>
        <v>0.180555555555555</v>
      </c>
      <c r="P49" s="97"/>
      <c r="Q49" s="61">
        <v>46</v>
      </c>
      <c r="R49" s="28">
        <f t="shared" si="0"/>
        <v>0.117708333333333</v>
      </c>
      <c r="S49" s="54">
        <f t="shared" si="16"/>
        <v>8.9930555555555403E-2</v>
      </c>
      <c r="T49" s="623"/>
      <c r="V49" s="60"/>
      <c r="W49" s="61">
        <v>45</v>
      </c>
      <c r="X49" s="52">
        <f t="shared" si="1"/>
        <v>0.14236111111111199</v>
      </c>
      <c r="Y49" s="54">
        <f t="shared" si="17"/>
        <v>0.12847222222222299</v>
      </c>
      <c r="Z49" s="197"/>
      <c r="AB49" s="60"/>
      <c r="AC49" s="61">
        <v>45</v>
      </c>
      <c r="AD49" s="52">
        <f t="shared" si="2"/>
        <v>0.14236111111111199</v>
      </c>
      <c r="AE49" s="54">
        <f t="shared" si="18"/>
        <v>0.12847222222222299</v>
      </c>
      <c r="AF49" s="197"/>
    </row>
    <row r="50" spans="1:32" ht="21" customHeight="1" x14ac:dyDescent="0.35">
      <c r="A50" s="4" t="s">
        <v>124</v>
      </c>
      <c r="B50" s="15" t="e">
        <f>B49+B48</f>
        <v>#DIV/0!</v>
      </c>
      <c r="C50" s="244"/>
      <c r="G50" s="268" t="s">
        <v>125</v>
      </c>
      <c r="H50" s="309">
        <v>3.4722222222222199E-3</v>
      </c>
      <c r="I50" s="37">
        <v>6.9444444444444404E-4</v>
      </c>
      <c r="K50" s="4">
        <v>470</v>
      </c>
      <c r="L50" s="15">
        <f t="shared" si="3"/>
        <v>0.18402777777777801</v>
      </c>
      <c r="P50" s="97"/>
      <c r="Q50" s="61">
        <v>47</v>
      </c>
      <c r="R50" s="28">
        <f t="shared" si="0"/>
        <v>0.120138888888889</v>
      </c>
      <c r="S50" s="54">
        <f t="shared" si="16"/>
        <v>9.2361111111111005E-2</v>
      </c>
      <c r="T50" s="623"/>
      <c r="V50" s="60"/>
      <c r="W50" s="61">
        <v>46</v>
      </c>
      <c r="X50" s="52">
        <f t="shared" si="1"/>
        <v>0.14652777777777901</v>
      </c>
      <c r="Y50" s="54">
        <f t="shared" si="17"/>
        <v>0.13263888888889</v>
      </c>
      <c r="Z50" s="197"/>
      <c r="AB50" s="60"/>
      <c r="AC50" s="61">
        <v>46</v>
      </c>
      <c r="AD50" s="52">
        <f t="shared" si="2"/>
        <v>0.14652777777777901</v>
      </c>
      <c r="AE50" s="54">
        <f t="shared" si="18"/>
        <v>0.13263888888889</v>
      </c>
      <c r="AF50" s="197"/>
    </row>
    <row r="51" spans="1:32" ht="21" customHeight="1" x14ac:dyDescent="0.35">
      <c r="A51" s="265" t="s">
        <v>126</v>
      </c>
      <c r="B51" s="161">
        <f>E7</f>
        <v>0</v>
      </c>
      <c r="C51" s="385"/>
      <c r="G51" s="268" t="s">
        <v>127</v>
      </c>
      <c r="H51" s="265"/>
      <c r="I51" s="4"/>
      <c r="K51" s="4">
        <v>480</v>
      </c>
      <c r="L51" s="15">
        <f t="shared" si="3"/>
        <v>0.1875</v>
      </c>
      <c r="P51" s="97"/>
      <c r="Q51" s="61">
        <v>48</v>
      </c>
      <c r="R51" s="28">
        <f t="shared" si="0"/>
        <v>0.122569444444444</v>
      </c>
      <c r="S51" s="54">
        <f t="shared" si="16"/>
        <v>9.4791666666666594E-2</v>
      </c>
      <c r="T51" s="623"/>
      <c r="V51" s="60"/>
      <c r="W51" s="61">
        <v>47</v>
      </c>
      <c r="X51" s="52">
        <f t="shared" si="1"/>
        <v>0.15069444444444599</v>
      </c>
      <c r="Y51" s="54">
        <f t="shared" si="17"/>
        <v>0.13680555555555701</v>
      </c>
      <c r="Z51" s="197"/>
      <c r="AB51" s="60"/>
      <c r="AC51" s="61">
        <v>47</v>
      </c>
      <c r="AD51" s="52">
        <f t="shared" si="2"/>
        <v>0.15069444444444599</v>
      </c>
      <c r="AE51" s="54">
        <f t="shared" si="18"/>
        <v>0.13680555555555701</v>
      </c>
      <c r="AF51" s="197"/>
    </row>
    <row r="52" spans="1:32" x14ac:dyDescent="0.25">
      <c r="A52" s="3" t="s">
        <v>128</v>
      </c>
      <c r="B52" s="15" t="str">
        <f>IF(B51&gt;0,B48+0,"0")</f>
        <v>0</v>
      </c>
      <c r="C52" s="244"/>
      <c r="G52" s="267" t="s">
        <v>129</v>
      </c>
      <c r="H52" s="309">
        <v>4.6296296296296298E-4</v>
      </c>
      <c r="I52" s="263">
        <v>6.9444444444444404E-4</v>
      </c>
      <c r="K52" s="4">
        <v>490</v>
      </c>
      <c r="L52" s="15">
        <f t="shared" si="3"/>
        <v>0.19097222222222199</v>
      </c>
      <c r="P52" s="97"/>
      <c r="Q52" s="61">
        <v>49</v>
      </c>
      <c r="R52" s="28">
        <f t="shared" si="0"/>
        <v>0.125</v>
      </c>
      <c r="S52" s="54">
        <f t="shared" si="16"/>
        <v>9.7222222222222196E-2</v>
      </c>
      <c r="T52" s="623"/>
      <c r="V52" s="60"/>
      <c r="W52" s="61">
        <v>48</v>
      </c>
      <c r="X52" s="52">
        <f t="shared" si="1"/>
        <v>0.154861111111113</v>
      </c>
      <c r="Y52" s="54">
        <f t="shared" si="17"/>
        <v>0.140972222222224</v>
      </c>
      <c r="Z52" s="197"/>
      <c r="AB52" s="60"/>
      <c r="AC52" s="61">
        <v>48</v>
      </c>
      <c r="AD52" s="52">
        <f t="shared" si="2"/>
        <v>0.154861111111113</v>
      </c>
      <c r="AE52" s="54">
        <f t="shared" si="18"/>
        <v>0.140972222222224</v>
      </c>
      <c r="AF52" s="197"/>
    </row>
    <row r="53" spans="1:32" ht="21" customHeight="1" x14ac:dyDescent="0.35">
      <c r="A53" s="3" t="s">
        <v>130</v>
      </c>
      <c r="B53" s="15">
        <f>B51*B49</f>
        <v>0</v>
      </c>
      <c r="C53" s="244"/>
      <c r="G53" s="268" t="s">
        <v>131</v>
      </c>
      <c r="H53" s="265"/>
      <c r="I53" s="4"/>
      <c r="K53" s="4">
        <v>500</v>
      </c>
      <c r="L53" s="15">
        <f t="shared" si="3"/>
        <v>0.194444444444444</v>
      </c>
      <c r="P53" s="97"/>
      <c r="Q53" s="61">
        <v>50</v>
      </c>
      <c r="R53" s="28">
        <f t="shared" si="0"/>
        <v>0.12743055555555599</v>
      </c>
      <c r="S53" s="54">
        <f t="shared" si="16"/>
        <v>9.9652777777777798E-2</v>
      </c>
      <c r="T53" s="623"/>
      <c r="V53" s="60"/>
      <c r="W53" s="61">
        <v>49</v>
      </c>
      <c r="X53" s="52">
        <f t="shared" si="1"/>
        <v>0.15902777777777999</v>
      </c>
      <c r="Y53" s="54">
        <f t="shared" si="17"/>
        <v>0.14513888888889101</v>
      </c>
      <c r="Z53" s="197"/>
      <c r="AB53" s="60"/>
      <c r="AC53" s="61">
        <v>49</v>
      </c>
      <c r="AD53" s="52">
        <f t="shared" si="2"/>
        <v>0.15902777777777999</v>
      </c>
      <c r="AE53" s="54">
        <f t="shared" si="18"/>
        <v>0.14513888888889101</v>
      </c>
      <c r="AF53" s="197"/>
    </row>
    <row r="54" spans="1:32" x14ac:dyDescent="0.25">
      <c r="A54" s="3" t="s">
        <v>132</v>
      </c>
      <c r="B54" s="15">
        <f>B52+B53</f>
        <v>0</v>
      </c>
      <c r="C54" s="386"/>
      <c r="G54" s="267" t="s">
        <v>133</v>
      </c>
      <c r="H54" s="309">
        <v>6.9444444444444404E-4</v>
      </c>
      <c r="I54" s="37">
        <v>6.9444444444444404E-4</v>
      </c>
      <c r="K54" s="4">
        <v>510</v>
      </c>
      <c r="L54" s="15">
        <f t="shared" si="3"/>
        <v>0.19791666666666699</v>
      </c>
      <c r="P54" s="97"/>
      <c r="Q54" s="61">
        <v>51</v>
      </c>
      <c r="R54" s="28">
        <f t="shared" si="0"/>
        <v>0.13020833333333401</v>
      </c>
      <c r="S54" s="54">
        <f t="shared" ref="S54:S63" si="19">S53+$T$47</f>
        <v>0.102430555555556</v>
      </c>
      <c r="T54" s="623"/>
      <c r="V54" s="60"/>
      <c r="W54" s="61">
        <v>50</v>
      </c>
      <c r="X54" s="52">
        <f t="shared" si="1"/>
        <v>0.163194444444447</v>
      </c>
      <c r="Y54" s="54">
        <f t="shared" si="17"/>
        <v>0.14930555555555799</v>
      </c>
      <c r="Z54" s="197"/>
      <c r="AB54" s="60"/>
      <c r="AC54" s="61">
        <v>50</v>
      </c>
      <c r="AD54" s="52">
        <f t="shared" si="2"/>
        <v>0.163194444444447</v>
      </c>
      <c r="AE54" s="54">
        <f t="shared" si="18"/>
        <v>0.14930555555555799</v>
      </c>
      <c r="AF54" s="197"/>
    </row>
    <row r="55" spans="1:32" ht="21" customHeight="1" x14ac:dyDescent="0.35">
      <c r="A55" s="4" t="s">
        <v>134</v>
      </c>
      <c r="B55" s="15" t="e">
        <f>(B50+B54)/E5</f>
        <v>#DIV/0!</v>
      </c>
      <c r="C55" s="380">
        <f>B57*24</f>
        <v>0</v>
      </c>
      <c r="G55" s="268" t="s">
        <v>135</v>
      </c>
      <c r="H55" s="309">
        <v>6.9444444444444404E-4</v>
      </c>
      <c r="I55" s="37">
        <v>0</v>
      </c>
      <c r="K55" s="4">
        <v>520</v>
      </c>
      <c r="L55" s="15">
        <f t="shared" si="3"/>
        <v>0.20138888888888901</v>
      </c>
      <c r="P55" s="97"/>
      <c r="Q55" s="61">
        <v>52</v>
      </c>
      <c r="R55" s="28">
        <f t="shared" si="0"/>
        <v>0.132986111111112</v>
      </c>
      <c r="S55" s="54">
        <f t="shared" si="19"/>
        <v>0.105208333333334</v>
      </c>
      <c r="T55" s="623"/>
      <c r="V55" s="60"/>
      <c r="W55" s="61">
        <v>51</v>
      </c>
      <c r="X55" s="52">
        <f t="shared" si="1"/>
        <v>0.16736111111111401</v>
      </c>
      <c r="Y55" s="54">
        <f t="shared" si="17"/>
        <v>0.15347222222222501</v>
      </c>
      <c r="Z55" s="197"/>
      <c r="AB55" s="60"/>
      <c r="AC55" s="61">
        <v>51</v>
      </c>
      <c r="AD55" s="52">
        <f t="shared" si="2"/>
        <v>0.16736111111111401</v>
      </c>
      <c r="AE55" s="54">
        <f t="shared" si="18"/>
        <v>0.15347222222222501</v>
      </c>
      <c r="AF55" s="197"/>
    </row>
    <row r="56" spans="1:32" ht="23.65" customHeight="1" x14ac:dyDescent="0.35">
      <c r="A56" s="4" t="s">
        <v>136</v>
      </c>
      <c r="B56" s="37" t="e">
        <f>B50+B54</f>
        <v>#DIV/0!</v>
      </c>
      <c r="C56" s="381" t="s">
        <v>37</v>
      </c>
      <c r="E56" s="254"/>
      <c r="G56" s="268" t="s">
        <v>137</v>
      </c>
      <c r="H56" s="309">
        <v>0</v>
      </c>
      <c r="I56" s="4">
        <v>0</v>
      </c>
      <c r="K56" s="4">
        <v>530</v>
      </c>
      <c r="L56" s="15">
        <f t="shared" si="3"/>
        <v>0.20486111111111099</v>
      </c>
      <c r="P56" s="97"/>
      <c r="Q56" s="61">
        <v>53</v>
      </c>
      <c r="R56" s="28">
        <f t="shared" si="0"/>
        <v>0.13576388888888999</v>
      </c>
      <c r="S56" s="54">
        <f t="shared" si="19"/>
        <v>0.107986111111112</v>
      </c>
      <c r="T56" s="623"/>
      <c r="V56" s="60"/>
      <c r="W56" s="61">
        <v>52</v>
      </c>
      <c r="X56" s="52">
        <f t="shared" si="1"/>
        <v>0.171527777777781</v>
      </c>
      <c r="Y56" s="54">
        <f t="shared" si="17"/>
        <v>0.15763888888889199</v>
      </c>
      <c r="Z56" s="197"/>
      <c r="AB56" s="60"/>
      <c r="AC56" s="61">
        <v>52</v>
      </c>
      <c r="AD56" s="52">
        <f t="shared" si="2"/>
        <v>0.171527777777781</v>
      </c>
      <c r="AE56" s="54">
        <f t="shared" si="18"/>
        <v>0.15763888888889199</v>
      </c>
      <c r="AF56" s="197"/>
    </row>
    <row r="57" spans="1:32" x14ac:dyDescent="0.25">
      <c r="A57" s="3" t="s">
        <v>138</v>
      </c>
      <c r="B57" s="28">
        <f>IF(E11&gt;0,B56,0)</f>
        <v>0</v>
      </c>
      <c r="C57" s="382">
        <f>C55/7</f>
        <v>0</v>
      </c>
      <c r="G57" s="267" t="s">
        <v>139</v>
      </c>
      <c r="H57" s="38">
        <v>1.38888888888889E-2</v>
      </c>
      <c r="I57" s="38">
        <v>2.0833333333333301E-2</v>
      </c>
      <c r="K57" s="4">
        <v>540</v>
      </c>
      <c r="L57" s="15">
        <f t="shared" si="3"/>
        <v>0.20833333333333301</v>
      </c>
      <c r="P57" s="97"/>
      <c r="Q57" s="61">
        <v>54</v>
      </c>
      <c r="R57" s="28">
        <f t="shared" si="0"/>
        <v>0.13854166666666801</v>
      </c>
      <c r="S57" s="54">
        <f t="shared" si="19"/>
        <v>0.11076388888888999</v>
      </c>
      <c r="T57" s="623"/>
      <c r="V57" s="60"/>
      <c r="W57" s="61">
        <v>53</v>
      </c>
      <c r="X57" s="52">
        <f t="shared" si="1"/>
        <v>0.17569444444444801</v>
      </c>
      <c r="Y57" s="54">
        <f t="shared" si="17"/>
        <v>0.16180555555555901</v>
      </c>
      <c r="Z57" s="197"/>
      <c r="AB57" s="60"/>
      <c r="AC57" s="61">
        <v>53</v>
      </c>
      <c r="AD57" s="52">
        <f t="shared" si="2"/>
        <v>0.17569444444444801</v>
      </c>
      <c r="AE57" s="54">
        <f t="shared" si="18"/>
        <v>0.16180555555555901</v>
      </c>
      <c r="AF57" s="197"/>
    </row>
    <row r="58" spans="1:32" x14ac:dyDescent="0.25">
      <c r="A58" s="30"/>
      <c r="B58" s="30"/>
      <c r="C58" s="244"/>
      <c r="G58" s="267" t="s">
        <v>140</v>
      </c>
      <c r="H58" s="38">
        <v>1.38888888888889E-2</v>
      </c>
      <c r="I58" s="37">
        <v>1.0416666666666701E-2</v>
      </c>
      <c r="K58" s="4">
        <v>550</v>
      </c>
      <c r="L58" s="15">
        <f t="shared" si="3"/>
        <v>0.211805555555555</v>
      </c>
      <c r="P58" s="97"/>
      <c r="Q58" s="61">
        <v>55</v>
      </c>
      <c r="R58" s="28">
        <f t="shared" si="0"/>
        <v>0.141319444444446</v>
      </c>
      <c r="S58" s="54">
        <f t="shared" si="19"/>
        <v>0.113541666666668</v>
      </c>
      <c r="T58" s="623"/>
      <c r="V58" s="60"/>
      <c r="W58" s="61">
        <v>54</v>
      </c>
      <c r="X58" s="52">
        <f t="shared" si="1"/>
        <v>0.179861111111115</v>
      </c>
      <c r="Y58" s="54">
        <f t="shared" si="17"/>
        <v>0.16597222222222599</v>
      </c>
      <c r="Z58" s="197"/>
      <c r="AB58" s="60"/>
      <c r="AC58" s="61">
        <v>54</v>
      </c>
      <c r="AD58" s="52">
        <f t="shared" si="2"/>
        <v>0.179861111111115</v>
      </c>
      <c r="AE58" s="54">
        <f t="shared" si="18"/>
        <v>0.16597222222222599</v>
      </c>
      <c r="AF58" s="197"/>
    </row>
    <row r="59" spans="1:32" x14ac:dyDescent="0.25">
      <c r="A59" s="327" t="s">
        <v>141</v>
      </c>
      <c r="B59" s="38">
        <f>H35</f>
        <v>2.31481481481481E-5</v>
      </c>
      <c r="C59" s="244"/>
      <c r="G59" s="271" t="s">
        <v>142</v>
      </c>
      <c r="H59" s="248"/>
      <c r="I59" s="248"/>
      <c r="K59" s="4">
        <v>560</v>
      </c>
      <c r="L59" s="15">
        <f t="shared" si="3"/>
        <v>0.21527777777777801</v>
      </c>
      <c r="P59" s="97"/>
      <c r="Q59" s="61">
        <v>56</v>
      </c>
      <c r="R59" s="28">
        <f t="shared" si="0"/>
        <v>0.14409722222222399</v>
      </c>
      <c r="S59" s="54">
        <f t="shared" si="19"/>
        <v>0.116319444444446</v>
      </c>
      <c r="T59" s="623"/>
      <c r="V59" s="60"/>
      <c r="W59" s="61">
        <v>55</v>
      </c>
      <c r="X59" s="52">
        <f t="shared" si="1"/>
        <v>0.18402777777778201</v>
      </c>
      <c r="Y59" s="54">
        <f t="shared" si="17"/>
        <v>0.170138888888893</v>
      </c>
      <c r="Z59" s="197"/>
      <c r="AB59" s="60"/>
      <c r="AC59" s="61">
        <v>55</v>
      </c>
      <c r="AD59" s="52">
        <f t="shared" si="2"/>
        <v>0.18402777777778201</v>
      </c>
      <c r="AE59" s="54">
        <f t="shared" si="18"/>
        <v>0.170138888888893</v>
      </c>
      <c r="AF59" s="197"/>
    </row>
    <row r="60" spans="1:32" x14ac:dyDescent="0.25">
      <c r="A60" s="4" t="s">
        <v>113</v>
      </c>
      <c r="B60" s="15">
        <f>((B59)*(H37))</f>
        <v>0</v>
      </c>
      <c r="C60" s="244"/>
      <c r="G60" s="272" t="s">
        <v>143</v>
      </c>
      <c r="H60" s="249">
        <v>0</v>
      </c>
      <c r="I60" s="248"/>
      <c r="K60" s="4">
        <v>570</v>
      </c>
      <c r="L60" s="15">
        <f t="shared" si="3"/>
        <v>0.21875</v>
      </c>
      <c r="P60" s="97"/>
      <c r="Q60" s="61">
        <v>57</v>
      </c>
      <c r="R60" s="28">
        <f t="shared" si="0"/>
        <v>0.146875000000002</v>
      </c>
      <c r="S60" s="54">
        <f t="shared" si="19"/>
        <v>0.11909722222222401</v>
      </c>
      <c r="T60" s="623"/>
      <c r="V60" s="60"/>
      <c r="W60" s="61">
        <v>56</v>
      </c>
      <c r="X60" s="52">
        <f t="shared" si="1"/>
        <v>0.18819444444444899</v>
      </c>
      <c r="Y60" s="54">
        <f t="shared" si="17"/>
        <v>0.17430555555555999</v>
      </c>
      <c r="Z60" s="197"/>
      <c r="AB60" s="60"/>
      <c r="AC60" s="61">
        <v>56</v>
      </c>
      <c r="AD60" s="52">
        <f t="shared" si="2"/>
        <v>0.18819444444444899</v>
      </c>
      <c r="AE60" s="54">
        <f t="shared" si="18"/>
        <v>0.17430555555555999</v>
      </c>
      <c r="AF60" s="197"/>
    </row>
    <row r="61" spans="1:32" x14ac:dyDescent="0.25">
      <c r="A61" s="4" t="s">
        <v>109</v>
      </c>
      <c r="B61" s="15" t="e">
        <f>H43*E5</f>
        <v>#DIV/0!</v>
      </c>
      <c r="C61" s="244"/>
      <c r="D61" s="255"/>
      <c r="G61" s="272" t="s">
        <v>144</v>
      </c>
      <c r="H61" s="250">
        <v>3.4722222222222202E-4</v>
      </c>
      <c r="I61" s="251">
        <v>3.4722222222222202E-4</v>
      </c>
      <c r="K61" s="4">
        <v>580</v>
      </c>
      <c r="L61" s="15">
        <f t="shared" si="3"/>
        <v>0.22222222222222199</v>
      </c>
      <c r="P61" s="97"/>
      <c r="Q61" s="61">
        <v>58</v>
      </c>
      <c r="R61" s="28">
        <f t="shared" si="0"/>
        <v>0.14965277777777999</v>
      </c>
      <c r="S61" s="54">
        <f t="shared" si="19"/>
        <v>0.121875000000002</v>
      </c>
      <c r="T61" s="623"/>
      <c r="V61" s="60"/>
      <c r="W61" s="61">
        <v>57</v>
      </c>
      <c r="X61" s="52">
        <f t="shared" si="1"/>
        <v>0.19236111111111601</v>
      </c>
      <c r="Y61" s="54">
        <f t="shared" si="17"/>
        <v>0.178472222222227</v>
      </c>
      <c r="Z61" s="197"/>
      <c r="AB61" s="60"/>
      <c r="AC61" s="61">
        <v>57</v>
      </c>
      <c r="AD61" s="52">
        <f t="shared" si="2"/>
        <v>0.19236111111111601</v>
      </c>
      <c r="AE61" s="54">
        <f t="shared" si="18"/>
        <v>0.178472222222227</v>
      </c>
      <c r="AF61" s="197"/>
    </row>
    <row r="62" spans="1:32" x14ac:dyDescent="0.25">
      <c r="A62" s="4" t="s">
        <v>116</v>
      </c>
      <c r="B62" s="15" t="e">
        <f>B60*E5</f>
        <v>#DIV/0!</v>
      </c>
      <c r="C62" s="244"/>
      <c r="G62" s="272" t="s">
        <v>145</v>
      </c>
      <c r="H62" s="250">
        <v>8.1018518518518503E-5</v>
      </c>
      <c r="I62" s="251">
        <v>8.1018518518518503E-5</v>
      </c>
      <c r="K62" s="4">
        <v>590</v>
      </c>
      <c r="L62" s="15">
        <f t="shared" si="3"/>
        <v>0.225694444444444</v>
      </c>
      <c r="P62" s="97"/>
      <c r="Q62" s="61">
        <v>59</v>
      </c>
      <c r="R62" s="28">
        <f t="shared" si="0"/>
        <v>0.15243055555555801</v>
      </c>
      <c r="S62" s="54">
        <f t="shared" si="19"/>
        <v>0.12465277777778</v>
      </c>
      <c r="T62" s="623"/>
      <c r="V62" s="60"/>
      <c r="W62" s="61">
        <v>58</v>
      </c>
      <c r="X62" s="52">
        <f t="shared" si="1"/>
        <v>0.19652777777778299</v>
      </c>
      <c r="Y62" s="54">
        <f t="shared" si="17"/>
        <v>0.18263888888889401</v>
      </c>
      <c r="Z62" s="197"/>
      <c r="AB62" s="60"/>
      <c r="AC62" s="61">
        <v>58</v>
      </c>
      <c r="AD62" s="52">
        <f t="shared" si="2"/>
        <v>0.19652777777778299</v>
      </c>
      <c r="AE62" s="54">
        <f t="shared" si="18"/>
        <v>0.18263888888889401</v>
      </c>
      <c r="AF62" s="197"/>
    </row>
    <row r="63" spans="1:32" x14ac:dyDescent="0.25">
      <c r="A63" s="4" t="s">
        <v>119</v>
      </c>
      <c r="B63" s="15" t="e">
        <f>(B60*E5)+B61</f>
        <v>#DIV/0!</v>
      </c>
      <c r="C63" s="387"/>
      <c r="G63" s="272" t="s">
        <v>146</v>
      </c>
      <c r="H63" s="250">
        <v>0</v>
      </c>
      <c r="I63" s="251">
        <v>6.9444444444444404E-4</v>
      </c>
      <c r="K63" s="4">
        <v>600</v>
      </c>
      <c r="L63" s="15">
        <f t="shared" si="3"/>
        <v>0.22916666666666699</v>
      </c>
      <c r="P63" s="97"/>
      <c r="Q63" s="61">
        <v>60</v>
      </c>
      <c r="R63" s="28">
        <f t="shared" si="0"/>
        <v>0.155208333333336</v>
      </c>
      <c r="S63" s="54">
        <f t="shared" si="19"/>
        <v>0.12743055555555799</v>
      </c>
      <c r="T63" s="624"/>
      <c r="V63" s="60"/>
      <c r="W63" s="61">
        <v>59</v>
      </c>
      <c r="X63" s="52">
        <f t="shared" si="1"/>
        <v>0.20069444444445</v>
      </c>
      <c r="Y63" s="54">
        <f t="shared" si="17"/>
        <v>0.186805555555561</v>
      </c>
      <c r="Z63" s="197"/>
      <c r="AB63" s="60"/>
      <c r="AC63" s="61">
        <v>59</v>
      </c>
      <c r="AD63" s="52">
        <f t="shared" si="2"/>
        <v>0.20069444444445</v>
      </c>
      <c r="AE63" s="54">
        <f t="shared" si="18"/>
        <v>0.186805555555561</v>
      </c>
      <c r="AF63" s="197"/>
    </row>
    <row r="64" spans="1:32" x14ac:dyDescent="0.25">
      <c r="A64" s="4" t="s">
        <v>122</v>
      </c>
      <c r="B64" s="38">
        <f>$H$57</f>
        <v>1.38888888888889E-2</v>
      </c>
      <c r="C64" s="387"/>
      <c r="K64" s="4">
        <v>610</v>
      </c>
      <c r="L64" s="15">
        <f t="shared" si="3"/>
        <v>0.23263888888888901</v>
      </c>
      <c r="P64" s="98" t="s">
        <v>147</v>
      </c>
      <c r="Q64" s="82">
        <v>61</v>
      </c>
      <c r="R64" s="83">
        <f t="shared" si="0"/>
        <v>0.15833333333333599</v>
      </c>
      <c r="S64" s="84">
        <f t="shared" ref="S64:S73" si="20">S63+$T$64</f>
        <v>0.13055555555555801</v>
      </c>
      <c r="T64" s="642">
        <v>3.1250000000000002E-3</v>
      </c>
      <c r="V64" s="60"/>
      <c r="W64" s="61">
        <v>60</v>
      </c>
      <c r="X64" s="52">
        <f t="shared" si="1"/>
        <v>0.20486111111111699</v>
      </c>
      <c r="Y64" s="54">
        <f t="shared" si="17"/>
        <v>0.19097222222222801</v>
      </c>
      <c r="Z64" s="197"/>
      <c r="AB64" s="60"/>
      <c r="AC64" s="61">
        <v>60</v>
      </c>
      <c r="AD64" s="52">
        <f t="shared" si="2"/>
        <v>0.20486111111111699</v>
      </c>
      <c r="AE64" s="54">
        <f t="shared" si="18"/>
        <v>0.19097222222222801</v>
      </c>
      <c r="AF64" s="197"/>
    </row>
    <row r="65" spans="1:32" x14ac:dyDescent="0.25">
      <c r="A65" s="3" t="s">
        <v>124</v>
      </c>
      <c r="B65" s="37" t="e">
        <f>B64+B63</f>
        <v>#DIV/0!</v>
      </c>
      <c r="C65" s="387"/>
      <c r="G65" s="46"/>
      <c r="H65" s="256"/>
      <c r="K65" s="4">
        <v>620</v>
      </c>
      <c r="L65" s="15">
        <f t="shared" si="3"/>
        <v>0.23611111111111099</v>
      </c>
      <c r="P65" s="98"/>
      <c r="Q65" s="82">
        <v>62</v>
      </c>
      <c r="R65" s="83">
        <f t="shared" si="0"/>
        <v>0.16145833333333601</v>
      </c>
      <c r="S65" s="84">
        <f t="shared" si="20"/>
        <v>0.13368055555555799</v>
      </c>
      <c r="T65" s="623"/>
      <c r="V65" s="81" t="s">
        <v>148</v>
      </c>
      <c r="W65" s="82">
        <v>61</v>
      </c>
      <c r="X65" s="52">
        <f t="shared" si="1"/>
        <v>0.209027777777784</v>
      </c>
      <c r="Y65" s="84">
        <f t="shared" ref="Y65:Y74" si="21">Y64+$Z$65</f>
        <v>0.195138888888895</v>
      </c>
      <c r="Z65" s="188">
        <v>4.1666666666666701E-3</v>
      </c>
      <c r="AB65" s="81" t="s">
        <v>148</v>
      </c>
      <c r="AC65" s="82">
        <v>61</v>
      </c>
      <c r="AD65" s="52">
        <f t="shared" si="2"/>
        <v>0.209027777777784</v>
      </c>
      <c r="AE65" s="84">
        <f t="shared" ref="AE65:AE74" si="22">AE64+$AF$65</f>
        <v>0.195138888888895</v>
      </c>
      <c r="AF65" s="188">
        <v>4.1666666666666701E-3</v>
      </c>
    </row>
    <row r="66" spans="1:32" x14ac:dyDescent="0.25">
      <c r="A66" s="265" t="s">
        <v>126</v>
      </c>
      <c r="B66" s="265">
        <f>E7</f>
        <v>0</v>
      </c>
      <c r="C66" s="387"/>
      <c r="D66" s="47"/>
      <c r="E66" s="47"/>
      <c r="F66" s="47"/>
      <c r="K66" s="4">
        <v>630</v>
      </c>
      <c r="L66" s="15">
        <f t="shared" si="3"/>
        <v>0.23958333333333301</v>
      </c>
      <c r="P66" s="98"/>
      <c r="Q66" s="82">
        <v>63</v>
      </c>
      <c r="R66" s="83">
        <f t="shared" si="0"/>
        <v>0.164583333333336</v>
      </c>
      <c r="S66" s="84">
        <f t="shared" si="20"/>
        <v>0.13680555555555801</v>
      </c>
      <c r="T66" s="623"/>
      <c r="V66" s="81"/>
      <c r="W66" s="82">
        <v>62</v>
      </c>
      <c r="X66" s="52">
        <f t="shared" si="1"/>
        <v>0.21319444444445099</v>
      </c>
      <c r="Y66" s="84">
        <f t="shared" si="21"/>
        <v>0.19930555555556201</v>
      </c>
      <c r="Z66" s="189"/>
      <c r="AB66" s="81"/>
      <c r="AC66" s="82">
        <v>62</v>
      </c>
      <c r="AD66" s="52">
        <f t="shared" si="2"/>
        <v>0.21319444444445099</v>
      </c>
      <c r="AE66" s="84">
        <f t="shared" si="22"/>
        <v>0.19930555555556201</v>
      </c>
      <c r="AF66" s="189"/>
    </row>
    <row r="67" spans="1:32" x14ac:dyDescent="0.25">
      <c r="A67" s="3" t="s">
        <v>128</v>
      </c>
      <c r="B67" s="37" t="str">
        <f>IF(B66&gt;0,B63+0,"0")</f>
        <v>0</v>
      </c>
      <c r="C67" s="387" t="s">
        <v>149</v>
      </c>
      <c r="D67" s="47"/>
      <c r="E67" s="47"/>
      <c r="F67" s="47"/>
      <c r="K67" s="4">
        <v>640</v>
      </c>
      <c r="L67" s="15">
        <f t="shared" si="3"/>
        <v>0.243055555555555</v>
      </c>
      <c r="P67" s="98"/>
      <c r="Q67" s="82">
        <v>64</v>
      </c>
      <c r="R67" s="83">
        <f t="shared" si="0"/>
        <v>0.16770833333333601</v>
      </c>
      <c r="S67" s="84">
        <f t="shared" si="20"/>
        <v>0.139930555555558</v>
      </c>
      <c r="T67" s="623"/>
      <c r="V67" s="81"/>
      <c r="W67" s="82">
        <v>63</v>
      </c>
      <c r="X67" s="52">
        <f t="shared" si="1"/>
        <v>0.217361111111118</v>
      </c>
      <c r="Y67" s="84">
        <f t="shared" si="21"/>
        <v>0.20347222222222899</v>
      </c>
      <c r="Z67" s="189"/>
      <c r="AB67" s="81"/>
      <c r="AC67" s="82">
        <v>63</v>
      </c>
      <c r="AD67" s="52">
        <f t="shared" si="2"/>
        <v>0.217361111111118</v>
      </c>
      <c r="AE67" s="84">
        <f t="shared" si="22"/>
        <v>0.20347222222222899</v>
      </c>
      <c r="AF67" s="189"/>
    </row>
    <row r="68" spans="1:32" x14ac:dyDescent="0.25">
      <c r="A68" s="3" t="s">
        <v>130</v>
      </c>
      <c r="B68" s="37">
        <f>B66*B64</f>
        <v>0</v>
      </c>
      <c r="C68" s="387"/>
      <c r="K68" s="4">
        <v>650</v>
      </c>
      <c r="L68" s="15">
        <f t="shared" si="3"/>
        <v>0.24652777777777801</v>
      </c>
      <c r="P68" s="98"/>
      <c r="Q68" s="82">
        <v>65</v>
      </c>
      <c r="R68" s="83">
        <f t="shared" si="0"/>
        <v>0.170833333333336</v>
      </c>
      <c r="S68" s="84">
        <f t="shared" si="20"/>
        <v>0.14305555555555799</v>
      </c>
      <c r="T68" s="623"/>
      <c r="V68" s="81"/>
      <c r="W68" s="82">
        <v>64</v>
      </c>
      <c r="X68" s="52">
        <f t="shared" si="1"/>
        <v>0.22152777777778501</v>
      </c>
      <c r="Y68" s="84">
        <f t="shared" si="21"/>
        <v>0.20763888888889601</v>
      </c>
      <c r="Z68" s="189"/>
      <c r="AB68" s="81"/>
      <c r="AC68" s="82">
        <v>64</v>
      </c>
      <c r="AD68" s="52">
        <f t="shared" si="2"/>
        <v>0.22152777777778501</v>
      </c>
      <c r="AE68" s="84">
        <f t="shared" si="22"/>
        <v>0.20763888888889601</v>
      </c>
      <c r="AF68" s="189"/>
    </row>
    <row r="69" spans="1:32" x14ac:dyDescent="0.25">
      <c r="A69" s="3" t="s">
        <v>132</v>
      </c>
      <c r="B69" s="37">
        <f>B67+B68</f>
        <v>0</v>
      </c>
      <c r="C69" s="387"/>
      <c r="K69" s="4">
        <v>660</v>
      </c>
      <c r="L69" s="15">
        <f t="shared" si="3"/>
        <v>0.25</v>
      </c>
      <c r="P69" s="98"/>
      <c r="Q69" s="82">
        <v>66</v>
      </c>
      <c r="R69" s="83">
        <f t="shared" ref="R69:R132" si="23">$R$4+S69</f>
        <v>0.17395833333333599</v>
      </c>
      <c r="S69" s="84">
        <f t="shared" si="20"/>
        <v>0.14618055555555801</v>
      </c>
      <c r="T69" s="623"/>
      <c r="V69" s="81"/>
      <c r="W69" s="82">
        <v>65</v>
      </c>
      <c r="X69" s="52">
        <f t="shared" si="1"/>
        <v>0.225694444444452</v>
      </c>
      <c r="Y69" s="84">
        <f t="shared" si="21"/>
        <v>0.21180555555556299</v>
      </c>
      <c r="Z69" s="189"/>
      <c r="AB69" s="81"/>
      <c r="AC69" s="82">
        <v>65</v>
      </c>
      <c r="AD69" s="52">
        <f t="shared" si="2"/>
        <v>0.225694444444452</v>
      </c>
      <c r="AE69" s="84">
        <f t="shared" si="22"/>
        <v>0.21180555555556299</v>
      </c>
      <c r="AF69" s="189"/>
    </row>
    <row r="70" spans="1:32" x14ac:dyDescent="0.25">
      <c r="A70" s="3" t="s">
        <v>134</v>
      </c>
      <c r="B70" s="37" t="e">
        <f>(B65+B69)/E5</f>
        <v>#DIV/0!</v>
      </c>
      <c r="C70" s="380">
        <f>B72*24</f>
        <v>0</v>
      </c>
      <c r="G70" s="46"/>
      <c r="K70" s="4">
        <v>670</v>
      </c>
      <c r="L70" s="15">
        <f t="shared" si="3"/>
        <v>0.25347222222222199</v>
      </c>
      <c r="P70" s="98"/>
      <c r="Q70" s="82">
        <v>67</v>
      </c>
      <c r="R70" s="83">
        <f t="shared" si="23"/>
        <v>0.17708333333333601</v>
      </c>
      <c r="S70" s="84">
        <f t="shared" si="20"/>
        <v>0.14930555555555799</v>
      </c>
      <c r="T70" s="623"/>
      <c r="V70" s="81"/>
      <c r="W70" s="82">
        <v>66</v>
      </c>
      <c r="X70" s="52">
        <f t="shared" ref="X70:X133" si="24">$X$5+Y70</f>
        <v>0.22986111111111901</v>
      </c>
      <c r="Y70" s="84">
        <f t="shared" si="21"/>
        <v>0.21597222222223</v>
      </c>
      <c r="Z70" s="189"/>
      <c r="AB70" s="81"/>
      <c r="AC70" s="82">
        <v>66</v>
      </c>
      <c r="AD70" s="52">
        <f t="shared" ref="AD70:AD133" si="25">$AD$5+AE70</f>
        <v>0.22986111111111901</v>
      </c>
      <c r="AE70" s="84">
        <f t="shared" si="22"/>
        <v>0.21597222222223</v>
      </c>
      <c r="AF70" s="189"/>
    </row>
    <row r="71" spans="1:32" x14ac:dyDescent="0.25">
      <c r="A71" s="4" t="s">
        <v>150</v>
      </c>
      <c r="B71" s="37" t="e">
        <f>B65+B69</f>
        <v>#DIV/0!</v>
      </c>
      <c r="C71" s="381" t="s">
        <v>37</v>
      </c>
      <c r="G71" s="46"/>
      <c r="K71" s="4">
        <v>680</v>
      </c>
      <c r="L71" s="15">
        <f t="shared" si="3"/>
        <v>0.25694444444444398</v>
      </c>
      <c r="P71" s="98"/>
      <c r="Q71" s="82">
        <v>68</v>
      </c>
      <c r="R71" s="83">
        <f t="shared" si="23"/>
        <v>0.180208333333336</v>
      </c>
      <c r="S71" s="84">
        <f t="shared" si="20"/>
        <v>0.15243055555555801</v>
      </c>
      <c r="T71" s="623"/>
      <c r="V71" s="81"/>
      <c r="W71" s="82">
        <v>67</v>
      </c>
      <c r="X71" s="52">
        <f t="shared" si="24"/>
        <v>0.23402777777778599</v>
      </c>
      <c r="Y71" s="84">
        <f t="shared" si="21"/>
        <v>0.22013888888889699</v>
      </c>
      <c r="Z71" s="189"/>
      <c r="AB71" s="81"/>
      <c r="AC71" s="82">
        <v>67</v>
      </c>
      <c r="AD71" s="52">
        <f t="shared" si="25"/>
        <v>0.23402777777778599</v>
      </c>
      <c r="AE71" s="84">
        <f t="shared" si="22"/>
        <v>0.22013888888889699</v>
      </c>
      <c r="AF71" s="189"/>
    </row>
    <row r="72" spans="1:32" x14ac:dyDescent="0.25">
      <c r="A72" s="3" t="s">
        <v>138</v>
      </c>
      <c r="B72" s="28">
        <f>IF(E13&gt;0,B71,0)</f>
        <v>0</v>
      </c>
      <c r="C72" s="382">
        <f>C70/7</f>
        <v>0</v>
      </c>
      <c r="K72" s="4">
        <v>690</v>
      </c>
      <c r="L72" s="15">
        <f t="shared" si="3"/>
        <v>0.26041666666666702</v>
      </c>
      <c r="P72" s="98"/>
      <c r="Q72" s="82">
        <v>69</v>
      </c>
      <c r="R72" s="83">
        <f t="shared" si="23"/>
        <v>0.18333333333333601</v>
      </c>
      <c r="S72" s="84">
        <f t="shared" si="20"/>
        <v>0.155555555555558</v>
      </c>
      <c r="T72" s="623"/>
      <c r="V72" s="81"/>
      <c r="W72" s="82">
        <v>68</v>
      </c>
      <c r="X72" s="52">
        <f t="shared" si="24"/>
        <v>0.23819444444445301</v>
      </c>
      <c r="Y72" s="84">
        <f t="shared" si="21"/>
        <v>0.224305555555564</v>
      </c>
      <c r="Z72" s="189"/>
      <c r="AB72" s="81"/>
      <c r="AC72" s="82">
        <v>68</v>
      </c>
      <c r="AD72" s="52">
        <f t="shared" si="25"/>
        <v>0.23819444444445301</v>
      </c>
      <c r="AE72" s="84">
        <f t="shared" si="22"/>
        <v>0.224305555555564</v>
      </c>
      <c r="AF72" s="189"/>
    </row>
    <row r="73" spans="1:32" ht="15" customHeight="1" thickBot="1" x14ac:dyDescent="0.3">
      <c r="A73" s="30"/>
      <c r="B73" s="30"/>
      <c r="C73" s="387"/>
      <c r="K73" s="4">
        <v>700</v>
      </c>
      <c r="L73" s="15">
        <f t="shared" ref="L73:L136" si="26">$L$6+(((K73-$K$6)/10)*$M$2)</f>
        <v>0.26388888888888901</v>
      </c>
      <c r="P73" s="98"/>
      <c r="Q73" s="82">
        <v>70</v>
      </c>
      <c r="R73" s="83">
        <f t="shared" si="23"/>
        <v>0.186458333333336</v>
      </c>
      <c r="S73" s="84">
        <f t="shared" si="20"/>
        <v>0.15868055555555799</v>
      </c>
      <c r="T73" s="624"/>
      <c r="V73" s="81"/>
      <c r="W73" s="82">
        <v>69</v>
      </c>
      <c r="X73" s="52">
        <f t="shared" si="24"/>
        <v>0.24236111111111999</v>
      </c>
      <c r="Y73" s="84">
        <f t="shared" si="21"/>
        <v>0.22847222222223099</v>
      </c>
      <c r="Z73" s="189"/>
      <c r="AB73" s="81"/>
      <c r="AC73" s="82">
        <v>69</v>
      </c>
      <c r="AD73" s="52">
        <f t="shared" si="25"/>
        <v>0.24236111111111999</v>
      </c>
      <c r="AE73" s="84">
        <f t="shared" si="22"/>
        <v>0.22847222222223099</v>
      </c>
      <c r="AF73" s="189"/>
    </row>
    <row r="74" spans="1:32" x14ac:dyDescent="0.25">
      <c r="A74" s="8" t="s">
        <v>97</v>
      </c>
      <c r="B74" s="36">
        <f>H39</f>
        <v>5.20833333333333E-4</v>
      </c>
      <c r="C74" s="387"/>
      <c r="K74" s="4">
        <v>710</v>
      </c>
      <c r="L74" s="15">
        <f t="shared" si="26"/>
        <v>0.26736111111111099</v>
      </c>
      <c r="P74" s="99" t="s">
        <v>151</v>
      </c>
      <c r="Q74" s="65">
        <v>71</v>
      </c>
      <c r="R74" s="57">
        <f t="shared" si="23"/>
        <v>0.18993055555555799</v>
      </c>
      <c r="S74" s="58">
        <f>S73+$T$74</f>
        <v>0.16215277777778001</v>
      </c>
      <c r="T74" s="635">
        <v>3.4722222222222199E-3</v>
      </c>
      <c r="V74" s="81"/>
      <c r="W74" s="82">
        <v>70</v>
      </c>
      <c r="X74" s="52">
        <f t="shared" si="24"/>
        <v>0.246527777777787</v>
      </c>
      <c r="Y74" s="84">
        <f t="shared" si="21"/>
        <v>0.232638888888898</v>
      </c>
      <c r="Z74" s="190"/>
      <c r="AB74" s="81"/>
      <c r="AC74" s="82">
        <v>70</v>
      </c>
      <c r="AD74" s="52">
        <f t="shared" si="25"/>
        <v>0.246527777777787</v>
      </c>
      <c r="AE74" s="84">
        <f t="shared" si="22"/>
        <v>0.232638888888898</v>
      </c>
      <c r="AF74" s="190"/>
    </row>
    <row r="75" spans="1:32" x14ac:dyDescent="0.25">
      <c r="A75" s="5" t="s">
        <v>152</v>
      </c>
      <c r="B75" s="4">
        <f>E14*E4</f>
        <v>0</v>
      </c>
      <c r="C75" s="387"/>
      <c r="K75" s="4">
        <v>720</v>
      </c>
      <c r="L75" s="15">
        <f t="shared" si="26"/>
        <v>0.27083333333333298</v>
      </c>
      <c r="P75" s="99"/>
      <c r="Q75" s="65">
        <v>72</v>
      </c>
      <c r="R75" s="57">
        <f t="shared" si="23"/>
        <v>0.19305555555555801</v>
      </c>
      <c r="S75" s="58">
        <f t="shared" ref="S75:S83" si="27">S74+$T$64</f>
        <v>0.16527777777777999</v>
      </c>
      <c r="T75" s="623"/>
      <c r="V75" s="64" t="s">
        <v>153</v>
      </c>
      <c r="W75" s="65">
        <v>71</v>
      </c>
      <c r="X75" s="52">
        <f t="shared" si="24"/>
        <v>0.25138888888889799</v>
      </c>
      <c r="Y75" s="58">
        <f t="shared" ref="Y75:Y84" si="28">Y74+$Z$75</f>
        <v>0.23750000000000901</v>
      </c>
      <c r="Z75" s="191">
        <v>4.8611111111111103E-3</v>
      </c>
      <c r="AB75" s="64" t="s">
        <v>153</v>
      </c>
      <c r="AC75" s="65">
        <v>71</v>
      </c>
      <c r="AD75" s="52">
        <f t="shared" si="25"/>
        <v>0.25138888888889799</v>
      </c>
      <c r="AE75" s="58">
        <f t="shared" ref="AE75:AE84" si="29">AE74+$AF$75</f>
        <v>0.23750000000000901</v>
      </c>
      <c r="AF75" s="191">
        <v>4.8611111111111103E-3</v>
      </c>
    </row>
    <row r="76" spans="1:32" x14ac:dyDescent="0.25">
      <c r="A76" s="4" t="s">
        <v>154</v>
      </c>
      <c r="B76" s="116">
        <f>H58</f>
        <v>1.38888888888889E-2</v>
      </c>
      <c r="C76" s="244"/>
      <c r="K76" s="4">
        <v>730</v>
      </c>
      <c r="L76" s="15">
        <f t="shared" si="26"/>
        <v>0.27430555555555503</v>
      </c>
      <c r="P76" s="99"/>
      <c r="Q76" s="65">
        <v>73</v>
      </c>
      <c r="R76" s="57">
        <f t="shared" si="23"/>
        <v>0.19618055555555799</v>
      </c>
      <c r="S76" s="58">
        <f t="shared" si="27"/>
        <v>0.16840277777778001</v>
      </c>
      <c r="T76" s="623"/>
      <c r="V76" s="64"/>
      <c r="W76" s="65">
        <v>72</v>
      </c>
      <c r="X76" s="52">
        <f t="shared" si="24"/>
        <v>0.25625000000000903</v>
      </c>
      <c r="Y76" s="58">
        <f t="shared" si="28"/>
        <v>0.24236111111111999</v>
      </c>
      <c r="Z76" s="192"/>
      <c r="AB76" s="64"/>
      <c r="AC76" s="65">
        <v>72</v>
      </c>
      <c r="AD76" s="52">
        <f t="shared" si="25"/>
        <v>0.25625000000000903</v>
      </c>
      <c r="AE76" s="58">
        <f t="shared" si="29"/>
        <v>0.24236111111111999</v>
      </c>
      <c r="AF76" s="192"/>
    </row>
    <row r="77" spans="1:32" x14ac:dyDescent="0.25">
      <c r="A77" s="5" t="s">
        <v>155</v>
      </c>
      <c r="B77" s="16" t="e">
        <f>(B74*B75)/E4</f>
        <v>#DIV/0!</v>
      </c>
      <c r="C77" s="380">
        <f>B79*24</f>
        <v>0</v>
      </c>
      <c r="K77" s="4">
        <v>740</v>
      </c>
      <c r="L77" s="15">
        <f t="shared" si="26"/>
        <v>0.27777777777777801</v>
      </c>
      <c r="P77" s="99"/>
      <c r="Q77" s="65">
        <v>74</v>
      </c>
      <c r="R77" s="57">
        <f t="shared" si="23"/>
        <v>0.19930555555555801</v>
      </c>
      <c r="S77" s="58">
        <f t="shared" si="27"/>
        <v>0.17152777777778</v>
      </c>
      <c r="T77" s="623"/>
      <c r="V77" s="64"/>
      <c r="W77" s="65">
        <v>73</v>
      </c>
      <c r="X77" s="52">
        <f t="shared" si="24"/>
        <v>0.26111111111112001</v>
      </c>
      <c r="Y77" s="58">
        <f t="shared" si="28"/>
        <v>0.247222222222231</v>
      </c>
      <c r="Z77" s="192"/>
      <c r="AB77" s="64"/>
      <c r="AC77" s="65">
        <v>73</v>
      </c>
      <c r="AD77" s="52">
        <f t="shared" si="25"/>
        <v>0.26111111111112001</v>
      </c>
      <c r="AE77" s="58">
        <f t="shared" si="29"/>
        <v>0.247222222222231</v>
      </c>
      <c r="AF77" s="192"/>
    </row>
    <row r="78" spans="1:32" ht="15" customHeight="1" thickBot="1" x14ac:dyDescent="0.3">
      <c r="A78" s="41" t="s">
        <v>156</v>
      </c>
      <c r="B78" s="326">
        <f>(B74*B75)+B76</f>
        <v>1.38888888888889E-2</v>
      </c>
      <c r="C78" s="381" t="s">
        <v>37</v>
      </c>
      <c r="K78" s="4">
        <v>750</v>
      </c>
      <c r="L78" s="15">
        <f t="shared" si="26"/>
        <v>0.28125</v>
      </c>
      <c r="P78" s="99"/>
      <c r="Q78" s="65">
        <v>75</v>
      </c>
      <c r="R78" s="57">
        <f t="shared" si="23"/>
        <v>0.202430555555558</v>
      </c>
      <c r="S78" s="58">
        <f t="shared" si="27"/>
        <v>0.17465277777777999</v>
      </c>
      <c r="T78" s="623"/>
      <c r="V78" s="64"/>
      <c r="W78" s="65">
        <v>74</v>
      </c>
      <c r="X78" s="52">
        <f t="shared" si="24"/>
        <v>0.26597222222223099</v>
      </c>
      <c r="Y78" s="58">
        <f t="shared" si="28"/>
        <v>0.25208333333334199</v>
      </c>
      <c r="Z78" s="192"/>
      <c r="AB78" s="64"/>
      <c r="AC78" s="65">
        <v>74</v>
      </c>
      <c r="AD78" s="52">
        <f t="shared" si="25"/>
        <v>0.26597222222223099</v>
      </c>
      <c r="AE78" s="58">
        <f t="shared" si="29"/>
        <v>0.25208333333334199</v>
      </c>
      <c r="AF78" s="192"/>
    </row>
    <row r="79" spans="1:32" x14ac:dyDescent="0.25">
      <c r="A79" s="331" t="s">
        <v>157</v>
      </c>
      <c r="B79" s="28">
        <f>IF(E14&gt;0,B78,0)</f>
        <v>0</v>
      </c>
      <c r="C79" s="382">
        <f>C77/7</f>
        <v>0</v>
      </c>
      <c r="K79" s="4">
        <v>760</v>
      </c>
      <c r="L79" s="15">
        <f t="shared" si="26"/>
        <v>0.28472222222222199</v>
      </c>
      <c r="P79" s="99"/>
      <c r="Q79" s="65">
        <v>76</v>
      </c>
      <c r="R79" s="57">
        <f t="shared" si="23"/>
        <v>0.20555555555555799</v>
      </c>
      <c r="S79" s="58">
        <f t="shared" si="27"/>
        <v>0.17777777777778001</v>
      </c>
      <c r="T79" s="623"/>
      <c r="V79" s="64"/>
      <c r="W79" s="65">
        <v>75</v>
      </c>
      <c r="X79" s="52">
        <f t="shared" si="24"/>
        <v>0.27083333333334197</v>
      </c>
      <c r="Y79" s="58">
        <f t="shared" si="28"/>
        <v>0.25694444444445302</v>
      </c>
      <c r="Z79" s="192"/>
      <c r="AB79" s="64"/>
      <c r="AC79" s="65">
        <v>75</v>
      </c>
      <c r="AD79" s="52">
        <f t="shared" si="25"/>
        <v>0.27083333333334197</v>
      </c>
      <c r="AE79" s="58">
        <f t="shared" si="29"/>
        <v>0.25694444444445302</v>
      </c>
      <c r="AF79" s="192"/>
    </row>
    <row r="80" spans="1:32" ht="15" customHeight="1" thickBot="1" x14ac:dyDescent="0.3">
      <c r="A80" s="30"/>
      <c r="B80" s="33"/>
      <c r="C80" s="242"/>
      <c r="K80" s="4">
        <v>770</v>
      </c>
      <c r="L80" s="15">
        <f t="shared" si="26"/>
        <v>0.28819444444444398</v>
      </c>
      <c r="P80" s="99"/>
      <c r="Q80" s="65">
        <v>77</v>
      </c>
      <c r="R80" s="57">
        <f t="shared" si="23"/>
        <v>0.20868055555555801</v>
      </c>
      <c r="S80" s="58">
        <f t="shared" si="27"/>
        <v>0.18090277777777999</v>
      </c>
      <c r="T80" s="623"/>
      <c r="V80" s="64"/>
      <c r="W80" s="65">
        <v>76</v>
      </c>
      <c r="X80" s="52">
        <f t="shared" si="24"/>
        <v>0.27569444444445301</v>
      </c>
      <c r="Y80" s="58">
        <f t="shared" si="28"/>
        <v>0.26180555555556401</v>
      </c>
      <c r="Z80" s="192"/>
      <c r="AB80" s="64"/>
      <c r="AC80" s="65">
        <v>76</v>
      </c>
      <c r="AD80" s="52">
        <f t="shared" si="25"/>
        <v>0.27569444444445301</v>
      </c>
      <c r="AE80" s="58">
        <f t="shared" si="29"/>
        <v>0.26180555555556401</v>
      </c>
      <c r="AF80" s="192"/>
    </row>
    <row r="81" spans="1:32" x14ac:dyDescent="0.25">
      <c r="A81" s="8" t="s">
        <v>12</v>
      </c>
      <c r="B81" s="20" t="e">
        <f>INDEX(L3:L415,MATCH(E5,K3:K415,1))</f>
        <v>#DIV/0!</v>
      </c>
      <c r="C81" s="244"/>
      <c r="K81" s="4">
        <v>780</v>
      </c>
      <c r="L81" s="15">
        <f t="shared" si="26"/>
        <v>0.29166666666666602</v>
      </c>
      <c r="P81" s="99"/>
      <c r="Q81" s="65">
        <v>78</v>
      </c>
      <c r="R81" s="57">
        <f t="shared" si="23"/>
        <v>0.21180555555555799</v>
      </c>
      <c r="S81" s="58">
        <f t="shared" si="27"/>
        <v>0.18402777777778001</v>
      </c>
      <c r="T81" s="623"/>
      <c r="V81" s="64"/>
      <c r="W81" s="65">
        <v>77</v>
      </c>
      <c r="X81" s="52">
        <f t="shared" si="24"/>
        <v>0.280555555555564</v>
      </c>
      <c r="Y81" s="58">
        <f t="shared" si="28"/>
        <v>0.26666666666667499</v>
      </c>
      <c r="Z81" s="192"/>
      <c r="AB81" s="64"/>
      <c r="AC81" s="65">
        <v>77</v>
      </c>
      <c r="AD81" s="52">
        <f t="shared" si="25"/>
        <v>0.280555555555564</v>
      </c>
      <c r="AE81" s="58">
        <f t="shared" si="29"/>
        <v>0.26666666666667499</v>
      </c>
      <c r="AF81" s="192"/>
    </row>
    <row r="82" spans="1:32" x14ac:dyDescent="0.25">
      <c r="A82" s="5" t="s">
        <v>158</v>
      </c>
      <c r="B82" s="16" t="e">
        <f>(B81)</f>
        <v>#DIV/0!</v>
      </c>
      <c r="C82" s="244"/>
      <c r="K82" s="4">
        <v>790</v>
      </c>
      <c r="L82" s="15">
        <f t="shared" si="26"/>
        <v>0.29513888888888901</v>
      </c>
      <c r="P82" s="99"/>
      <c r="Q82" s="65">
        <v>79</v>
      </c>
      <c r="R82" s="57">
        <f t="shared" si="23"/>
        <v>0.21493055555555801</v>
      </c>
      <c r="S82" s="58">
        <f t="shared" si="27"/>
        <v>0.18715277777778</v>
      </c>
      <c r="T82" s="623"/>
      <c r="V82" s="64"/>
      <c r="W82" s="65">
        <v>78</v>
      </c>
      <c r="X82" s="52">
        <f t="shared" si="24"/>
        <v>0.28541666666667498</v>
      </c>
      <c r="Y82" s="58">
        <f t="shared" si="28"/>
        <v>0.27152777777778597</v>
      </c>
      <c r="Z82" s="192"/>
      <c r="AB82" s="64"/>
      <c r="AC82" s="65">
        <v>78</v>
      </c>
      <c r="AD82" s="52">
        <f t="shared" si="25"/>
        <v>0.28541666666667498</v>
      </c>
      <c r="AE82" s="58">
        <f t="shared" si="29"/>
        <v>0.27152777777778597</v>
      </c>
      <c r="AF82" s="192"/>
    </row>
    <row r="83" spans="1:32" x14ac:dyDescent="0.25">
      <c r="A83" s="7" t="s">
        <v>126</v>
      </c>
      <c r="B83" s="6">
        <f>E7</f>
        <v>0</v>
      </c>
      <c r="C83" s="244"/>
      <c r="K83" s="4">
        <v>800</v>
      </c>
      <c r="L83" s="15">
        <f t="shared" si="26"/>
        <v>0.29861111111111099</v>
      </c>
      <c r="P83" s="99"/>
      <c r="Q83" s="65">
        <v>80</v>
      </c>
      <c r="R83" s="57">
        <f t="shared" si="23"/>
        <v>0.218055555555558</v>
      </c>
      <c r="S83" s="58">
        <f t="shared" si="27"/>
        <v>0.19027777777777999</v>
      </c>
      <c r="T83" s="624"/>
      <c r="V83" s="64"/>
      <c r="W83" s="65">
        <v>79</v>
      </c>
      <c r="X83" s="52">
        <f t="shared" si="24"/>
        <v>0.29027777777778602</v>
      </c>
      <c r="Y83" s="58">
        <f t="shared" si="28"/>
        <v>0.27638888888889701</v>
      </c>
      <c r="Z83" s="192"/>
      <c r="AB83" s="64"/>
      <c r="AC83" s="65">
        <v>79</v>
      </c>
      <c r="AD83" s="52">
        <f t="shared" si="25"/>
        <v>0.29027777777778602</v>
      </c>
      <c r="AE83" s="58">
        <f t="shared" si="29"/>
        <v>0.27638888888889701</v>
      </c>
      <c r="AF83" s="192"/>
    </row>
    <row r="84" spans="1:32" x14ac:dyDescent="0.25">
      <c r="A84" s="5" t="s">
        <v>159</v>
      </c>
      <c r="B84" s="16" t="e">
        <f>B82*B83</f>
        <v>#DIV/0!</v>
      </c>
      <c r="C84" s="244"/>
      <c r="K84" s="4">
        <v>810</v>
      </c>
      <c r="L84" s="15">
        <f t="shared" si="26"/>
        <v>0.30208333333333298</v>
      </c>
      <c r="P84" s="100" t="s">
        <v>160</v>
      </c>
      <c r="Q84" s="67">
        <v>81</v>
      </c>
      <c r="R84" s="80">
        <f t="shared" si="23"/>
        <v>0.22291666666666901</v>
      </c>
      <c r="S84" s="85">
        <f t="shared" ref="S84:S102" si="30">S83+$T$84</f>
        <v>0.195138888888891</v>
      </c>
      <c r="T84" s="630">
        <v>4.8611111111111103E-3</v>
      </c>
      <c r="V84" s="64"/>
      <c r="W84" s="65">
        <v>80</v>
      </c>
      <c r="X84" s="52">
        <f t="shared" si="24"/>
        <v>0.295138888888897</v>
      </c>
      <c r="Y84" s="58">
        <f t="shared" si="28"/>
        <v>0.28125000000000799</v>
      </c>
      <c r="Z84" s="193"/>
      <c r="AB84" s="64"/>
      <c r="AC84" s="65">
        <v>80</v>
      </c>
      <c r="AD84" s="52">
        <f t="shared" si="25"/>
        <v>0.295138888888897</v>
      </c>
      <c r="AE84" s="58">
        <f t="shared" si="29"/>
        <v>0.28125000000000799</v>
      </c>
      <c r="AF84" s="193"/>
    </row>
    <row r="85" spans="1:32" x14ac:dyDescent="0.25">
      <c r="A85" s="5" t="s">
        <v>161</v>
      </c>
      <c r="B85" s="16" t="e">
        <f>(B84)</f>
        <v>#DIV/0!</v>
      </c>
      <c r="C85" s="244"/>
      <c r="K85" s="4">
        <v>820</v>
      </c>
      <c r="L85" s="15">
        <f t="shared" si="26"/>
        <v>0.30555555555555503</v>
      </c>
      <c r="P85" s="100"/>
      <c r="Q85" s="67">
        <v>82</v>
      </c>
      <c r="R85" s="80">
        <f t="shared" si="23"/>
        <v>0.22777777777777999</v>
      </c>
      <c r="S85" s="85">
        <f t="shared" si="30"/>
        <v>0.20000000000000201</v>
      </c>
      <c r="T85" s="623"/>
      <c r="V85" s="66" t="s">
        <v>162</v>
      </c>
      <c r="W85" s="67">
        <v>81</v>
      </c>
      <c r="X85" s="52">
        <f t="shared" si="24"/>
        <v>0.30000000000000798</v>
      </c>
      <c r="Y85" s="85">
        <f t="shared" ref="Y85:Y103" si="31">Y84+$Z$85</f>
        <v>0.28611111111111898</v>
      </c>
      <c r="Z85" s="185">
        <v>4.8611111111111103E-3</v>
      </c>
      <c r="AB85" s="66" t="s">
        <v>162</v>
      </c>
      <c r="AC85" s="67">
        <v>81</v>
      </c>
      <c r="AD85" s="52">
        <f t="shared" si="25"/>
        <v>0.30000000000000798</v>
      </c>
      <c r="AE85" s="85">
        <f t="shared" ref="AE85:AE103" si="32">AE84+$AF$85</f>
        <v>0.28611111111111898</v>
      </c>
      <c r="AF85" s="185">
        <v>4.8611111111111103E-3</v>
      </c>
    </row>
    <row r="86" spans="1:32" x14ac:dyDescent="0.25">
      <c r="A86" s="23" t="s">
        <v>163</v>
      </c>
      <c r="B86" s="334" t="e">
        <f>(B85+B82)/E5</f>
        <v>#DIV/0!</v>
      </c>
      <c r="C86" s="380">
        <f>B88*24</f>
        <v>0</v>
      </c>
      <c r="K86" s="4">
        <v>830</v>
      </c>
      <c r="L86" s="15">
        <f t="shared" si="26"/>
        <v>0.30902777777777801</v>
      </c>
      <c r="P86" s="100"/>
      <c r="Q86" s="67">
        <v>83</v>
      </c>
      <c r="R86" s="80">
        <f t="shared" si="23"/>
        <v>0.232638888888891</v>
      </c>
      <c r="S86" s="85">
        <f t="shared" si="30"/>
        <v>0.20486111111111299</v>
      </c>
      <c r="T86" s="623"/>
      <c r="V86" s="66"/>
      <c r="W86" s="67">
        <v>82</v>
      </c>
      <c r="X86" s="52">
        <f t="shared" si="24"/>
        <v>0.30486111111111902</v>
      </c>
      <c r="Y86" s="85">
        <f t="shared" si="31"/>
        <v>0.29097222222223001</v>
      </c>
      <c r="Z86" s="186"/>
      <c r="AB86" s="66"/>
      <c r="AC86" s="67">
        <v>82</v>
      </c>
      <c r="AD86" s="52">
        <f t="shared" si="25"/>
        <v>0.30486111111111902</v>
      </c>
      <c r="AE86" s="85">
        <f t="shared" si="32"/>
        <v>0.29097222222223001</v>
      </c>
      <c r="AF86" s="186"/>
    </row>
    <row r="87" spans="1:32" ht="15" customHeight="1" thickBot="1" x14ac:dyDescent="0.3">
      <c r="A87" s="10" t="s">
        <v>164</v>
      </c>
      <c r="B87" s="325" t="e">
        <f>B82+B85</f>
        <v>#DIV/0!</v>
      </c>
      <c r="C87" s="381" t="s">
        <v>37</v>
      </c>
      <c r="K87" s="4">
        <v>840</v>
      </c>
      <c r="L87" s="15">
        <f t="shared" si="26"/>
        <v>0.3125</v>
      </c>
      <c r="P87" s="100"/>
      <c r="Q87" s="67">
        <v>84</v>
      </c>
      <c r="R87" s="80">
        <f t="shared" si="23"/>
        <v>0.23750000000000199</v>
      </c>
      <c r="S87" s="85">
        <f t="shared" si="30"/>
        <v>0.209722222222224</v>
      </c>
      <c r="T87" s="623"/>
      <c r="V87" s="66"/>
      <c r="W87" s="67">
        <v>83</v>
      </c>
      <c r="X87" s="52">
        <f t="shared" si="24"/>
        <v>0.30972222222223</v>
      </c>
      <c r="Y87" s="85">
        <f t="shared" si="31"/>
        <v>0.295833333333341</v>
      </c>
      <c r="Z87" s="186"/>
      <c r="AB87" s="66"/>
      <c r="AC87" s="67">
        <v>83</v>
      </c>
      <c r="AD87" s="52">
        <f t="shared" si="25"/>
        <v>0.30972222222223</v>
      </c>
      <c r="AE87" s="85">
        <f t="shared" si="32"/>
        <v>0.295833333333341</v>
      </c>
      <c r="AF87" s="186"/>
    </row>
    <row r="88" spans="1:32" ht="15" customHeight="1" thickBot="1" x14ac:dyDescent="0.3">
      <c r="A88" s="24" t="s">
        <v>165</v>
      </c>
      <c r="B88" s="17">
        <f>IF(E9&gt;0,B87,0)</f>
        <v>0</v>
      </c>
      <c r="C88" s="382">
        <f>C86/7</f>
        <v>0</v>
      </c>
      <c r="K88" s="4">
        <v>850</v>
      </c>
      <c r="L88" s="15">
        <f t="shared" si="26"/>
        <v>0.31597222222222199</v>
      </c>
      <c r="P88" s="100"/>
      <c r="Q88" s="67">
        <v>85</v>
      </c>
      <c r="R88" s="80">
        <f t="shared" si="23"/>
        <v>0.242361111111113</v>
      </c>
      <c r="S88" s="85">
        <f t="shared" si="30"/>
        <v>0.21458333333333501</v>
      </c>
      <c r="T88" s="623"/>
      <c r="V88" s="66"/>
      <c r="W88" s="67">
        <v>84</v>
      </c>
      <c r="X88" s="52">
        <f t="shared" si="24"/>
        <v>0.31458333333334099</v>
      </c>
      <c r="Y88" s="85">
        <f t="shared" si="31"/>
        <v>0.30069444444445198</v>
      </c>
      <c r="Z88" s="186"/>
      <c r="AB88" s="66"/>
      <c r="AC88" s="67">
        <v>84</v>
      </c>
      <c r="AD88" s="52">
        <f t="shared" si="25"/>
        <v>0.31458333333334099</v>
      </c>
      <c r="AE88" s="85">
        <f t="shared" si="32"/>
        <v>0.30069444444445198</v>
      </c>
      <c r="AF88" s="186"/>
    </row>
    <row r="89" spans="1:32" x14ac:dyDescent="0.25">
      <c r="A89" s="30"/>
      <c r="B89" s="33"/>
      <c r="C89" s="380">
        <f>B91*24</f>
        <v>0.33</v>
      </c>
      <c r="H89" s="42"/>
      <c r="K89" s="4">
        <v>860</v>
      </c>
      <c r="L89" s="15">
        <f t="shared" si="26"/>
        <v>0.31944444444444398</v>
      </c>
      <c r="P89" s="100"/>
      <c r="Q89" s="67">
        <v>86</v>
      </c>
      <c r="R89" s="80">
        <f t="shared" si="23"/>
        <v>0.24722222222222401</v>
      </c>
      <c r="S89" s="85">
        <f t="shared" si="30"/>
        <v>0.219444444444446</v>
      </c>
      <c r="T89" s="623"/>
      <c r="V89" s="66"/>
      <c r="W89" s="67">
        <v>85</v>
      </c>
      <c r="X89" s="52">
        <f t="shared" si="24"/>
        <v>0.31944444444445202</v>
      </c>
      <c r="Y89" s="85">
        <f t="shared" si="31"/>
        <v>0.30555555555556302</v>
      </c>
      <c r="Z89" s="186"/>
      <c r="AB89" s="66"/>
      <c r="AC89" s="67">
        <v>85</v>
      </c>
      <c r="AD89" s="52">
        <f t="shared" si="25"/>
        <v>0.31944444444445202</v>
      </c>
      <c r="AE89" s="85">
        <f t="shared" si="32"/>
        <v>0.30555555555556302</v>
      </c>
      <c r="AF89" s="186"/>
    </row>
    <row r="90" spans="1:32" x14ac:dyDescent="0.25">
      <c r="A90" s="330" t="s">
        <v>166</v>
      </c>
      <c r="B90" s="335" t="e">
        <f>B91/E5</f>
        <v>#DIV/0!</v>
      </c>
      <c r="C90" s="381" t="s">
        <v>37</v>
      </c>
      <c r="H90" s="43"/>
      <c r="K90" s="4">
        <v>870</v>
      </c>
      <c r="L90" s="15">
        <f t="shared" si="26"/>
        <v>0.32291666666666602</v>
      </c>
      <c r="P90" s="100"/>
      <c r="Q90" s="67">
        <v>87</v>
      </c>
      <c r="R90" s="80">
        <f t="shared" si="23"/>
        <v>0.25208333333333499</v>
      </c>
      <c r="S90" s="85">
        <f t="shared" si="30"/>
        <v>0.22430555555555701</v>
      </c>
      <c r="T90" s="623"/>
      <c r="V90" s="66"/>
      <c r="W90" s="67">
        <v>86</v>
      </c>
      <c r="X90" s="52">
        <f t="shared" si="24"/>
        <v>0.32430555555556301</v>
      </c>
      <c r="Y90" s="85">
        <f t="shared" si="31"/>
        <v>0.310416666666674</v>
      </c>
      <c r="Z90" s="186"/>
      <c r="AB90" s="66"/>
      <c r="AC90" s="67">
        <v>86</v>
      </c>
      <c r="AD90" s="52">
        <f t="shared" si="25"/>
        <v>0.32430555555556301</v>
      </c>
      <c r="AE90" s="85">
        <f t="shared" si="32"/>
        <v>0.310416666666674</v>
      </c>
      <c r="AF90" s="186"/>
    </row>
    <row r="91" spans="1:32" ht="15" customHeight="1" thickBot="1" x14ac:dyDescent="0.3">
      <c r="A91" s="314" t="s">
        <v>167</v>
      </c>
      <c r="B91" s="336">
        <f>B42+B57+B72+B78+B88</f>
        <v>1.38888888888889E-2</v>
      </c>
      <c r="C91" s="382">
        <f>C89/7</f>
        <v>0.05</v>
      </c>
      <c r="K91" s="4">
        <v>880</v>
      </c>
      <c r="L91" s="15">
        <f t="shared" si="26"/>
        <v>0.32638888888888901</v>
      </c>
      <c r="P91" s="100"/>
      <c r="Q91" s="67">
        <v>88</v>
      </c>
      <c r="R91" s="80">
        <f t="shared" si="23"/>
        <v>0.25694444444444597</v>
      </c>
      <c r="S91" s="85">
        <f t="shared" si="30"/>
        <v>0.22916666666666799</v>
      </c>
      <c r="T91" s="623"/>
      <c r="V91" s="66"/>
      <c r="W91" s="67">
        <v>87</v>
      </c>
      <c r="X91" s="52">
        <f t="shared" si="24"/>
        <v>0.32916666666667399</v>
      </c>
      <c r="Y91" s="85">
        <f t="shared" si="31"/>
        <v>0.31527777777778498</v>
      </c>
      <c r="Z91" s="186"/>
      <c r="AB91" s="66"/>
      <c r="AC91" s="67">
        <v>87</v>
      </c>
      <c r="AD91" s="52">
        <f t="shared" si="25"/>
        <v>0.32916666666667399</v>
      </c>
      <c r="AE91" s="85">
        <f t="shared" si="32"/>
        <v>0.31527777777778498</v>
      </c>
      <c r="AF91" s="186"/>
    </row>
    <row r="92" spans="1:32" ht="15" customHeight="1" thickBot="1" x14ac:dyDescent="0.3">
      <c r="A92" s="30"/>
      <c r="B92" s="30"/>
      <c r="C92" s="388"/>
      <c r="H92" s="45"/>
      <c r="K92" s="4">
        <v>890</v>
      </c>
      <c r="L92" s="15">
        <f t="shared" si="26"/>
        <v>0.32986111111111099</v>
      </c>
      <c r="P92" s="100"/>
      <c r="Q92" s="67">
        <v>89</v>
      </c>
      <c r="R92" s="80">
        <f t="shared" si="23"/>
        <v>0.26180555555555701</v>
      </c>
      <c r="S92" s="85">
        <f t="shared" si="30"/>
        <v>0.234027777777779</v>
      </c>
      <c r="T92" s="623"/>
      <c r="V92" s="66"/>
      <c r="W92" s="67">
        <v>88</v>
      </c>
      <c r="X92" s="52">
        <f t="shared" si="24"/>
        <v>0.33402777777778497</v>
      </c>
      <c r="Y92" s="85">
        <f t="shared" si="31"/>
        <v>0.32013888888889602</v>
      </c>
      <c r="Z92" s="186"/>
      <c r="AB92" s="66"/>
      <c r="AC92" s="67">
        <v>88</v>
      </c>
      <c r="AD92" s="52">
        <f t="shared" si="25"/>
        <v>0.33402777777778497</v>
      </c>
      <c r="AE92" s="85">
        <f t="shared" si="32"/>
        <v>0.32013888888889602</v>
      </c>
      <c r="AF92" s="186"/>
    </row>
    <row r="93" spans="1:32" x14ac:dyDescent="0.25">
      <c r="A93" s="362" t="s">
        <v>168</v>
      </c>
      <c r="B93" s="12">
        <f>H46</f>
        <v>0</v>
      </c>
      <c r="C93" s="389"/>
      <c r="K93" s="4">
        <v>1410</v>
      </c>
      <c r="L93" s="15">
        <f t="shared" si="26"/>
        <v>0.51041666666666596</v>
      </c>
      <c r="P93" s="100"/>
      <c r="Q93" s="67">
        <v>90</v>
      </c>
      <c r="R93" s="80">
        <f t="shared" si="23"/>
        <v>0.266666666666668</v>
      </c>
      <c r="S93" s="85">
        <f t="shared" si="30"/>
        <v>0.23888888888889001</v>
      </c>
      <c r="T93" s="623"/>
      <c r="V93" s="66"/>
      <c r="W93" s="67">
        <v>89</v>
      </c>
      <c r="X93" s="52">
        <f t="shared" si="24"/>
        <v>0.33888888888889601</v>
      </c>
      <c r="Y93" s="85">
        <f t="shared" si="31"/>
        <v>0.32500000000000701</v>
      </c>
      <c r="Z93" s="186"/>
      <c r="AB93" s="66"/>
      <c r="AC93" s="67">
        <v>89</v>
      </c>
      <c r="AD93" s="52">
        <f t="shared" si="25"/>
        <v>0.33888888888889601</v>
      </c>
      <c r="AE93" s="85">
        <f t="shared" si="32"/>
        <v>0.32500000000000701</v>
      </c>
      <c r="AF93" s="186"/>
    </row>
    <row r="94" spans="1:32" x14ac:dyDescent="0.25">
      <c r="A94" s="4" t="s">
        <v>120</v>
      </c>
      <c r="B94" s="38">
        <f>H48</f>
        <v>8.1018518518518503E-5</v>
      </c>
      <c r="C94" s="244"/>
      <c r="K94" s="4">
        <v>1420</v>
      </c>
      <c r="L94" s="15">
        <f t="shared" si="26"/>
        <v>0.51388888888888895</v>
      </c>
      <c r="P94" s="100"/>
      <c r="Q94" s="67">
        <v>91</v>
      </c>
      <c r="R94" s="80">
        <f t="shared" si="23"/>
        <v>0.27152777777777898</v>
      </c>
      <c r="S94" s="85">
        <f t="shared" si="30"/>
        <v>0.24375000000000099</v>
      </c>
      <c r="T94" s="623"/>
      <c r="V94" s="66"/>
      <c r="W94" s="67">
        <v>90</v>
      </c>
      <c r="X94" s="52">
        <f t="shared" si="24"/>
        <v>0.34375000000000699</v>
      </c>
      <c r="Y94" s="85">
        <f t="shared" si="31"/>
        <v>0.32986111111111799</v>
      </c>
      <c r="Z94" s="186"/>
      <c r="AB94" s="66"/>
      <c r="AC94" s="67">
        <v>90</v>
      </c>
      <c r="AD94" s="52">
        <f t="shared" si="25"/>
        <v>0.34375000000000699</v>
      </c>
      <c r="AE94" s="85">
        <f t="shared" si="32"/>
        <v>0.32986111111111799</v>
      </c>
      <c r="AF94" s="186"/>
    </row>
    <row r="95" spans="1:32" x14ac:dyDescent="0.25">
      <c r="A95" s="4" t="s">
        <v>169</v>
      </c>
      <c r="B95" s="15">
        <f>B93*B94</f>
        <v>0</v>
      </c>
      <c r="C95" s="244"/>
      <c r="D95" s="242"/>
      <c r="E95" s="242"/>
      <c r="F95" s="242"/>
      <c r="K95" s="4">
        <v>1430</v>
      </c>
      <c r="L95" s="15">
        <f t="shared" si="26"/>
        <v>0.51736111111111105</v>
      </c>
      <c r="P95" s="100"/>
      <c r="Q95" s="67">
        <v>92</v>
      </c>
      <c r="R95" s="80">
        <f t="shared" si="23"/>
        <v>0.27638888888889002</v>
      </c>
      <c r="S95" s="85">
        <f t="shared" si="30"/>
        <v>0.248611111111112</v>
      </c>
      <c r="T95" s="623"/>
      <c r="V95" s="66"/>
      <c r="W95" s="67">
        <v>91</v>
      </c>
      <c r="X95" s="52">
        <f t="shared" si="24"/>
        <v>0.34861111111111798</v>
      </c>
      <c r="Y95" s="85">
        <f t="shared" si="31"/>
        <v>0.33472222222222903</v>
      </c>
      <c r="Z95" s="186"/>
      <c r="AB95" s="66"/>
      <c r="AC95" s="67">
        <v>91</v>
      </c>
      <c r="AD95" s="52">
        <f t="shared" si="25"/>
        <v>0.34861111111111798</v>
      </c>
      <c r="AE95" s="85">
        <f t="shared" si="32"/>
        <v>0.33472222222222903</v>
      </c>
      <c r="AF95" s="186"/>
    </row>
    <row r="96" spans="1:32" x14ac:dyDescent="0.25">
      <c r="A96" s="4" t="s">
        <v>170</v>
      </c>
      <c r="B96" s="38">
        <f>H58</f>
        <v>1.38888888888889E-2</v>
      </c>
      <c r="C96" s="244"/>
      <c r="E96" s="47"/>
      <c r="F96" s="245"/>
      <c r="K96" s="4">
        <v>1440</v>
      </c>
      <c r="L96" s="15">
        <f t="shared" si="26"/>
        <v>0.52083333333333304</v>
      </c>
      <c r="P96" s="100"/>
      <c r="Q96" s="67">
        <v>93</v>
      </c>
      <c r="R96" s="80">
        <f t="shared" si="23"/>
        <v>0.281250000000001</v>
      </c>
      <c r="S96" s="85">
        <f t="shared" si="30"/>
        <v>0.25347222222222299</v>
      </c>
      <c r="T96" s="623"/>
      <c r="V96" s="66"/>
      <c r="W96" s="67">
        <v>92</v>
      </c>
      <c r="X96" s="52">
        <f t="shared" si="24"/>
        <v>0.35347222222222902</v>
      </c>
      <c r="Y96" s="85">
        <f t="shared" si="31"/>
        <v>0.33958333333334001</v>
      </c>
      <c r="Z96" s="186"/>
      <c r="AB96" s="66"/>
      <c r="AC96" s="67">
        <v>92</v>
      </c>
      <c r="AD96" s="52">
        <f t="shared" si="25"/>
        <v>0.35347222222222902</v>
      </c>
      <c r="AE96" s="85">
        <f t="shared" si="32"/>
        <v>0.33958333333334001</v>
      </c>
      <c r="AF96" s="186"/>
    </row>
    <row r="97" spans="1:32" x14ac:dyDescent="0.25">
      <c r="A97" s="4" t="s">
        <v>171</v>
      </c>
      <c r="B97" s="4">
        <f>H45</f>
        <v>0</v>
      </c>
      <c r="C97" s="244"/>
      <c r="F97" s="18"/>
      <c r="K97" s="4">
        <v>1450</v>
      </c>
      <c r="L97" s="15">
        <f t="shared" si="26"/>
        <v>0.52430555555555503</v>
      </c>
      <c r="P97" s="100"/>
      <c r="Q97" s="67">
        <v>94</v>
      </c>
      <c r="R97" s="80">
        <f t="shared" si="23"/>
        <v>0.28611111111111198</v>
      </c>
      <c r="S97" s="85">
        <f t="shared" si="30"/>
        <v>0.25833333333333403</v>
      </c>
      <c r="T97" s="623"/>
      <c r="V97" s="66"/>
      <c r="W97" s="67">
        <v>93</v>
      </c>
      <c r="X97" s="52">
        <f t="shared" si="24"/>
        <v>0.35833333333334</v>
      </c>
      <c r="Y97" s="85">
        <f t="shared" si="31"/>
        <v>0.34444444444445099</v>
      </c>
      <c r="Z97" s="186"/>
      <c r="AB97" s="66"/>
      <c r="AC97" s="67">
        <v>93</v>
      </c>
      <c r="AD97" s="52">
        <f t="shared" si="25"/>
        <v>0.35833333333334</v>
      </c>
      <c r="AE97" s="85">
        <f t="shared" si="32"/>
        <v>0.34444444444445099</v>
      </c>
      <c r="AF97" s="186"/>
    </row>
    <row r="98" spans="1:32" x14ac:dyDescent="0.25">
      <c r="A98" s="4" t="s">
        <v>172</v>
      </c>
      <c r="B98" s="116">
        <f>H47*E15</f>
        <v>0</v>
      </c>
      <c r="C98" s="244"/>
      <c r="F98" s="18"/>
      <c r="K98" s="4">
        <v>1460</v>
      </c>
      <c r="L98" s="15">
        <f t="shared" si="26"/>
        <v>0.52777777777777701</v>
      </c>
      <c r="P98" s="100"/>
      <c r="Q98" s="67">
        <v>95</v>
      </c>
      <c r="R98" s="80">
        <f t="shared" si="23"/>
        <v>0.29097222222222302</v>
      </c>
      <c r="S98" s="85">
        <f t="shared" si="30"/>
        <v>0.26319444444444501</v>
      </c>
      <c r="T98" s="623"/>
      <c r="V98" s="66"/>
      <c r="W98" s="67">
        <v>94</v>
      </c>
      <c r="X98" s="52">
        <f t="shared" si="24"/>
        <v>0.36319444444445098</v>
      </c>
      <c r="Y98" s="85">
        <f t="shared" si="31"/>
        <v>0.34930555555556198</v>
      </c>
      <c r="Z98" s="186"/>
      <c r="AB98" s="66"/>
      <c r="AC98" s="67">
        <v>94</v>
      </c>
      <c r="AD98" s="52">
        <f t="shared" si="25"/>
        <v>0.36319444444445098</v>
      </c>
      <c r="AE98" s="85">
        <f t="shared" si="32"/>
        <v>0.34930555555556198</v>
      </c>
      <c r="AF98" s="186"/>
    </row>
    <row r="99" spans="1:32" x14ac:dyDescent="0.25">
      <c r="A99" s="4" t="s">
        <v>173</v>
      </c>
      <c r="B99" s="15">
        <f>(H47*E15)*E4</f>
        <v>0</v>
      </c>
      <c r="C99" s="244"/>
      <c r="F99" s="18"/>
      <c r="K99" s="4">
        <v>1470</v>
      </c>
      <c r="L99" s="15">
        <f t="shared" si="26"/>
        <v>0.53125</v>
      </c>
      <c r="P99" s="100"/>
      <c r="Q99" s="67">
        <v>96</v>
      </c>
      <c r="R99" s="80">
        <f t="shared" si="23"/>
        <v>0.295833333333334</v>
      </c>
      <c r="S99" s="85">
        <f t="shared" si="30"/>
        <v>0.26805555555555599</v>
      </c>
      <c r="T99" s="623"/>
      <c r="V99" s="66"/>
      <c r="W99" s="67">
        <v>95</v>
      </c>
      <c r="X99" s="52">
        <f t="shared" si="24"/>
        <v>0.36805555555556202</v>
      </c>
      <c r="Y99" s="85">
        <f t="shared" si="31"/>
        <v>0.35416666666667301</v>
      </c>
      <c r="Z99" s="186"/>
      <c r="AB99" s="66"/>
      <c r="AC99" s="67">
        <v>95</v>
      </c>
      <c r="AD99" s="52">
        <f t="shared" si="25"/>
        <v>0.36805555555556202</v>
      </c>
      <c r="AE99" s="85">
        <f t="shared" si="32"/>
        <v>0.35416666666667301</v>
      </c>
      <c r="AF99" s="186"/>
    </row>
    <row r="100" spans="1:32" x14ac:dyDescent="0.25">
      <c r="A100" s="4"/>
      <c r="B100" s="4"/>
      <c r="C100" s="244"/>
      <c r="F100" s="18"/>
      <c r="K100" s="4">
        <v>1480</v>
      </c>
      <c r="L100" s="15">
        <f t="shared" si="26"/>
        <v>0.53472222222222199</v>
      </c>
      <c r="P100" s="100"/>
      <c r="Q100" s="67">
        <v>97</v>
      </c>
      <c r="R100" s="80">
        <f t="shared" si="23"/>
        <v>0.30069444444444499</v>
      </c>
      <c r="S100" s="85">
        <f t="shared" si="30"/>
        <v>0.27291666666666697</v>
      </c>
      <c r="T100" s="623"/>
      <c r="V100" s="66"/>
      <c r="W100" s="67">
        <v>96</v>
      </c>
      <c r="X100" s="52">
        <f t="shared" si="24"/>
        <v>0.372916666666673</v>
      </c>
      <c r="Y100" s="85">
        <f t="shared" si="31"/>
        <v>0.359027777777784</v>
      </c>
      <c r="Z100" s="186"/>
      <c r="AB100" s="66"/>
      <c r="AC100" s="67">
        <v>96</v>
      </c>
      <c r="AD100" s="52">
        <f t="shared" si="25"/>
        <v>0.372916666666673</v>
      </c>
      <c r="AE100" s="85">
        <f t="shared" si="32"/>
        <v>0.359027777777784</v>
      </c>
      <c r="AF100" s="186"/>
    </row>
    <row r="101" spans="1:32" x14ac:dyDescent="0.25">
      <c r="A101" s="4" t="s">
        <v>174</v>
      </c>
      <c r="B101" s="37" t="e">
        <f>B103/E4</f>
        <v>#DIV/0!</v>
      </c>
      <c r="C101" s="244"/>
      <c r="F101" s="18"/>
      <c r="K101" s="4">
        <v>1490</v>
      </c>
      <c r="L101" s="15">
        <f t="shared" si="26"/>
        <v>0.53819444444444398</v>
      </c>
      <c r="P101" s="100"/>
      <c r="Q101" s="67">
        <v>98</v>
      </c>
      <c r="R101" s="80">
        <f t="shared" si="23"/>
        <v>0.30555555555555602</v>
      </c>
      <c r="S101" s="85">
        <f t="shared" si="30"/>
        <v>0.27777777777777801</v>
      </c>
      <c r="T101" s="623"/>
      <c r="V101" s="66"/>
      <c r="W101" s="67">
        <v>97</v>
      </c>
      <c r="X101" s="52">
        <f t="shared" si="24"/>
        <v>0.37777777777778399</v>
      </c>
      <c r="Y101" s="85">
        <f t="shared" si="31"/>
        <v>0.36388888888889498</v>
      </c>
      <c r="Z101" s="186"/>
      <c r="AB101" s="66"/>
      <c r="AC101" s="67">
        <v>97</v>
      </c>
      <c r="AD101" s="52">
        <f t="shared" si="25"/>
        <v>0.37777777777778399</v>
      </c>
      <c r="AE101" s="85">
        <f t="shared" si="32"/>
        <v>0.36388888888889498</v>
      </c>
      <c r="AF101" s="186"/>
    </row>
    <row r="102" spans="1:32" ht="15" customHeight="1" thickBot="1" x14ac:dyDescent="0.3">
      <c r="A102" s="4" t="s">
        <v>175</v>
      </c>
      <c r="B102" s="35" t="e">
        <f>B103/E5</f>
        <v>#DIV/0!</v>
      </c>
      <c r="C102" s="380">
        <f>B104*24</f>
        <v>0</v>
      </c>
      <c r="F102" s="246"/>
      <c r="K102" s="4">
        <v>1500</v>
      </c>
      <c r="L102" s="15">
        <f t="shared" si="26"/>
        <v>0.54166666666666596</v>
      </c>
      <c r="P102" s="100"/>
      <c r="Q102" s="67">
        <v>99</v>
      </c>
      <c r="R102" s="80">
        <f t="shared" si="23"/>
        <v>0.31041666666666701</v>
      </c>
      <c r="S102" s="85">
        <f t="shared" si="30"/>
        <v>0.28263888888888899</v>
      </c>
      <c r="T102" s="623"/>
      <c r="V102" s="66"/>
      <c r="W102" s="67">
        <v>98</v>
      </c>
      <c r="X102" s="52">
        <f t="shared" si="24"/>
        <v>0.38263888888889502</v>
      </c>
      <c r="Y102" s="85">
        <f t="shared" si="31"/>
        <v>0.36875000000000602</v>
      </c>
      <c r="Z102" s="186"/>
      <c r="AB102" s="66"/>
      <c r="AC102" s="67">
        <v>98</v>
      </c>
      <c r="AD102" s="52">
        <f t="shared" si="25"/>
        <v>0.38263888888889502</v>
      </c>
      <c r="AE102" s="85">
        <f t="shared" si="32"/>
        <v>0.36875000000000602</v>
      </c>
      <c r="AF102" s="186"/>
    </row>
    <row r="103" spans="1:32" ht="15.75" thickBot="1" x14ac:dyDescent="0.3">
      <c r="A103" s="4" t="s">
        <v>176</v>
      </c>
      <c r="B103" s="328">
        <f>(B93*B94)+B96+B99</f>
        <v>1.38888888888889E-2</v>
      </c>
      <c r="C103" s="381" t="s">
        <v>37</v>
      </c>
      <c r="F103" s="18"/>
      <c r="K103" s="4">
        <v>1510</v>
      </c>
      <c r="L103" s="15">
        <f t="shared" si="26"/>
        <v>0.54513888888888895</v>
      </c>
      <c r="P103" s="91" t="s">
        <v>177</v>
      </c>
      <c r="Q103" s="69">
        <v>100</v>
      </c>
      <c r="R103" s="70">
        <f t="shared" si="23"/>
        <v>0.31736111111111098</v>
      </c>
      <c r="S103" s="392">
        <f>S102+$T$103</f>
        <v>0.28958333333333303</v>
      </c>
      <c r="T103" s="639">
        <v>6.9444444444444397E-3</v>
      </c>
      <c r="V103" s="66"/>
      <c r="W103" s="67">
        <v>99</v>
      </c>
      <c r="X103" s="52">
        <f t="shared" si="24"/>
        <v>0.38750000000000601</v>
      </c>
      <c r="Y103" s="85">
        <f t="shared" si="31"/>
        <v>0.373611111111117</v>
      </c>
      <c r="Z103" s="186"/>
      <c r="AB103" s="66"/>
      <c r="AC103" s="67">
        <v>99</v>
      </c>
      <c r="AD103" s="52">
        <f t="shared" si="25"/>
        <v>0.38750000000000601</v>
      </c>
      <c r="AE103" s="85">
        <f t="shared" si="32"/>
        <v>0.373611111111117</v>
      </c>
      <c r="AF103" s="186"/>
    </row>
    <row r="104" spans="1:32" x14ac:dyDescent="0.25">
      <c r="A104" s="329" t="s">
        <v>178</v>
      </c>
      <c r="B104" s="28">
        <f>IF(E15&gt;0,B103,0)</f>
        <v>0</v>
      </c>
      <c r="C104" s="382">
        <f>C102/7</f>
        <v>0</v>
      </c>
      <c r="F104" s="18"/>
      <c r="K104" s="4">
        <v>1520</v>
      </c>
      <c r="L104" s="15">
        <f t="shared" si="26"/>
        <v>0.54861111111111105</v>
      </c>
      <c r="P104" s="91"/>
      <c r="Q104" s="69">
        <v>101</v>
      </c>
      <c r="R104" s="70">
        <f t="shared" si="23"/>
        <v>0.32430555555555501</v>
      </c>
      <c r="S104" s="392">
        <f>S103+$T$103</f>
        <v>0.296527777777777</v>
      </c>
      <c r="T104" s="640"/>
      <c r="V104" s="68" t="s">
        <v>179</v>
      </c>
      <c r="W104" s="69">
        <v>100</v>
      </c>
      <c r="X104" s="52">
        <f t="shared" si="24"/>
        <v>0.39444444444444998</v>
      </c>
      <c r="Y104" s="71">
        <f t="shared" ref="Y104:Y154" si="33">Y103+$Z$104</f>
        <v>0.38055555555556098</v>
      </c>
      <c r="Z104" s="187">
        <v>6.9444444444444397E-3</v>
      </c>
      <c r="AB104" s="68" t="s">
        <v>179</v>
      </c>
      <c r="AC104" s="69">
        <v>100</v>
      </c>
      <c r="AD104" s="52">
        <f t="shared" si="25"/>
        <v>0.39444444444444998</v>
      </c>
      <c r="AE104" s="71">
        <f t="shared" ref="AE104:AE154" si="34">AE103+$AF$104</f>
        <v>0.38055555555556098</v>
      </c>
      <c r="AF104" s="187">
        <v>6.9444444444444397E-3</v>
      </c>
    </row>
    <row r="105" spans="1:32" ht="15" customHeight="1" thickBot="1" x14ac:dyDescent="0.3">
      <c r="A105" s="30"/>
      <c r="B105" s="30"/>
      <c r="C105" s="244"/>
      <c r="F105" s="18"/>
      <c r="K105" s="4">
        <v>1530</v>
      </c>
      <c r="L105" s="15">
        <f t="shared" si="26"/>
        <v>0.55208333333333304</v>
      </c>
      <c r="P105" s="91"/>
      <c r="Q105" s="69">
        <v>102</v>
      </c>
      <c r="R105" s="70">
        <f t="shared" si="23"/>
        <v>0.327430555555555</v>
      </c>
      <c r="S105" s="392">
        <f t="shared" ref="S105:S153" si="35">S104+$T$64</f>
        <v>0.29965277777777699</v>
      </c>
      <c r="T105" s="640"/>
      <c r="V105" s="68"/>
      <c r="W105" s="69">
        <v>101</v>
      </c>
      <c r="X105" s="52">
        <f t="shared" si="24"/>
        <v>0.40138888888889401</v>
      </c>
      <c r="Y105" s="71">
        <f t="shared" si="33"/>
        <v>0.38750000000000501</v>
      </c>
      <c r="Z105" s="187"/>
      <c r="AB105" s="68"/>
      <c r="AC105" s="69">
        <v>101</v>
      </c>
      <c r="AD105" s="52">
        <f t="shared" si="25"/>
        <v>0.40138888888889401</v>
      </c>
      <c r="AE105" s="71">
        <f t="shared" si="34"/>
        <v>0.38750000000000501</v>
      </c>
      <c r="AF105" s="187"/>
    </row>
    <row r="106" spans="1:32" x14ac:dyDescent="0.25">
      <c r="A106" s="8" t="s">
        <v>135</v>
      </c>
      <c r="B106" s="36">
        <f>H55</f>
        <v>6.9444444444444404E-4</v>
      </c>
      <c r="C106" s="244"/>
      <c r="F106" s="43"/>
      <c r="K106" s="4">
        <v>1540</v>
      </c>
      <c r="L106" s="15">
        <f t="shared" si="26"/>
        <v>0.55555555555555503</v>
      </c>
      <c r="P106" s="91"/>
      <c r="Q106" s="69">
        <v>103</v>
      </c>
      <c r="R106" s="70">
        <f t="shared" si="23"/>
        <v>0.33055555555555499</v>
      </c>
      <c r="S106" s="392">
        <f t="shared" si="35"/>
        <v>0.30277777777777698</v>
      </c>
      <c r="T106" s="640"/>
      <c r="V106" s="68"/>
      <c r="W106" s="69">
        <v>102</v>
      </c>
      <c r="X106" s="52">
        <f t="shared" si="24"/>
        <v>0.40833333333333799</v>
      </c>
      <c r="Y106" s="71">
        <f t="shared" si="33"/>
        <v>0.39444444444444898</v>
      </c>
      <c r="Z106" s="187"/>
      <c r="AB106" s="68"/>
      <c r="AC106" s="69">
        <v>102</v>
      </c>
      <c r="AD106" s="52">
        <f t="shared" si="25"/>
        <v>0.40833333333333799</v>
      </c>
      <c r="AE106" s="71">
        <f t="shared" si="34"/>
        <v>0.39444444444444898</v>
      </c>
      <c r="AF106" s="187"/>
    </row>
    <row r="107" spans="1:32" ht="15" customHeight="1" thickBot="1" x14ac:dyDescent="0.3">
      <c r="A107" s="41" t="s">
        <v>180</v>
      </c>
      <c r="B107" s="19">
        <f>B106*E4</f>
        <v>0</v>
      </c>
      <c r="C107" s="244"/>
      <c r="K107" s="4">
        <v>1550</v>
      </c>
      <c r="L107" s="15">
        <f t="shared" si="26"/>
        <v>0.55902777777777701</v>
      </c>
      <c r="P107" s="91"/>
      <c r="Q107" s="69">
        <v>104</v>
      </c>
      <c r="R107" s="70">
        <f t="shared" si="23"/>
        <v>0.33368055555555498</v>
      </c>
      <c r="S107" s="392">
        <f t="shared" si="35"/>
        <v>0.30590277777777702</v>
      </c>
      <c r="T107" s="640"/>
      <c r="V107" s="68"/>
      <c r="W107" s="69">
        <v>103</v>
      </c>
      <c r="X107" s="52">
        <f t="shared" si="24"/>
        <v>0.41527777777778202</v>
      </c>
      <c r="Y107" s="71">
        <f t="shared" si="33"/>
        <v>0.40138888888889301</v>
      </c>
      <c r="Z107" s="187"/>
      <c r="AB107" s="68"/>
      <c r="AC107" s="69">
        <v>103</v>
      </c>
      <c r="AD107" s="52">
        <f t="shared" si="25"/>
        <v>0.41527777777778202</v>
      </c>
      <c r="AE107" s="71">
        <f t="shared" si="34"/>
        <v>0.40138888888889301</v>
      </c>
      <c r="AF107" s="187"/>
    </row>
    <row r="108" spans="1:32" x14ac:dyDescent="0.25">
      <c r="A108" t="s">
        <v>137</v>
      </c>
      <c r="B108" s="262">
        <f>H56</f>
        <v>0</v>
      </c>
      <c r="C108" s="244"/>
      <c r="D108" s="244"/>
      <c r="E108" s="244"/>
      <c r="F108" s="43"/>
      <c r="K108" s="4">
        <v>1560</v>
      </c>
      <c r="L108" s="15">
        <f t="shared" si="26"/>
        <v>0.5625</v>
      </c>
      <c r="P108" s="91"/>
      <c r="Q108" s="69">
        <v>105</v>
      </c>
      <c r="R108" s="70">
        <f t="shared" si="23"/>
        <v>0.33680555555555503</v>
      </c>
      <c r="S108" s="392">
        <f t="shared" si="35"/>
        <v>0.30902777777777701</v>
      </c>
      <c r="T108" s="640"/>
      <c r="V108" s="68"/>
      <c r="W108" s="69">
        <v>104</v>
      </c>
      <c r="X108" s="52">
        <f t="shared" si="24"/>
        <v>0.422222222222226</v>
      </c>
      <c r="Y108" s="71">
        <f t="shared" si="33"/>
        <v>0.40833333333333699</v>
      </c>
      <c r="Z108" s="187"/>
      <c r="AB108" s="68"/>
      <c r="AC108" s="69">
        <v>104</v>
      </c>
      <c r="AD108" s="52">
        <f t="shared" si="25"/>
        <v>0.422222222222226</v>
      </c>
      <c r="AE108" s="71">
        <f t="shared" si="34"/>
        <v>0.40833333333333699</v>
      </c>
      <c r="AF108" s="187"/>
    </row>
    <row r="109" spans="1:32" x14ac:dyDescent="0.25">
      <c r="A109" s="30"/>
      <c r="B109" s="30"/>
      <c r="C109" s="244"/>
      <c r="E109" s="18"/>
      <c r="K109" s="4">
        <v>1570</v>
      </c>
      <c r="L109" s="15">
        <f t="shared" si="26"/>
        <v>0.56597222222222199</v>
      </c>
      <c r="P109" s="91"/>
      <c r="Q109" s="69">
        <v>106</v>
      </c>
      <c r="R109" s="70">
        <f t="shared" si="23"/>
        <v>0.33993055555555501</v>
      </c>
      <c r="S109" s="392">
        <f t="shared" si="35"/>
        <v>0.312152777777777</v>
      </c>
      <c r="T109" s="640"/>
      <c r="V109" s="68"/>
      <c r="W109" s="69">
        <v>105</v>
      </c>
      <c r="X109" s="52">
        <f t="shared" si="24"/>
        <v>0.42916666666667003</v>
      </c>
      <c r="Y109" s="71">
        <f t="shared" si="33"/>
        <v>0.41527777777778102</v>
      </c>
      <c r="Z109" s="187"/>
      <c r="AB109" s="68"/>
      <c r="AC109" s="69">
        <v>105</v>
      </c>
      <c r="AD109" s="52">
        <f t="shared" si="25"/>
        <v>0.42916666666667003</v>
      </c>
      <c r="AE109" s="71">
        <f t="shared" si="34"/>
        <v>0.41527777777778102</v>
      </c>
      <c r="AF109" s="187"/>
    </row>
    <row r="110" spans="1:32" x14ac:dyDescent="0.25">
      <c r="A110" s="123" t="s">
        <v>181</v>
      </c>
      <c r="B110" s="38">
        <f>H50</f>
        <v>3.4722222222222199E-3</v>
      </c>
      <c r="C110" s="380">
        <f>B112*24</f>
        <v>0</v>
      </c>
      <c r="E110" s="18"/>
      <c r="K110" s="4">
        <v>1580</v>
      </c>
      <c r="L110" s="15">
        <f t="shared" si="26"/>
        <v>0.56944444444444398</v>
      </c>
      <c r="P110" s="91"/>
      <c r="Q110" s="69">
        <v>107</v>
      </c>
      <c r="R110" s="70">
        <f t="shared" si="23"/>
        <v>0.343055555555555</v>
      </c>
      <c r="S110" s="392">
        <f t="shared" si="35"/>
        <v>0.31527777777777699</v>
      </c>
      <c r="T110" s="640"/>
      <c r="V110" s="68"/>
      <c r="W110" s="69">
        <v>106</v>
      </c>
      <c r="X110" s="52">
        <f t="shared" si="24"/>
        <v>0.436111111111114</v>
      </c>
      <c r="Y110" s="71">
        <f t="shared" si="33"/>
        <v>0.422222222222225</v>
      </c>
      <c r="Z110" s="187"/>
      <c r="AB110" s="68"/>
      <c r="AC110" s="69">
        <v>106</v>
      </c>
      <c r="AD110" s="52">
        <f t="shared" si="25"/>
        <v>0.436111111111114</v>
      </c>
      <c r="AE110" s="71">
        <f t="shared" si="34"/>
        <v>0.422222222222225</v>
      </c>
      <c r="AF110" s="187"/>
    </row>
    <row r="111" spans="1:32" x14ac:dyDescent="0.25">
      <c r="A111" s="4" t="s">
        <v>182</v>
      </c>
      <c r="B111" s="37" t="e">
        <f>(B110*E5)+H58</f>
        <v>#DIV/0!</v>
      </c>
      <c r="C111" s="381" t="s">
        <v>37</v>
      </c>
      <c r="E111" s="243"/>
      <c r="K111" s="4">
        <v>1590</v>
      </c>
      <c r="L111" s="15">
        <f t="shared" si="26"/>
        <v>0.57291666666666596</v>
      </c>
      <c r="P111" s="91"/>
      <c r="Q111" s="69">
        <v>108</v>
      </c>
      <c r="R111" s="70">
        <f t="shared" si="23"/>
        <v>0.34618055555555499</v>
      </c>
      <c r="S111" s="392">
        <f t="shared" si="35"/>
        <v>0.31840277777777698</v>
      </c>
      <c r="T111" s="640"/>
      <c r="V111" s="68"/>
      <c r="W111" s="69">
        <v>107</v>
      </c>
      <c r="X111" s="52">
        <f t="shared" si="24"/>
        <v>0.44305555555555798</v>
      </c>
      <c r="Y111" s="71">
        <f t="shared" si="33"/>
        <v>0.42916666666666903</v>
      </c>
      <c r="Z111" s="187"/>
      <c r="AB111" s="68"/>
      <c r="AC111" s="69">
        <v>107</v>
      </c>
      <c r="AD111" s="52">
        <f t="shared" si="25"/>
        <v>0.44305555555555798</v>
      </c>
      <c r="AE111" s="71">
        <f t="shared" si="34"/>
        <v>0.42916666666666903</v>
      </c>
      <c r="AF111" s="187"/>
    </row>
    <row r="112" spans="1:32" x14ac:dyDescent="0.25">
      <c r="A112" s="4" t="s">
        <v>183</v>
      </c>
      <c r="B112" s="28">
        <f>IF(E15&gt;0,B111,0)</f>
        <v>0</v>
      </c>
      <c r="C112" s="382">
        <f>C110/7</f>
        <v>0</v>
      </c>
      <c r="E112" s="18"/>
      <c r="K112" s="4">
        <v>1600</v>
      </c>
      <c r="L112" s="15">
        <f t="shared" si="26"/>
        <v>0.57638888888888895</v>
      </c>
      <c r="P112" s="91"/>
      <c r="Q112" s="69">
        <v>109</v>
      </c>
      <c r="R112" s="70">
        <f t="shared" si="23"/>
        <v>0.34930555555555498</v>
      </c>
      <c r="S112" s="392">
        <f t="shared" si="35"/>
        <v>0.32152777777777702</v>
      </c>
      <c r="T112" s="640"/>
      <c r="V112" s="68"/>
      <c r="W112" s="69">
        <v>108</v>
      </c>
      <c r="X112" s="52">
        <f t="shared" si="24"/>
        <v>0.45000000000000201</v>
      </c>
      <c r="Y112" s="71">
        <f t="shared" si="33"/>
        <v>0.436111111111113</v>
      </c>
      <c r="Z112" s="187"/>
      <c r="AB112" s="68"/>
      <c r="AC112" s="69">
        <v>108</v>
      </c>
      <c r="AD112" s="52">
        <f t="shared" si="25"/>
        <v>0.45000000000000201</v>
      </c>
      <c r="AE112" s="71">
        <f t="shared" si="34"/>
        <v>0.436111111111113</v>
      </c>
      <c r="AF112" s="187"/>
    </row>
    <row r="113" spans="1:32" ht="15" customHeight="1" thickBot="1" x14ac:dyDescent="0.3">
      <c r="A113" s="30"/>
      <c r="B113" s="30"/>
      <c r="C113" s="244"/>
      <c r="D113" s="46"/>
      <c r="E113" s="18"/>
      <c r="K113" s="4">
        <v>1610</v>
      </c>
      <c r="L113" s="15">
        <f t="shared" si="26"/>
        <v>0.57986111111111105</v>
      </c>
      <c r="P113" s="91"/>
      <c r="Q113" s="69">
        <v>110</v>
      </c>
      <c r="R113" s="70">
        <f t="shared" si="23"/>
        <v>0.35243055555555503</v>
      </c>
      <c r="S113" s="392">
        <f t="shared" si="35"/>
        <v>0.32465277777777701</v>
      </c>
      <c r="T113" s="640"/>
      <c r="V113" s="68"/>
      <c r="W113" s="69">
        <v>109</v>
      </c>
      <c r="X113" s="52">
        <f t="shared" si="24"/>
        <v>0.45694444444444599</v>
      </c>
      <c r="Y113" s="71">
        <f t="shared" si="33"/>
        <v>0.44305555555555698</v>
      </c>
      <c r="Z113" s="187"/>
      <c r="AB113" s="68"/>
      <c r="AC113" s="69">
        <v>109</v>
      </c>
      <c r="AD113" s="52">
        <f t="shared" si="25"/>
        <v>0.45694444444444599</v>
      </c>
      <c r="AE113" s="71">
        <f t="shared" si="34"/>
        <v>0.44305555555555698</v>
      </c>
      <c r="AF113" s="187"/>
    </row>
    <row r="114" spans="1:32" ht="15" customHeight="1" thickBot="1" x14ac:dyDescent="0.3">
      <c r="A114" s="2" t="s">
        <v>184</v>
      </c>
      <c r="B114" s="11"/>
      <c r="C114" s="244"/>
      <c r="E114" s="18"/>
      <c r="F114" s="46"/>
      <c r="K114" s="4">
        <v>1620</v>
      </c>
      <c r="L114" s="15">
        <f t="shared" si="26"/>
        <v>0.58333333333333304</v>
      </c>
      <c r="P114" s="91"/>
      <c r="Q114" s="69">
        <v>111</v>
      </c>
      <c r="R114" s="70">
        <f t="shared" si="23"/>
        <v>0.35555555555555501</v>
      </c>
      <c r="S114" s="392">
        <f t="shared" si="35"/>
        <v>0.327777777777777</v>
      </c>
      <c r="T114" s="640"/>
      <c r="V114" s="68"/>
      <c r="W114" s="69">
        <v>110</v>
      </c>
      <c r="X114" s="52">
        <f t="shared" si="24"/>
        <v>0.46388888888889002</v>
      </c>
      <c r="Y114" s="71">
        <f t="shared" si="33"/>
        <v>0.45000000000000101</v>
      </c>
      <c r="Z114" s="187"/>
      <c r="AB114" s="68"/>
      <c r="AC114" s="69">
        <v>110</v>
      </c>
      <c r="AD114" s="52">
        <f t="shared" si="25"/>
        <v>0.46388888888889002</v>
      </c>
      <c r="AE114" s="71">
        <f t="shared" si="34"/>
        <v>0.45000000000000101</v>
      </c>
      <c r="AF114" s="187"/>
    </row>
    <row r="115" spans="1:32" x14ac:dyDescent="0.25">
      <c r="A115" s="1" t="s">
        <v>185</v>
      </c>
      <c r="B115" s="26">
        <f>H60</f>
        <v>0</v>
      </c>
      <c r="C115" s="244"/>
      <c r="E115" s="18"/>
      <c r="K115" s="4">
        <v>1630</v>
      </c>
      <c r="L115" s="15">
        <f t="shared" si="26"/>
        <v>0.58680555555555503</v>
      </c>
      <c r="P115" s="91"/>
      <c r="Q115" s="69">
        <v>112</v>
      </c>
      <c r="R115" s="70">
        <f t="shared" si="23"/>
        <v>0.358680555555555</v>
      </c>
      <c r="S115" s="392">
        <f t="shared" si="35"/>
        <v>0.33090277777777699</v>
      </c>
      <c r="T115" s="640"/>
      <c r="V115" s="68"/>
      <c r="W115" s="69">
        <v>111</v>
      </c>
      <c r="X115" s="52">
        <f t="shared" si="24"/>
        <v>0.47083333333333399</v>
      </c>
      <c r="Y115" s="71">
        <f t="shared" si="33"/>
        <v>0.45694444444444499</v>
      </c>
      <c r="Z115" s="187"/>
      <c r="AB115" s="68"/>
      <c r="AC115" s="69">
        <v>111</v>
      </c>
      <c r="AD115" s="52">
        <f t="shared" si="25"/>
        <v>0.47083333333333399</v>
      </c>
      <c r="AE115" s="71">
        <f t="shared" si="34"/>
        <v>0.45694444444444499</v>
      </c>
      <c r="AF115" s="187"/>
    </row>
    <row r="116" spans="1:32" x14ac:dyDescent="0.25">
      <c r="A116" s="4" t="s">
        <v>144</v>
      </c>
      <c r="B116" s="38">
        <f>$H$61</f>
        <v>3.4722222222222202E-4</v>
      </c>
      <c r="C116" s="244"/>
      <c r="K116" s="4">
        <v>1640</v>
      </c>
      <c r="L116" s="15">
        <f t="shared" si="26"/>
        <v>0.59027777777777701</v>
      </c>
      <c r="P116" s="91"/>
      <c r="Q116" s="69">
        <v>113</v>
      </c>
      <c r="R116" s="70">
        <f t="shared" si="23"/>
        <v>0.36180555555555499</v>
      </c>
      <c r="S116" s="392">
        <f t="shared" si="35"/>
        <v>0.33402777777777698</v>
      </c>
      <c r="T116" s="640"/>
      <c r="V116" s="68"/>
      <c r="W116" s="69">
        <v>112</v>
      </c>
      <c r="X116" s="52">
        <f t="shared" si="24"/>
        <v>0.47777777777777802</v>
      </c>
      <c r="Y116" s="71">
        <f t="shared" si="33"/>
        <v>0.46388888888888902</v>
      </c>
      <c r="Z116" s="187"/>
      <c r="AB116" s="68"/>
      <c r="AC116" s="69">
        <v>112</v>
      </c>
      <c r="AD116" s="52">
        <f t="shared" si="25"/>
        <v>0.47777777777777802</v>
      </c>
      <c r="AE116" s="71">
        <f t="shared" si="34"/>
        <v>0.46388888888888902</v>
      </c>
      <c r="AF116" s="187"/>
    </row>
    <row r="117" spans="1:32" x14ac:dyDescent="0.25">
      <c r="A117" s="4" t="s">
        <v>186</v>
      </c>
      <c r="B117" s="15">
        <f>B115*B116</f>
        <v>0</v>
      </c>
      <c r="C117" s="244"/>
      <c r="K117" s="4">
        <v>1650</v>
      </c>
      <c r="L117" s="15">
        <f t="shared" si="26"/>
        <v>0.59375</v>
      </c>
      <c r="P117" s="91"/>
      <c r="Q117" s="69">
        <v>114</v>
      </c>
      <c r="R117" s="70">
        <f t="shared" si="23"/>
        <v>0.36493055555555498</v>
      </c>
      <c r="S117" s="392">
        <f t="shared" si="35"/>
        <v>0.33715277777777702</v>
      </c>
      <c r="T117" s="640"/>
      <c r="V117" s="68"/>
      <c r="W117" s="69">
        <v>113</v>
      </c>
      <c r="X117" s="52">
        <f t="shared" si="24"/>
        <v>0.484722222222222</v>
      </c>
      <c r="Y117" s="71">
        <f t="shared" si="33"/>
        <v>0.47083333333333299</v>
      </c>
      <c r="Z117" s="187"/>
      <c r="AB117" s="68"/>
      <c r="AC117" s="69">
        <v>113</v>
      </c>
      <c r="AD117" s="52">
        <f t="shared" si="25"/>
        <v>0.484722222222222</v>
      </c>
      <c r="AE117" s="71">
        <f t="shared" si="34"/>
        <v>0.47083333333333299</v>
      </c>
      <c r="AF117" s="187"/>
    </row>
    <row r="118" spans="1:32" x14ac:dyDescent="0.25">
      <c r="A118" s="4" t="s">
        <v>145</v>
      </c>
      <c r="B118" s="38">
        <f>$H$62</f>
        <v>8.1018518518518503E-5</v>
      </c>
      <c r="C118" s="244"/>
      <c r="D118" s="247"/>
      <c r="E118" s="18"/>
      <c r="F118" s="18"/>
      <c r="K118" s="4">
        <v>1660</v>
      </c>
      <c r="L118" s="15">
        <f t="shared" si="26"/>
        <v>0.59722222222222199</v>
      </c>
      <c r="P118" s="91"/>
      <c r="Q118" s="69">
        <v>115</v>
      </c>
      <c r="R118" s="70">
        <f t="shared" si="23"/>
        <v>0.36805555555555503</v>
      </c>
      <c r="S118" s="392">
        <f t="shared" si="35"/>
        <v>0.34027777777777701</v>
      </c>
      <c r="T118" s="640"/>
      <c r="V118" s="68"/>
      <c r="W118" s="69">
        <v>114</v>
      </c>
      <c r="X118" s="52">
        <f t="shared" si="24"/>
        <v>0.49166666666666597</v>
      </c>
      <c r="Y118" s="71">
        <f t="shared" si="33"/>
        <v>0.47777777777777702</v>
      </c>
      <c r="Z118" s="187"/>
      <c r="AB118" s="68"/>
      <c r="AC118" s="69">
        <v>114</v>
      </c>
      <c r="AD118" s="52">
        <f t="shared" si="25"/>
        <v>0.49166666666666597</v>
      </c>
      <c r="AE118" s="71">
        <f t="shared" si="34"/>
        <v>0.47777777777777702</v>
      </c>
      <c r="AF118" s="187"/>
    </row>
    <row r="119" spans="1:32" x14ac:dyDescent="0.25">
      <c r="A119" s="4" t="s">
        <v>187</v>
      </c>
      <c r="B119" s="29">
        <f>B115</f>
        <v>0</v>
      </c>
      <c r="C119" s="380">
        <f>B121*24</f>
        <v>0</v>
      </c>
      <c r="D119" s="247"/>
      <c r="E119" s="18"/>
      <c r="F119" s="18"/>
      <c r="K119" s="4">
        <v>1670</v>
      </c>
      <c r="L119" s="15">
        <f t="shared" si="26"/>
        <v>0.60069444444444398</v>
      </c>
      <c r="P119" s="91"/>
      <c r="Q119" s="69">
        <v>116</v>
      </c>
      <c r="R119" s="70">
        <f t="shared" si="23"/>
        <v>0.37118055555555501</v>
      </c>
      <c r="S119" s="392">
        <f t="shared" si="35"/>
        <v>0.343402777777777</v>
      </c>
      <c r="T119" s="640"/>
      <c r="V119" s="68"/>
      <c r="W119" s="69">
        <v>115</v>
      </c>
      <c r="X119" s="52">
        <f t="shared" si="24"/>
        <v>0.49861111111111001</v>
      </c>
      <c r="Y119" s="71">
        <f t="shared" si="33"/>
        <v>0.484722222222221</v>
      </c>
      <c r="Z119" s="187"/>
      <c r="AB119" s="68"/>
      <c r="AC119" s="69">
        <v>115</v>
      </c>
      <c r="AD119" s="52">
        <f t="shared" si="25"/>
        <v>0.49861111111111001</v>
      </c>
      <c r="AE119" s="71">
        <f t="shared" si="34"/>
        <v>0.484722222222221</v>
      </c>
      <c r="AF119" s="187"/>
    </row>
    <row r="120" spans="1:32" x14ac:dyDescent="0.25">
      <c r="A120" s="4" t="s">
        <v>188</v>
      </c>
      <c r="B120" s="15">
        <f>B118*B119</f>
        <v>0</v>
      </c>
      <c r="C120" s="381" t="s">
        <v>37</v>
      </c>
      <c r="E120" s="18"/>
      <c r="F120" s="18"/>
      <c r="K120" s="4">
        <v>1680</v>
      </c>
      <c r="L120" s="15">
        <f t="shared" si="26"/>
        <v>0.60416666666666596</v>
      </c>
      <c r="P120" s="91"/>
      <c r="Q120" s="69">
        <v>117</v>
      </c>
      <c r="R120" s="70">
        <f t="shared" si="23"/>
        <v>0.374305555555555</v>
      </c>
      <c r="S120" s="392">
        <f t="shared" si="35"/>
        <v>0.34652777777777699</v>
      </c>
      <c r="T120" s="640"/>
      <c r="V120" s="68"/>
      <c r="W120" s="69">
        <v>116</v>
      </c>
      <c r="X120" s="52">
        <f t="shared" si="24"/>
        <v>0.50555555555555398</v>
      </c>
      <c r="Y120" s="71">
        <f t="shared" si="33"/>
        <v>0.49166666666666498</v>
      </c>
      <c r="Z120" s="187"/>
      <c r="AB120" s="68"/>
      <c r="AC120" s="69">
        <v>116</v>
      </c>
      <c r="AD120" s="52">
        <f t="shared" si="25"/>
        <v>0.50555555555555398</v>
      </c>
      <c r="AE120" s="71">
        <f t="shared" si="34"/>
        <v>0.49166666666666498</v>
      </c>
      <c r="AF120" s="187"/>
    </row>
    <row r="121" spans="1:32" x14ac:dyDescent="0.25">
      <c r="A121" s="4" t="s">
        <v>189</v>
      </c>
      <c r="B121" s="28">
        <f>(B117*E4)+(B120*E4)</f>
        <v>0</v>
      </c>
      <c r="C121" s="382">
        <f>C119/7</f>
        <v>0</v>
      </c>
      <c r="E121" s="18"/>
      <c r="F121" s="18"/>
      <c r="K121" s="4">
        <v>1690</v>
      </c>
      <c r="L121" s="15">
        <f t="shared" si="26"/>
        <v>0.60763888888888895</v>
      </c>
      <c r="P121" s="91"/>
      <c r="Q121" s="69">
        <v>118</v>
      </c>
      <c r="R121" s="70">
        <f t="shared" si="23"/>
        <v>0.37743055555555499</v>
      </c>
      <c r="S121" s="392">
        <f t="shared" si="35"/>
        <v>0.34965277777777698</v>
      </c>
      <c r="T121" s="640"/>
      <c r="V121" s="68"/>
      <c r="W121" s="69">
        <v>117</v>
      </c>
      <c r="X121" s="52">
        <f t="shared" si="24"/>
        <v>0.51249999999999796</v>
      </c>
      <c r="Y121" s="71">
        <f t="shared" si="33"/>
        <v>0.49861111111110901</v>
      </c>
      <c r="Z121" s="187"/>
      <c r="AB121" s="68"/>
      <c r="AC121" s="69">
        <v>117</v>
      </c>
      <c r="AD121" s="52">
        <f t="shared" si="25"/>
        <v>0.51249999999999796</v>
      </c>
      <c r="AE121" s="71">
        <f t="shared" si="34"/>
        <v>0.49861111111110901</v>
      </c>
      <c r="AF121" s="187"/>
    </row>
    <row r="122" spans="1:32" ht="15" customHeight="1" thickBot="1" x14ac:dyDescent="0.3">
      <c r="A122" s="30"/>
      <c r="B122" s="30"/>
      <c r="C122" s="244"/>
      <c r="E122" s="18"/>
      <c r="F122" s="245"/>
      <c r="K122" s="4">
        <v>1700</v>
      </c>
      <c r="L122" s="15">
        <f t="shared" si="26"/>
        <v>0.61111111111111105</v>
      </c>
      <c r="P122" s="91"/>
      <c r="Q122" s="69">
        <v>119</v>
      </c>
      <c r="R122" s="70">
        <f t="shared" si="23"/>
        <v>0.38055555555555498</v>
      </c>
      <c r="S122" s="392">
        <f t="shared" si="35"/>
        <v>0.35277777777777702</v>
      </c>
      <c r="T122" s="640"/>
      <c r="V122" s="68"/>
      <c r="W122" s="69">
        <v>118</v>
      </c>
      <c r="X122" s="52">
        <f t="shared" si="24"/>
        <v>0.51944444444444204</v>
      </c>
      <c r="Y122" s="71">
        <f t="shared" si="33"/>
        <v>0.50555555555555298</v>
      </c>
      <c r="Z122" s="187"/>
      <c r="AB122" s="68"/>
      <c r="AC122" s="69">
        <v>118</v>
      </c>
      <c r="AD122" s="52">
        <f t="shared" si="25"/>
        <v>0.51944444444444204</v>
      </c>
      <c r="AE122" s="71">
        <f t="shared" si="34"/>
        <v>0.50555555555555298</v>
      </c>
      <c r="AF122" s="187"/>
    </row>
    <row r="123" spans="1:32" ht="15" customHeight="1" thickBot="1" x14ac:dyDescent="0.3">
      <c r="A123" s="27" t="s">
        <v>190</v>
      </c>
      <c r="B123" s="25"/>
      <c r="C123" s="244"/>
      <c r="E123" s="18"/>
      <c r="F123" s="18"/>
      <c r="K123" s="4">
        <v>1710</v>
      </c>
      <c r="L123" s="15">
        <f t="shared" si="26"/>
        <v>0.61458333333333304</v>
      </c>
      <c r="P123" s="91"/>
      <c r="Q123" s="69">
        <v>120</v>
      </c>
      <c r="R123" s="70">
        <f t="shared" si="23"/>
        <v>0.38368055555555503</v>
      </c>
      <c r="S123" s="392">
        <f t="shared" si="35"/>
        <v>0.35590277777777701</v>
      </c>
      <c r="T123" s="640"/>
      <c r="V123" s="68"/>
      <c r="W123" s="69">
        <v>119</v>
      </c>
      <c r="X123" s="52">
        <f t="shared" si="24"/>
        <v>0.52638888888888602</v>
      </c>
      <c r="Y123" s="71">
        <f t="shared" si="33"/>
        <v>0.51249999999999696</v>
      </c>
      <c r="Z123" s="187"/>
      <c r="AB123" s="68"/>
      <c r="AC123" s="69">
        <v>119</v>
      </c>
      <c r="AD123" s="52">
        <f t="shared" si="25"/>
        <v>0.52638888888888602</v>
      </c>
      <c r="AE123" s="71">
        <f t="shared" si="34"/>
        <v>0.51249999999999696</v>
      </c>
      <c r="AF123" s="187"/>
    </row>
    <row r="124" spans="1:32" x14ac:dyDescent="0.25">
      <c r="A124" s="23" t="s">
        <v>146</v>
      </c>
      <c r="B124" s="39">
        <f>H63</f>
        <v>0</v>
      </c>
      <c r="C124" s="380" t="e">
        <f>B126*24</f>
        <v>#DIV/0!</v>
      </c>
      <c r="E124" s="18"/>
      <c r="F124" s="18"/>
      <c r="K124" s="4">
        <v>1720</v>
      </c>
      <c r="L124" s="15">
        <f t="shared" si="26"/>
        <v>0.61805555555555503</v>
      </c>
      <c r="P124" s="91"/>
      <c r="Q124" s="69">
        <v>121</v>
      </c>
      <c r="R124" s="70">
        <f t="shared" si="23"/>
        <v>0.38680555555555501</v>
      </c>
      <c r="S124" s="392">
        <f t="shared" si="35"/>
        <v>0.359027777777777</v>
      </c>
      <c r="T124" s="640"/>
      <c r="V124" s="68"/>
      <c r="W124" s="69">
        <v>120</v>
      </c>
      <c r="X124" s="52">
        <f t="shared" si="24"/>
        <v>0.53333333333333</v>
      </c>
      <c r="Y124" s="71">
        <f t="shared" si="33"/>
        <v>0.51944444444444104</v>
      </c>
      <c r="Z124" s="187"/>
      <c r="AB124" s="68"/>
      <c r="AC124" s="69">
        <v>120</v>
      </c>
      <c r="AD124" s="52">
        <f t="shared" si="25"/>
        <v>0.53333333333333</v>
      </c>
      <c r="AE124" s="71">
        <f t="shared" si="34"/>
        <v>0.51944444444444104</v>
      </c>
      <c r="AF124" s="187"/>
    </row>
    <row r="125" spans="1:32" x14ac:dyDescent="0.25">
      <c r="A125" s="4" t="s">
        <v>191</v>
      </c>
      <c r="B125" s="37"/>
      <c r="C125" s="381" t="s">
        <v>37</v>
      </c>
      <c r="E125" s="246"/>
      <c r="K125" s="4">
        <v>1730</v>
      </c>
      <c r="L125" s="15">
        <f t="shared" si="26"/>
        <v>0.62152777777777701</v>
      </c>
      <c r="P125" s="91"/>
      <c r="Q125" s="69">
        <v>122</v>
      </c>
      <c r="R125" s="70">
        <f t="shared" si="23"/>
        <v>0.389930555555555</v>
      </c>
      <c r="S125" s="392">
        <f t="shared" si="35"/>
        <v>0.36215277777777699</v>
      </c>
      <c r="T125" s="640"/>
      <c r="V125" s="68"/>
      <c r="W125" s="69">
        <v>121</v>
      </c>
      <c r="X125" s="52">
        <f t="shared" si="24"/>
        <v>0.54027777777777397</v>
      </c>
      <c r="Y125" s="71">
        <f t="shared" si="33"/>
        <v>0.52638888888888502</v>
      </c>
      <c r="Z125" s="187"/>
      <c r="AB125" s="68"/>
      <c r="AC125" s="69">
        <v>121</v>
      </c>
      <c r="AD125" s="52">
        <f t="shared" si="25"/>
        <v>0.54027777777777397</v>
      </c>
      <c r="AE125" s="71">
        <f t="shared" si="34"/>
        <v>0.52638888888888502</v>
      </c>
      <c r="AF125" s="187"/>
    </row>
    <row r="126" spans="1:32" x14ac:dyDescent="0.25">
      <c r="A126" s="4" t="s">
        <v>192</v>
      </c>
      <c r="B126" s="28" t="e">
        <f>(B124*E5)+B125</f>
        <v>#DIV/0!</v>
      </c>
      <c r="C126" s="382" t="e">
        <f>C124/7</f>
        <v>#DIV/0!</v>
      </c>
      <c r="E126" s="18"/>
      <c r="K126" s="4">
        <v>1740</v>
      </c>
      <c r="L126" s="15">
        <f t="shared" si="26"/>
        <v>0.625</v>
      </c>
      <c r="P126" s="91"/>
      <c r="Q126" s="69">
        <v>123</v>
      </c>
      <c r="R126" s="70">
        <f t="shared" si="23"/>
        <v>0.39305555555555499</v>
      </c>
      <c r="S126" s="392">
        <f t="shared" si="35"/>
        <v>0.36527777777777698</v>
      </c>
      <c r="T126" s="640"/>
      <c r="V126" s="68"/>
      <c r="W126" s="69">
        <v>122</v>
      </c>
      <c r="X126" s="52">
        <f t="shared" si="24"/>
        <v>0.54722222222221795</v>
      </c>
      <c r="Y126" s="71">
        <f t="shared" si="33"/>
        <v>0.533333333333329</v>
      </c>
      <c r="Z126" s="187"/>
      <c r="AB126" s="68"/>
      <c r="AC126" s="69">
        <v>122</v>
      </c>
      <c r="AD126" s="52">
        <f t="shared" si="25"/>
        <v>0.54722222222221795</v>
      </c>
      <c r="AE126" s="71">
        <f t="shared" si="34"/>
        <v>0.533333333333329</v>
      </c>
      <c r="AF126" s="187"/>
    </row>
    <row r="127" spans="1:32" ht="15" customHeight="1" thickBot="1" x14ac:dyDescent="0.3">
      <c r="A127" s="30"/>
      <c r="B127" s="30"/>
      <c r="C127" s="244"/>
      <c r="K127" s="4">
        <v>1750</v>
      </c>
      <c r="L127" s="15">
        <f t="shared" si="26"/>
        <v>0.62847222222222199</v>
      </c>
      <c r="P127" s="91"/>
      <c r="Q127" s="69">
        <v>124</v>
      </c>
      <c r="R127" s="70">
        <f t="shared" si="23"/>
        <v>0.39618055555555498</v>
      </c>
      <c r="S127" s="392">
        <f t="shared" si="35"/>
        <v>0.36840277777777702</v>
      </c>
      <c r="T127" s="640"/>
      <c r="V127" s="68"/>
      <c r="W127" s="69">
        <v>123</v>
      </c>
      <c r="X127" s="52">
        <f t="shared" si="24"/>
        <v>0.55416666666666203</v>
      </c>
      <c r="Y127" s="71">
        <f t="shared" si="33"/>
        <v>0.54027777777777297</v>
      </c>
      <c r="Z127" s="187"/>
      <c r="AB127" s="68"/>
      <c r="AC127" s="69">
        <v>123</v>
      </c>
      <c r="AD127" s="52">
        <f t="shared" si="25"/>
        <v>0.55416666666666203</v>
      </c>
      <c r="AE127" s="71">
        <f t="shared" si="34"/>
        <v>0.54027777777777297</v>
      </c>
      <c r="AF127" s="187"/>
    </row>
    <row r="128" spans="1:32" ht="15" customHeight="1" thickBot="1" x14ac:dyDescent="0.3">
      <c r="A128" s="27" t="s">
        <v>127</v>
      </c>
      <c r="B128" s="25"/>
      <c r="C128" s="380">
        <f>B130*24</f>
        <v>0.33</v>
      </c>
      <c r="D128" s="42"/>
      <c r="E128" s="18"/>
      <c r="K128" s="4">
        <v>1760</v>
      </c>
      <c r="L128" s="15">
        <f t="shared" si="26"/>
        <v>0.63194444444444398</v>
      </c>
      <c r="P128" s="91"/>
      <c r="Q128" s="69">
        <v>125</v>
      </c>
      <c r="R128" s="70">
        <f t="shared" si="23"/>
        <v>0.39930555555555503</v>
      </c>
      <c r="S128" s="392">
        <f t="shared" si="35"/>
        <v>0.37152777777777701</v>
      </c>
      <c r="T128" s="640"/>
      <c r="V128" s="68"/>
      <c r="W128" s="69">
        <v>124</v>
      </c>
      <c r="X128" s="52">
        <f t="shared" si="24"/>
        <v>0.56111111111110601</v>
      </c>
      <c r="Y128" s="71">
        <f t="shared" si="33"/>
        <v>0.54722222222221695</v>
      </c>
      <c r="Z128" s="187"/>
      <c r="AB128" s="68"/>
      <c r="AC128" s="69">
        <v>124</v>
      </c>
      <c r="AD128" s="52">
        <f t="shared" si="25"/>
        <v>0.56111111111110601</v>
      </c>
      <c r="AE128" s="71">
        <f t="shared" si="34"/>
        <v>0.54722222222221695</v>
      </c>
      <c r="AF128" s="187"/>
    </row>
    <row r="129" spans="1:32" x14ac:dyDescent="0.25">
      <c r="A129" s="23" t="s">
        <v>129</v>
      </c>
      <c r="B129" s="39">
        <f>H52</f>
        <v>4.6296296296296298E-4</v>
      </c>
      <c r="C129" s="381" t="s">
        <v>37</v>
      </c>
      <c r="D129" s="42"/>
      <c r="E129" s="18"/>
      <c r="K129" s="4">
        <v>1770</v>
      </c>
      <c r="L129" s="15">
        <f t="shared" si="26"/>
        <v>0.63541666666666596</v>
      </c>
      <c r="P129" s="91"/>
      <c r="Q129" s="69">
        <v>126</v>
      </c>
      <c r="R129" s="70">
        <f t="shared" si="23"/>
        <v>0.40243055555555501</v>
      </c>
      <c r="S129" s="392">
        <f t="shared" si="35"/>
        <v>0.374652777777777</v>
      </c>
      <c r="T129" s="640"/>
      <c r="V129" s="68"/>
      <c r="W129" s="69">
        <v>125</v>
      </c>
      <c r="X129" s="52">
        <f t="shared" si="24"/>
        <v>0.56805555555554998</v>
      </c>
      <c r="Y129" s="71">
        <f t="shared" si="33"/>
        <v>0.55416666666666103</v>
      </c>
      <c r="Z129" s="187"/>
      <c r="AB129" s="68"/>
      <c r="AC129" s="69">
        <v>125</v>
      </c>
      <c r="AD129" s="52">
        <f t="shared" si="25"/>
        <v>0.56805555555554998</v>
      </c>
      <c r="AE129" s="71">
        <f t="shared" si="34"/>
        <v>0.55416666666666103</v>
      </c>
      <c r="AF129" s="187"/>
    </row>
    <row r="130" spans="1:32" ht="15" customHeight="1" thickBot="1" x14ac:dyDescent="0.3">
      <c r="A130" s="24" t="s">
        <v>193</v>
      </c>
      <c r="B130" s="19">
        <f>(B129*E4)+H58</f>
        <v>1.38888888888889E-2</v>
      </c>
      <c r="C130" s="382">
        <f>C128/7</f>
        <v>0.05</v>
      </c>
      <c r="K130" s="4">
        <v>1780</v>
      </c>
      <c r="L130" s="15">
        <f t="shared" si="26"/>
        <v>0.63888888888888895</v>
      </c>
      <c r="P130" s="91"/>
      <c r="Q130" s="69">
        <v>127</v>
      </c>
      <c r="R130" s="70">
        <f t="shared" si="23"/>
        <v>0.405555555555555</v>
      </c>
      <c r="S130" s="392">
        <f t="shared" si="35"/>
        <v>0.37777777777777699</v>
      </c>
      <c r="T130" s="640"/>
      <c r="V130" s="68"/>
      <c r="W130" s="69">
        <v>126</v>
      </c>
      <c r="X130" s="52">
        <f t="shared" si="24"/>
        <v>0.57499999999999396</v>
      </c>
      <c r="Y130" s="71">
        <f t="shared" si="33"/>
        <v>0.56111111111110501</v>
      </c>
      <c r="Z130" s="187"/>
      <c r="AB130" s="68"/>
      <c r="AC130" s="69">
        <v>126</v>
      </c>
      <c r="AD130" s="52">
        <f t="shared" si="25"/>
        <v>0.57499999999999396</v>
      </c>
      <c r="AE130" s="71">
        <f t="shared" si="34"/>
        <v>0.56111111111110501</v>
      </c>
      <c r="AF130" s="187"/>
    </row>
    <row r="131" spans="1:32" x14ac:dyDescent="0.25">
      <c r="A131" s="310" t="s">
        <v>194</v>
      </c>
      <c r="B131" s="315">
        <f>INDEX(J3:J16,MATCH(E6,I3:I16,1))</f>
        <v>0</v>
      </c>
      <c r="C131" s="390" t="s">
        <v>195</v>
      </c>
      <c r="K131" s="4">
        <v>1790</v>
      </c>
      <c r="L131" s="15">
        <f t="shared" si="26"/>
        <v>0.64236111111111105</v>
      </c>
      <c r="P131" s="91"/>
      <c r="Q131" s="69">
        <v>128</v>
      </c>
      <c r="R131" s="70">
        <f t="shared" si="23"/>
        <v>0.40868055555555499</v>
      </c>
      <c r="S131" s="392">
        <f t="shared" si="35"/>
        <v>0.38090277777777698</v>
      </c>
      <c r="T131" s="640"/>
      <c r="V131" s="68"/>
      <c r="W131" s="69">
        <v>127</v>
      </c>
      <c r="X131" s="52">
        <f t="shared" si="24"/>
        <v>0.58194444444443805</v>
      </c>
      <c r="Y131" s="71">
        <f t="shared" si="33"/>
        <v>0.56805555555554899</v>
      </c>
      <c r="Z131" s="187"/>
      <c r="AB131" s="68"/>
      <c r="AC131" s="69">
        <v>127</v>
      </c>
      <c r="AD131" s="52">
        <f t="shared" si="25"/>
        <v>0.58194444444443805</v>
      </c>
      <c r="AE131" s="71">
        <f t="shared" si="34"/>
        <v>0.56805555555554899</v>
      </c>
      <c r="AF131" s="187"/>
    </row>
    <row r="132" spans="1:32" x14ac:dyDescent="0.25">
      <c r="A132" s="23" t="s">
        <v>139</v>
      </c>
      <c r="B132" s="316">
        <f>H57</f>
        <v>1.38888888888889E-2</v>
      </c>
      <c r="C132" s="244"/>
      <c r="K132" s="4">
        <v>1800</v>
      </c>
      <c r="L132" s="15">
        <f t="shared" si="26"/>
        <v>0.64583333333333304</v>
      </c>
      <c r="P132" s="91"/>
      <c r="Q132" s="69">
        <v>129</v>
      </c>
      <c r="R132" s="70">
        <f t="shared" si="23"/>
        <v>0.41180555555555498</v>
      </c>
      <c r="S132" s="392">
        <f t="shared" si="35"/>
        <v>0.38402777777777702</v>
      </c>
      <c r="T132" s="640"/>
      <c r="V132" s="68"/>
      <c r="W132" s="69">
        <v>128</v>
      </c>
      <c r="X132" s="52">
        <f t="shared" si="24"/>
        <v>0.58888888888888202</v>
      </c>
      <c r="Y132" s="71">
        <f t="shared" si="33"/>
        <v>0.57499999999999296</v>
      </c>
      <c r="Z132" s="187"/>
      <c r="AB132" s="68"/>
      <c r="AC132" s="69">
        <v>128</v>
      </c>
      <c r="AD132" s="52">
        <f t="shared" si="25"/>
        <v>0.58888888888888202</v>
      </c>
      <c r="AE132" s="71">
        <f t="shared" si="34"/>
        <v>0.57499999999999296</v>
      </c>
      <c r="AF132" s="187"/>
    </row>
    <row r="133" spans="1:32" x14ac:dyDescent="0.25">
      <c r="A133" s="311" t="s">
        <v>196</v>
      </c>
      <c r="B133" s="317" t="e">
        <f>(B131*E5)+B132</f>
        <v>#DIV/0!</v>
      </c>
      <c r="C133" s="244"/>
      <c r="K133" s="4">
        <v>1810</v>
      </c>
      <c r="L133" s="15">
        <f t="shared" si="26"/>
        <v>0.64930555555555503</v>
      </c>
      <c r="P133" s="91"/>
      <c r="Q133" s="69">
        <v>130</v>
      </c>
      <c r="R133" s="70">
        <f t="shared" ref="R133:R196" si="36">$R$4+S133</f>
        <v>0.41493055555555503</v>
      </c>
      <c r="S133" s="392">
        <f t="shared" si="35"/>
        <v>0.38715277777777701</v>
      </c>
      <c r="T133" s="640"/>
      <c r="V133" s="68"/>
      <c r="W133" s="69">
        <v>129</v>
      </c>
      <c r="X133" s="52">
        <f t="shared" si="24"/>
        <v>0.595833333333326</v>
      </c>
      <c r="Y133" s="71">
        <f t="shared" si="33"/>
        <v>0.58194444444443705</v>
      </c>
      <c r="Z133" s="187"/>
      <c r="AB133" s="68"/>
      <c r="AC133" s="69">
        <v>129</v>
      </c>
      <c r="AD133" s="52">
        <f t="shared" si="25"/>
        <v>0.595833333333326</v>
      </c>
      <c r="AE133" s="71">
        <f t="shared" si="34"/>
        <v>0.58194444444443705</v>
      </c>
      <c r="AF133" s="187"/>
    </row>
    <row r="134" spans="1:32" x14ac:dyDescent="0.25">
      <c r="A134" s="312" t="s">
        <v>126</v>
      </c>
      <c r="B134" s="318">
        <f>(E7*0.5)</f>
        <v>0</v>
      </c>
      <c r="C134" s="244"/>
      <c r="K134" s="4">
        <v>1820</v>
      </c>
      <c r="L134" s="15">
        <f t="shared" si="26"/>
        <v>0.65277777777777701</v>
      </c>
      <c r="P134" s="91"/>
      <c r="Q134" s="69">
        <v>131</v>
      </c>
      <c r="R134" s="70">
        <f t="shared" si="36"/>
        <v>0.41805555555555501</v>
      </c>
      <c r="S134" s="392">
        <f t="shared" si="35"/>
        <v>0.390277777777777</v>
      </c>
      <c r="T134" s="640"/>
      <c r="V134" s="68"/>
      <c r="W134" s="69">
        <v>130</v>
      </c>
      <c r="X134" s="52">
        <f t="shared" ref="X134:X154" si="37">$X$5+Y134</f>
        <v>0.60277777777776997</v>
      </c>
      <c r="Y134" s="71">
        <f t="shared" si="33"/>
        <v>0.58888888888888102</v>
      </c>
      <c r="Z134" s="187"/>
      <c r="AB134" s="68"/>
      <c r="AC134" s="69">
        <v>130</v>
      </c>
      <c r="AD134" s="52">
        <f t="shared" ref="AD134:AD154" si="38">$AD$5+AE134</f>
        <v>0.60277777777776997</v>
      </c>
      <c r="AE134" s="71">
        <f t="shared" si="34"/>
        <v>0.58888888888888102</v>
      </c>
      <c r="AF134" s="187"/>
    </row>
    <row r="135" spans="1:32" x14ac:dyDescent="0.25">
      <c r="A135" s="311" t="s">
        <v>197</v>
      </c>
      <c r="B135" s="317">
        <f>B131*B134</f>
        <v>0</v>
      </c>
      <c r="C135" s="244"/>
      <c r="K135" s="4">
        <v>1830</v>
      </c>
      <c r="L135" s="15">
        <f t="shared" si="26"/>
        <v>0.65625</v>
      </c>
      <c r="P135" s="91"/>
      <c r="Q135" s="69">
        <v>132</v>
      </c>
      <c r="R135" s="70">
        <f t="shared" si="36"/>
        <v>0.421180555555555</v>
      </c>
      <c r="S135" s="392">
        <f t="shared" si="35"/>
        <v>0.39340277777777699</v>
      </c>
      <c r="T135" s="640"/>
      <c r="V135" s="68"/>
      <c r="W135" s="69">
        <v>131</v>
      </c>
      <c r="X135" s="52">
        <f t="shared" si="37"/>
        <v>0.60972222222221395</v>
      </c>
      <c r="Y135" s="71">
        <f t="shared" si="33"/>
        <v>0.595833333333325</v>
      </c>
      <c r="Z135" s="187"/>
      <c r="AB135" s="68"/>
      <c r="AC135" s="69">
        <v>131</v>
      </c>
      <c r="AD135" s="52">
        <f t="shared" si="38"/>
        <v>0.60972222222221395</v>
      </c>
      <c r="AE135" s="71">
        <f t="shared" si="34"/>
        <v>0.595833333333325</v>
      </c>
      <c r="AF135" s="187"/>
    </row>
    <row r="136" spans="1:32" x14ac:dyDescent="0.25">
      <c r="A136" s="23" t="s">
        <v>139</v>
      </c>
      <c r="B136" s="316">
        <f>H57*B134</f>
        <v>0</v>
      </c>
      <c r="C136" s="244"/>
      <c r="K136" s="4">
        <v>1840</v>
      </c>
      <c r="L136" s="15">
        <f t="shared" si="26"/>
        <v>0.65972222222222199</v>
      </c>
      <c r="P136" s="91"/>
      <c r="Q136" s="69">
        <v>133</v>
      </c>
      <c r="R136" s="70">
        <f t="shared" si="36"/>
        <v>0.42430555555555499</v>
      </c>
      <c r="S136" s="392">
        <f t="shared" si="35"/>
        <v>0.39652777777777698</v>
      </c>
      <c r="T136" s="640"/>
      <c r="V136" s="68"/>
      <c r="W136" s="69">
        <v>132</v>
      </c>
      <c r="X136" s="52">
        <f t="shared" si="37"/>
        <v>0.61666666666665804</v>
      </c>
      <c r="Y136" s="71">
        <f t="shared" si="33"/>
        <v>0.60277777777776897</v>
      </c>
      <c r="Z136" s="187"/>
      <c r="AB136" s="68"/>
      <c r="AC136" s="69">
        <v>132</v>
      </c>
      <c r="AD136" s="52">
        <f t="shared" si="38"/>
        <v>0.61666666666665804</v>
      </c>
      <c r="AE136" s="71">
        <f t="shared" si="34"/>
        <v>0.60277777777776897</v>
      </c>
      <c r="AF136" s="187"/>
    </row>
    <row r="137" spans="1:32" x14ac:dyDescent="0.25">
      <c r="A137" s="311" t="s">
        <v>198</v>
      </c>
      <c r="B137" s="317" t="e">
        <f>(B135*E5)+B136</f>
        <v>#DIV/0!</v>
      </c>
      <c r="C137" s="380" t="e">
        <f>B139*24</f>
        <v>#DIV/0!</v>
      </c>
      <c r="K137" s="4">
        <v>1850</v>
      </c>
      <c r="L137" s="15">
        <f t="shared" ref="L137:L198" si="39">$L$6+(((K137-$K$6)/10)*$M$2)</f>
        <v>0.66319444444444398</v>
      </c>
      <c r="P137" s="91"/>
      <c r="Q137" s="69">
        <v>134</v>
      </c>
      <c r="R137" s="70">
        <f t="shared" si="36"/>
        <v>0.42743055555555498</v>
      </c>
      <c r="S137" s="392">
        <f t="shared" si="35"/>
        <v>0.39965277777777702</v>
      </c>
      <c r="T137" s="640"/>
      <c r="V137" s="68"/>
      <c r="W137" s="69">
        <v>133</v>
      </c>
      <c r="X137" s="52">
        <f t="shared" si="37"/>
        <v>0.62361111111110201</v>
      </c>
      <c r="Y137" s="71">
        <f t="shared" si="33"/>
        <v>0.60972222222221295</v>
      </c>
      <c r="Z137" s="187"/>
      <c r="AB137" s="68"/>
      <c r="AC137" s="69">
        <v>133</v>
      </c>
      <c r="AD137" s="52">
        <f t="shared" si="38"/>
        <v>0.62361111111110201</v>
      </c>
      <c r="AE137" s="71">
        <f t="shared" si="34"/>
        <v>0.60972222222221295</v>
      </c>
      <c r="AF137" s="187"/>
    </row>
    <row r="138" spans="1:32" x14ac:dyDescent="0.25">
      <c r="A138" s="23" t="s">
        <v>199</v>
      </c>
      <c r="B138" s="319" t="e">
        <f>(B133+B137)/E4</f>
        <v>#DIV/0!</v>
      </c>
      <c r="C138" s="381" t="s">
        <v>37</v>
      </c>
      <c r="K138" s="4">
        <v>1860</v>
      </c>
      <c r="L138" s="15">
        <f t="shared" si="39"/>
        <v>0.66666666666666596</v>
      </c>
      <c r="P138" s="91"/>
      <c r="Q138" s="69">
        <v>135</v>
      </c>
      <c r="R138" s="70">
        <f t="shared" si="36"/>
        <v>0.43055555555555503</v>
      </c>
      <c r="S138" s="392">
        <f t="shared" si="35"/>
        <v>0.40277777777777701</v>
      </c>
      <c r="T138" s="640"/>
      <c r="V138" s="68"/>
      <c r="W138" s="69">
        <v>134</v>
      </c>
      <c r="X138" s="52">
        <f t="shared" si="37"/>
        <v>0.63055555555554599</v>
      </c>
      <c r="Y138" s="71">
        <f t="shared" si="33"/>
        <v>0.61666666666665704</v>
      </c>
      <c r="Z138" s="187"/>
      <c r="AB138" s="68"/>
      <c r="AC138" s="69">
        <v>134</v>
      </c>
      <c r="AD138" s="52">
        <f t="shared" si="38"/>
        <v>0.63055555555554599</v>
      </c>
      <c r="AE138" s="71">
        <f t="shared" si="34"/>
        <v>0.61666666666665704</v>
      </c>
      <c r="AF138" s="187"/>
    </row>
    <row r="139" spans="1:32" ht="15" customHeight="1" thickBot="1" x14ac:dyDescent="0.3">
      <c r="A139" s="313" t="s">
        <v>200</v>
      </c>
      <c r="B139" s="320" t="e">
        <f>B133+B137</f>
        <v>#DIV/0!</v>
      </c>
      <c r="C139" s="382" t="e">
        <f>C137/7</f>
        <v>#DIV/0!</v>
      </c>
      <c r="K139" s="4">
        <v>1870</v>
      </c>
      <c r="L139" s="15">
        <f t="shared" si="39"/>
        <v>0.67013888888888895</v>
      </c>
      <c r="P139" s="91"/>
      <c r="Q139" s="69">
        <v>136</v>
      </c>
      <c r="R139" s="70">
        <f t="shared" si="36"/>
        <v>0.43368055555555501</v>
      </c>
      <c r="S139" s="392">
        <f t="shared" si="35"/>
        <v>0.405902777777777</v>
      </c>
      <c r="T139" s="640"/>
      <c r="V139" s="68"/>
      <c r="W139" s="69">
        <v>135</v>
      </c>
      <c r="X139" s="52">
        <f t="shared" si="37"/>
        <v>0.63749999999998996</v>
      </c>
      <c r="Y139" s="71">
        <f t="shared" si="33"/>
        <v>0.62361111111110101</v>
      </c>
      <c r="Z139" s="187"/>
      <c r="AB139" s="68"/>
      <c r="AC139" s="69">
        <v>135</v>
      </c>
      <c r="AD139" s="52">
        <f t="shared" si="38"/>
        <v>0.63749999999998996</v>
      </c>
      <c r="AE139" s="71">
        <f t="shared" si="34"/>
        <v>0.62361111111110101</v>
      </c>
      <c r="AF139" s="187"/>
    </row>
    <row r="140" spans="1:32" x14ac:dyDescent="0.25">
      <c r="A140" s="30"/>
      <c r="B140" s="30"/>
      <c r="C140" s="244"/>
      <c r="K140" s="4">
        <v>1880</v>
      </c>
      <c r="L140" s="15">
        <f t="shared" si="39"/>
        <v>0.67361111111111105</v>
      </c>
      <c r="P140" s="91"/>
      <c r="Q140" s="69">
        <v>137</v>
      </c>
      <c r="R140" s="70">
        <f t="shared" si="36"/>
        <v>0.436805555555555</v>
      </c>
      <c r="S140" s="392">
        <f t="shared" si="35"/>
        <v>0.40902777777777699</v>
      </c>
      <c r="T140" s="640"/>
      <c r="V140" s="68"/>
      <c r="W140" s="69">
        <v>136</v>
      </c>
      <c r="X140" s="52">
        <f t="shared" si="37"/>
        <v>0.64444444444443405</v>
      </c>
      <c r="Y140" s="71">
        <f t="shared" si="33"/>
        <v>0.63055555555554499</v>
      </c>
      <c r="Z140" s="187"/>
      <c r="AB140" s="68"/>
      <c r="AC140" s="69">
        <v>136</v>
      </c>
      <c r="AD140" s="52">
        <f t="shared" si="38"/>
        <v>0.64444444444443405</v>
      </c>
      <c r="AE140" s="71">
        <f t="shared" si="34"/>
        <v>0.63055555555554499</v>
      </c>
      <c r="AF140" s="187"/>
    </row>
    <row r="141" spans="1:32" x14ac:dyDescent="0.25">
      <c r="A141" s="49" t="s">
        <v>201</v>
      </c>
      <c r="B141" s="4"/>
      <c r="C141" s="380">
        <f>B143*24</f>
        <v>0</v>
      </c>
      <c r="K141" s="4">
        <v>1890</v>
      </c>
      <c r="L141" s="15">
        <f t="shared" si="39"/>
        <v>0.67708333333333304</v>
      </c>
      <c r="P141" s="91"/>
      <c r="Q141" s="69">
        <v>138</v>
      </c>
      <c r="R141" s="70">
        <f t="shared" si="36"/>
        <v>0.43993055555555499</v>
      </c>
      <c r="S141" s="392">
        <f t="shared" si="35"/>
        <v>0.41215277777777698</v>
      </c>
      <c r="T141" s="640"/>
      <c r="V141" s="68"/>
      <c r="W141" s="69">
        <v>137</v>
      </c>
      <c r="X141" s="52">
        <f t="shared" si="37"/>
        <v>0.65138888888887803</v>
      </c>
      <c r="Y141" s="71">
        <f t="shared" si="33"/>
        <v>0.63749999999998896</v>
      </c>
      <c r="Z141" s="187"/>
      <c r="AB141" s="68"/>
      <c r="AC141" s="69">
        <v>137</v>
      </c>
      <c r="AD141" s="52">
        <f t="shared" si="38"/>
        <v>0.65138888888887803</v>
      </c>
      <c r="AE141" s="71">
        <f t="shared" si="34"/>
        <v>0.63749999999998896</v>
      </c>
      <c r="AF141" s="187"/>
    </row>
    <row r="142" spans="1:32" x14ac:dyDescent="0.25">
      <c r="A142" s="4" t="s">
        <v>202</v>
      </c>
      <c r="B142" s="28">
        <f>((H49*E15)*E4)</f>
        <v>0</v>
      </c>
      <c r="C142" s="381" t="s">
        <v>37</v>
      </c>
      <c r="K142" s="4">
        <v>1900</v>
      </c>
      <c r="L142" s="15">
        <f t="shared" si="39"/>
        <v>0.68055555555555503</v>
      </c>
      <c r="P142" s="91"/>
      <c r="Q142" s="69">
        <v>139</v>
      </c>
      <c r="R142" s="70">
        <f t="shared" si="36"/>
        <v>0.44305555555555498</v>
      </c>
      <c r="S142" s="392">
        <f t="shared" si="35"/>
        <v>0.41527777777777702</v>
      </c>
      <c r="T142" s="640"/>
      <c r="V142" s="68"/>
      <c r="W142" s="69">
        <v>138</v>
      </c>
      <c r="X142" s="52">
        <f t="shared" si="37"/>
        <v>0.658333333333322</v>
      </c>
      <c r="Y142" s="71">
        <f t="shared" si="33"/>
        <v>0.64444444444443305</v>
      </c>
      <c r="Z142" s="187"/>
      <c r="AB142" s="68"/>
      <c r="AC142" s="69">
        <v>138</v>
      </c>
      <c r="AD142" s="52">
        <f t="shared" si="38"/>
        <v>0.658333333333322</v>
      </c>
      <c r="AE142" s="71">
        <f t="shared" si="34"/>
        <v>0.64444444444443305</v>
      </c>
      <c r="AF142" s="187"/>
    </row>
    <row r="143" spans="1:32" x14ac:dyDescent="0.25">
      <c r="B143" s="28">
        <f>IF(E15&gt;0,B142,0)</f>
        <v>0</v>
      </c>
      <c r="C143" s="382">
        <f>C141/7</f>
        <v>0</v>
      </c>
      <c r="K143" s="4">
        <v>1910</v>
      </c>
      <c r="L143" s="15">
        <f t="shared" si="39"/>
        <v>0.68402777777777701</v>
      </c>
      <c r="P143" s="91"/>
      <c r="Q143" s="69">
        <v>140</v>
      </c>
      <c r="R143" s="70">
        <f t="shared" si="36"/>
        <v>0.44618055555555503</v>
      </c>
      <c r="S143" s="392">
        <f t="shared" si="35"/>
        <v>0.41840277777777701</v>
      </c>
      <c r="T143" s="640"/>
      <c r="V143" s="68"/>
      <c r="W143" s="69">
        <v>139</v>
      </c>
      <c r="X143" s="52">
        <f t="shared" si="37"/>
        <v>0.66527777777776598</v>
      </c>
      <c r="Y143" s="71">
        <f t="shared" si="33"/>
        <v>0.65138888888887703</v>
      </c>
      <c r="Z143" s="187"/>
      <c r="AB143" s="68"/>
      <c r="AC143" s="69">
        <v>139</v>
      </c>
      <c r="AD143" s="52">
        <f t="shared" si="38"/>
        <v>0.66527777777776598</v>
      </c>
      <c r="AE143" s="71">
        <f t="shared" si="34"/>
        <v>0.65138888888887703</v>
      </c>
      <c r="AF143" s="187"/>
    </row>
    <row r="144" spans="1:32" x14ac:dyDescent="0.25">
      <c r="A144" s="30"/>
      <c r="B144" s="30"/>
      <c r="C144" s="244"/>
      <c r="K144" s="4">
        <v>1920</v>
      </c>
      <c r="L144" s="15">
        <f t="shared" si="39"/>
        <v>0.6875</v>
      </c>
      <c r="P144" s="91"/>
      <c r="Q144" s="69">
        <v>141</v>
      </c>
      <c r="R144" s="70">
        <f t="shared" si="36"/>
        <v>0.44930555555555501</v>
      </c>
      <c r="S144" s="392">
        <f t="shared" si="35"/>
        <v>0.421527777777777</v>
      </c>
      <c r="T144" s="640"/>
      <c r="V144" s="68"/>
      <c r="W144" s="69">
        <v>140</v>
      </c>
      <c r="X144" s="52">
        <f t="shared" si="37"/>
        <v>0.67222222222220995</v>
      </c>
      <c r="Y144" s="71">
        <f t="shared" si="33"/>
        <v>0.658333333333321</v>
      </c>
      <c r="Z144" s="187"/>
      <c r="AB144" s="68"/>
      <c r="AC144" s="69">
        <v>140</v>
      </c>
      <c r="AD144" s="52">
        <f t="shared" si="38"/>
        <v>0.67222222222220995</v>
      </c>
      <c r="AE144" s="71">
        <f t="shared" si="34"/>
        <v>0.658333333333321</v>
      </c>
      <c r="AF144" s="187"/>
    </row>
    <row r="145" spans="1:32" ht="15" customHeight="1" thickBot="1" x14ac:dyDescent="0.3">
      <c r="A145" s="241" t="s">
        <v>203</v>
      </c>
      <c r="B145" s="240"/>
      <c r="C145" s="381" t="s">
        <v>204</v>
      </c>
      <c r="K145" s="4">
        <v>1930</v>
      </c>
      <c r="L145" s="15">
        <f t="shared" si="39"/>
        <v>0.69097222222222199</v>
      </c>
      <c r="P145" s="91"/>
      <c r="Q145" s="69">
        <v>142</v>
      </c>
      <c r="R145" s="70">
        <f t="shared" si="36"/>
        <v>0.452430555555555</v>
      </c>
      <c r="S145" s="392">
        <f t="shared" si="35"/>
        <v>0.42465277777777699</v>
      </c>
      <c r="T145" s="640"/>
      <c r="V145" s="68"/>
      <c r="W145" s="69">
        <v>141</v>
      </c>
      <c r="X145" s="52">
        <f t="shared" si="37"/>
        <v>0.67916666666665404</v>
      </c>
      <c r="Y145" s="71">
        <f t="shared" si="33"/>
        <v>0.66527777777776498</v>
      </c>
      <c r="Z145" s="187"/>
      <c r="AB145" s="68"/>
      <c r="AC145" s="69">
        <v>141</v>
      </c>
      <c r="AD145" s="52">
        <f t="shared" si="38"/>
        <v>0.67916666666665404</v>
      </c>
      <c r="AE145" s="71">
        <f t="shared" si="34"/>
        <v>0.66527777777776498</v>
      </c>
      <c r="AF145" s="187"/>
    </row>
    <row r="146" spans="1:32" x14ac:dyDescent="0.25">
      <c r="A146" s="23" t="s">
        <v>133</v>
      </c>
      <c r="B146" s="169">
        <f>H54</f>
        <v>6.9444444444444404E-4</v>
      </c>
      <c r="C146" s="380">
        <f>B148*24</f>
        <v>0.33</v>
      </c>
      <c r="K146" s="4">
        <v>1940</v>
      </c>
      <c r="L146" s="15">
        <f t="shared" si="39"/>
        <v>0.69444444444444398</v>
      </c>
      <c r="P146" s="91"/>
      <c r="Q146" s="69">
        <v>143</v>
      </c>
      <c r="R146" s="70">
        <f t="shared" si="36"/>
        <v>0.45555555555555499</v>
      </c>
      <c r="S146" s="392">
        <f t="shared" si="35"/>
        <v>0.42777777777777698</v>
      </c>
      <c r="T146" s="640"/>
      <c r="V146" s="68"/>
      <c r="W146" s="69">
        <v>142</v>
      </c>
      <c r="X146" s="52">
        <f t="shared" si="37"/>
        <v>0.68611111111109802</v>
      </c>
      <c r="Y146" s="71">
        <f t="shared" si="33"/>
        <v>0.67222222222220895</v>
      </c>
      <c r="Z146" s="187"/>
      <c r="AB146" s="68"/>
      <c r="AC146" s="69">
        <v>142</v>
      </c>
      <c r="AD146" s="52">
        <f t="shared" si="38"/>
        <v>0.68611111111109802</v>
      </c>
      <c r="AE146" s="71">
        <f t="shared" si="34"/>
        <v>0.67222222222220895</v>
      </c>
      <c r="AF146" s="187"/>
    </row>
    <row r="147" spans="1:32" x14ac:dyDescent="0.25">
      <c r="A147" t="s">
        <v>205</v>
      </c>
      <c r="B147" s="324">
        <v>1.38888888888889E-2</v>
      </c>
      <c r="C147" s="381" t="s">
        <v>206</v>
      </c>
      <c r="K147" s="4">
        <v>1950</v>
      </c>
      <c r="L147" s="15">
        <f t="shared" si="39"/>
        <v>0.69791666666666596</v>
      </c>
      <c r="P147" s="91"/>
      <c r="Q147" s="69">
        <v>144</v>
      </c>
      <c r="R147" s="70">
        <f t="shared" si="36"/>
        <v>0.45868055555555498</v>
      </c>
      <c r="S147" s="392">
        <f t="shared" si="35"/>
        <v>0.43090277777777702</v>
      </c>
      <c r="T147" s="640"/>
      <c r="V147" s="68"/>
      <c r="W147" s="69">
        <v>143</v>
      </c>
      <c r="X147" s="52">
        <f t="shared" si="37"/>
        <v>0.69305555555554199</v>
      </c>
      <c r="Y147" s="71">
        <f t="shared" si="33"/>
        <v>0.67916666666665304</v>
      </c>
      <c r="Z147" s="187"/>
      <c r="AB147" s="68"/>
      <c r="AC147" s="69">
        <v>143</v>
      </c>
      <c r="AD147" s="52">
        <f t="shared" si="38"/>
        <v>0.69305555555554199</v>
      </c>
      <c r="AE147" s="71">
        <f t="shared" si="34"/>
        <v>0.67916666666665304</v>
      </c>
      <c r="AF147" s="187"/>
    </row>
    <row r="148" spans="1:32" ht="15" customHeight="1" thickBot="1" x14ac:dyDescent="0.3">
      <c r="A148" s="24" t="s">
        <v>207</v>
      </c>
      <c r="B148" s="170">
        <f>(B146*E4)+B147</f>
        <v>1.38888888888889E-2</v>
      </c>
      <c r="C148" s="382">
        <f>C146/7</f>
        <v>0.05</v>
      </c>
      <c r="K148" s="4">
        <v>1960</v>
      </c>
      <c r="L148" s="15">
        <f t="shared" si="39"/>
        <v>0.70138888888888795</v>
      </c>
      <c r="P148" s="91"/>
      <c r="Q148" s="69">
        <v>145</v>
      </c>
      <c r="R148" s="70">
        <f t="shared" si="36"/>
        <v>0.46180555555555503</v>
      </c>
      <c r="S148" s="392">
        <f t="shared" si="35"/>
        <v>0.43402777777777701</v>
      </c>
      <c r="T148" s="640"/>
      <c r="V148" s="68"/>
      <c r="W148" s="69">
        <v>144</v>
      </c>
      <c r="X148" s="52">
        <f t="shared" si="37"/>
        <v>0.69999999999998597</v>
      </c>
      <c r="Y148" s="71">
        <f t="shared" si="33"/>
        <v>0.68611111111109702</v>
      </c>
      <c r="Z148" s="187"/>
      <c r="AB148" s="68"/>
      <c r="AC148" s="69">
        <v>144</v>
      </c>
      <c r="AD148" s="52">
        <f t="shared" si="38"/>
        <v>0.69999999999998597</v>
      </c>
      <c r="AE148" s="71">
        <f t="shared" si="34"/>
        <v>0.68611111111109702</v>
      </c>
      <c r="AF148" s="187"/>
    </row>
    <row r="149" spans="1:32" x14ac:dyDescent="0.25">
      <c r="A149" s="30"/>
      <c r="B149" s="30"/>
      <c r="C149" s="244"/>
      <c r="K149" s="4">
        <v>1970</v>
      </c>
      <c r="L149" s="15">
        <f t="shared" si="39"/>
        <v>0.70486111111111105</v>
      </c>
      <c r="P149" s="91"/>
      <c r="Q149" s="69">
        <v>146</v>
      </c>
      <c r="R149" s="70">
        <f t="shared" si="36"/>
        <v>0.46493055555555501</v>
      </c>
      <c r="S149" s="392">
        <f t="shared" si="35"/>
        <v>0.437152777777777</v>
      </c>
      <c r="T149" s="640"/>
      <c r="V149" s="68"/>
      <c r="W149" s="69">
        <v>145</v>
      </c>
      <c r="X149" s="52">
        <f t="shared" si="37"/>
        <v>0.70694444444443005</v>
      </c>
      <c r="Y149" s="71">
        <f t="shared" si="33"/>
        <v>0.69305555555554099</v>
      </c>
      <c r="Z149" s="187"/>
      <c r="AB149" s="68"/>
      <c r="AC149" s="69">
        <v>145</v>
      </c>
      <c r="AD149" s="52">
        <f t="shared" si="38"/>
        <v>0.70694444444443005</v>
      </c>
      <c r="AE149" s="71">
        <f t="shared" si="34"/>
        <v>0.69305555555554099</v>
      </c>
      <c r="AF149" s="187"/>
    </row>
    <row r="150" spans="1:32" x14ac:dyDescent="0.25">
      <c r="A150" t="s">
        <v>208</v>
      </c>
      <c r="B150" s="18" t="e">
        <f>B91+B103+B107+B111+B121+B126+B130+B148</f>
        <v>#DIV/0!</v>
      </c>
      <c r="K150" s="4">
        <v>1980</v>
      </c>
      <c r="L150" s="15">
        <f t="shared" si="39"/>
        <v>0.70833333333333304</v>
      </c>
      <c r="P150" s="91"/>
      <c r="Q150" s="69">
        <v>147</v>
      </c>
      <c r="R150" s="70">
        <f t="shared" si="36"/>
        <v>0.468055555555555</v>
      </c>
      <c r="S150" s="392">
        <f t="shared" si="35"/>
        <v>0.44027777777777699</v>
      </c>
      <c r="T150" s="640"/>
      <c r="V150" s="68"/>
      <c r="W150" s="69">
        <v>146</v>
      </c>
      <c r="X150" s="52">
        <f t="shared" si="37"/>
        <v>0.71388888888887403</v>
      </c>
      <c r="Y150" s="71">
        <f t="shared" si="33"/>
        <v>0.69999999999998497</v>
      </c>
      <c r="Z150" s="187"/>
      <c r="AB150" s="68"/>
      <c r="AC150" s="69">
        <v>146</v>
      </c>
      <c r="AD150" s="52">
        <f t="shared" si="38"/>
        <v>0.71388888888887403</v>
      </c>
      <c r="AE150" s="71">
        <f t="shared" si="34"/>
        <v>0.69999999999998497</v>
      </c>
      <c r="AF150" s="187"/>
    </row>
    <row r="151" spans="1:32" x14ac:dyDescent="0.25">
      <c r="A151" t="s">
        <v>209</v>
      </c>
      <c r="B151" s="253" t="s">
        <v>210</v>
      </c>
      <c r="K151" s="4">
        <v>1990</v>
      </c>
      <c r="L151" s="15">
        <f t="shared" si="39"/>
        <v>0.71180555555555503</v>
      </c>
      <c r="P151" s="91"/>
      <c r="Q151" s="69">
        <v>148</v>
      </c>
      <c r="R151" s="70">
        <f t="shared" si="36"/>
        <v>0.47118055555555499</v>
      </c>
      <c r="S151" s="392">
        <f t="shared" si="35"/>
        <v>0.44340277777777698</v>
      </c>
      <c r="T151" s="640"/>
      <c r="V151" s="68"/>
      <c r="W151" s="69">
        <v>147</v>
      </c>
      <c r="X151" s="52">
        <f t="shared" si="37"/>
        <v>0.720833333333318</v>
      </c>
      <c r="Y151" s="71">
        <f t="shared" si="33"/>
        <v>0.70694444444442905</v>
      </c>
      <c r="Z151" s="187"/>
      <c r="AB151" s="68"/>
      <c r="AC151" s="69">
        <v>147</v>
      </c>
      <c r="AD151" s="52">
        <f t="shared" si="38"/>
        <v>0.720833333333318</v>
      </c>
      <c r="AE151" s="71">
        <f t="shared" si="34"/>
        <v>0.70694444444442905</v>
      </c>
      <c r="AF151" s="187"/>
    </row>
    <row r="152" spans="1:32" x14ac:dyDescent="0.25">
      <c r="A152" s="30"/>
      <c r="B152" s="30"/>
      <c r="K152" s="4">
        <v>2000</v>
      </c>
      <c r="L152" s="15">
        <f t="shared" si="39"/>
        <v>0.71527777777777701</v>
      </c>
      <c r="P152" s="91"/>
      <c r="Q152" s="69">
        <v>149</v>
      </c>
      <c r="R152" s="70">
        <f t="shared" si="36"/>
        <v>0.47430555555555498</v>
      </c>
      <c r="S152" s="392">
        <f t="shared" si="35"/>
        <v>0.44652777777777702</v>
      </c>
      <c r="T152" s="640"/>
      <c r="V152" s="68"/>
      <c r="W152" s="69">
        <v>148</v>
      </c>
      <c r="X152" s="52">
        <f t="shared" si="37"/>
        <v>0.72777777777776198</v>
      </c>
      <c r="Y152" s="71">
        <f t="shared" si="33"/>
        <v>0.71388888888887303</v>
      </c>
      <c r="Z152" s="187"/>
      <c r="AB152" s="68"/>
      <c r="AC152" s="69">
        <v>148</v>
      </c>
      <c r="AD152" s="52">
        <f t="shared" si="38"/>
        <v>0.72777777777776198</v>
      </c>
      <c r="AE152" s="71">
        <f t="shared" si="34"/>
        <v>0.71388888888887303</v>
      </c>
      <c r="AF152" s="187"/>
    </row>
    <row r="153" spans="1:32" ht="15" customHeight="1" thickBot="1" x14ac:dyDescent="0.3">
      <c r="K153" s="4">
        <v>2010</v>
      </c>
      <c r="L153" s="15">
        <f t="shared" si="39"/>
        <v>0.71875</v>
      </c>
      <c r="P153" s="101"/>
      <c r="Q153" s="102">
        <v>150</v>
      </c>
      <c r="R153" s="103">
        <f t="shared" si="36"/>
        <v>0.47743055555555503</v>
      </c>
      <c r="S153" s="393">
        <f t="shared" si="35"/>
        <v>0.44965277777777701</v>
      </c>
      <c r="T153" s="640"/>
      <c r="V153" s="68"/>
      <c r="W153" s="69">
        <v>149</v>
      </c>
      <c r="X153" s="52">
        <f t="shared" si="37"/>
        <v>0.73472222222220596</v>
      </c>
      <c r="Y153" s="71">
        <f t="shared" si="33"/>
        <v>0.72083333333331701</v>
      </c>
      <c r="Z153" s="187"/>
      <c r="AB153" s="68"/>
      <c r="AC153" s="69">
        <v>149</v>
      </c>
      <c r="AD153" s="52">
        <f t="shared" si="38"/>
        <v>0.73472222222220596</v>
      </c>
      <c r="AE153" s="71">
        <f t="shared" si="34"/>
        <v>0.72083333333331701</v>
      </c>
      <c r="AF153" s="187"/>
    </row>
    <row r="154" spans="1:32" ht="15" customHeight="1" thickBot="1" x14ac:dyDescent="0.3">
      <c r="K154" s="4">
        <v>2020</v>
      </c>
      <c r="L154" s="15">
        <f t="shared" si="39"/>
        <v>0.72222222222222199</v>
      </c>
      <c r="P154" s="91" t="s">
        <v>211</v>
      </c>
      <c r="Q154" s="69">
        <v>151</v>
      </c>
      <c r="R154" s="70">
        <f t="shared" si="36"/>
        <v>0.484374999999999</v>
      </c>
      <c r="S154" s="392">
        <f>S153+$T$103</f>
        <v>0.45659722222222099</v>
      </c>
      <c r="T154" s="640"/>
      <c r="V154" s="68"/>
      <c r="W154" s="69">
        <v>150</v>
      </c>
      <c r="X154" s="52">
        <f t="shared" si="37"/>
        <v>0.74166666666665004</v>
      </c>
      <c r="Y154" s="71">
        <f t="shared" si="33"/>
        <v>0.72777777777776098</v>
      </c>
      <c r="Z154" s="86"/>
      <c r="AB154" s="68"/>
      <c r="AC154" s="69">
        <v>150</v>
      </c>
      <c r="AD154" s="52">
        <f t="shared" si="38"/>
        <v>0.74166666666665004</v>
      </c>
      <c r="AE154" s="71">
        <f t="shared" si="34"/>
        <v>0.72777777777776098</v>
      </c>
      <c r="AF154" s="86"/>
    </row>
    <row r="155" spans="1:32" ht="15" customHeight="1" thickBot="1" x14ac:dyDescent="0.3">
      <c r="A155" s="338" t="s">
        <v>212</v>
      </c>
      <c r="B155" s="210"/>
      <c r="C155" s="210"/>
      <c r="D155" s="339"/>
      <c r="K155" s="4">
        <v>2030</v>
      </c>
      <c r="L155" s="15">
        <f t="shared" si="39"/>
        <v>0.72569444444444398</v>
      </c>
      <c r="P155" s="91"/>
      <c r="Q155" s="69">
        <v>152</v>
      </c>
      <c r="R155" s="70">
        <f t="shared" si="36"/>
        <v>0.48749999999999899</v>
      </c>
      <c r="S155" s="392">
        <f t="shared" ref="S155:S203" si="40">S154+$T$64</f>
        <v>0.45972222222222098</v>
      </c>
      <c r="T155" s="640"/>
    </row>
    <row r="156" spans="1:32" x14ac:dyDescent="0.25">
      <c r="A156" s="365"/>
      <c r="B156" s="366"/>
      <c r="C156" s="366" t="s">
        <v>213</v>
      </c>
      <c r="D156" s="355" t="s">
        <v>214</v>
      </c>
      <c r="E156" s="363" t="s">
        <v>215</v>
      </c>
      <c r="F156" s="49" t="s">
        <v>216</v>
      </c>
      <c r="G156" s="4"/>
      <c r="H156" s="4"/>
      <c r="K156" s="4">
        <v>2040</v>
      </c>
      <c r="L156" s="15">
        <f t="shared" si="39"/>
        <v>0.72916666666666596</v>
      </c>
      <c r="P156" s="91"/>
      <c r="Q156" s="69">
        <v>153</v>
      </c>
      <c r="R156" s="70">
        <f t="shared" si="36"/>
        <v>0.49062499999999898</v>
      </c>
      <c r="S156" s="392">
        <f t="shared" si="40"/>
        <v>0.46284722222222102</v>
      </c>
      <c r="T156" s="640"/>
    </row>
    <row r="157" spans="1:32" x14ac:dyDescent="0.25">
      <c r="A157" s="23" t="s">
        <v>217</v>
      </c>
      <c r="B157" s="18" t="e">
        <f>B26+B104+B112+B130+B148+B107+B143+H56+B139</f>
        <v>#DIV/0!</v>
      </c>
      <c r="C157" s="260" t="e">
        <f>B157*24</f>
        <v>#DIV/0!</v>
      </c>
      <c r="D157" s="367" t="e">
        <f>C157*B194</f>
        <v>#DIV/0!</v>
      </c>
      <c r="E157" s="364" t="e">
        <f>D157/E4</f>
        <v>#DIV/0!</v>
      </c>
      <c r="F157" s="4" t="s">
        <v>217</v>
      </c>
      <c r="G157" s="373">
        <v>74</v>
      </c>
      <c r="H157" s="371" t="e">
        <f>C157*G157</f>
        <v>#DIV/0!</v>
      </c>
      <c r="K157" s="4">
        <v>2050</v>
      </c>
      <c r="L157" s="15">
        <f t="shared" si="39"/>
        <v>0.73263888888888795</v>
      </c>
      <c r="P157" s="91"/>
      <c r="Q157" s="69">
        <v>154</v>
      </c>
      <c r="R157" s="70">
        <f t="shared" si="36"/>
        <v>0.49374999999999902</v>
      </c>
      <c r="S157" s="392">
        <f t="shared" si="40"/>
        <v>0.46597222222222101</v>
      </c>
      <c r="T157" s="640"/>
    </row>
    <row r="158" spans="1:32" ht="15" customHeight="1" thickBot="1" x14ac:dyDescent="0.3">
      <c r="A158" s="24" t="s">
        <v>218</v>
      </c>
      <c r="B158" s="118">
        <f>B91</f>
        <v>1.38888888888889E-2</v>
      </c>
      <c r="C158" s="261">
        <f>B158*24</f>
        <v>0.33300000000000002</v>
      </c>
      <c r="D158" s="368">
        <f>B195*C158</f>
        <v>54.95</v>
      </c>
      <c r="E158" s="364" t="e">
        <f>D158/E4</f>
        <v>#DIV/0!</v>
      </c>
      <c r="F158" s="4" t="s">
        <v>219</v>
      </c>
      <c r="G158" s="373">
        <v>98</v>
      </c>
      <c r="H158" s="371">
        <f>G158*C158</f>
        <v>32.630000000000003</v>
      </c>
      <c r="K158" s="4">
        <v>2060</v>
      </c>
      <c r="L158" s="15">
        <f t="shared" si="39"/>
        <v>0.73611111111111105</v>
      </c>
      <c r="P158" s="91"/>
      <c r="Q158" s="69">
        <v>155</v>
      </c>
      <c r="R158" s="70">
        <f t="shared" si="36"/>
        <v>0.49687499999999901</v>
      </c>
      <c r="S158" s="392">
        <f t="shared" si="40"/>
        <v>0.469097222222221</v>
      </c>
      <c r="T158" s="640"/>
    </row>
    <row r="159" spans="1:32" ht="15" customHeight="1" thickBot="1" x14ac:dyDescent="0.3">
      <c r="A159" s="365" t="s">
        <v>220</v>
      </c>
      <c r="B159" s="401" t="e">
        <f>SUM(B157:B158)</f>
        <v>#DIV/0!</v>
      </c>
      <c r="C159" s="402" t="e">
        <f>B159*24</f>
        <v>#DIV/0!</v>
      </c>
      <c r="D159" s="400" t="e">
        <f>SUM(D157:D158)</f>
        <v>#DIV/0!</v>
      </c>
      <c r="F159" s="4" t="s">
        <v>221</v>
      </c>
      <c r="G159" s="4"/>
      <c r="H159" s="372" t="e">
        <f>SUM(H157:H158)</f>
        <v>#DIV/0!</v>
      </c>
      <c r="K159" s="4">
        <v>2070</v>
      </c>
      <c r="L159" s="15">
        <f t="shared" si="39"/>
        <v>0.73958333333333304</v>
      </c>
      <c r="P159" s="91"/>
      <c r="Q159" s="69">
        <v>156</v>
      </c>
      <c r="R159" s="70">
        <f t="shared" si="36"/>
        <v>0.499999999999999</v>
      </c>
      <c r="S159" s="392">
        <f t="shared" si="40"/>
        <v>0.47222222222222099</v>
      </c>
      <c r="T159" s="640"/>
    </row>
    <row r="160" spans="1:32" ht="15" customHeight="1" thickBot="1" x14ac:dyDescent="0.3">
      <c r="A160" s="24" t="s">
        <v>222</v>
      </c>
      <c r="B160" s="27" t="s">
        <v>223</v>
      </c>
      <c r="C160" s="398" t="e">
        <f>D159/C159</f>
        <v>#DIV/0!</v>
      </c>
      <c r="D160" s="399" t="e">
        <f>D159/E4</f>
        <v>#DIV/0!</v>
      </c>
      <c r="F160" s="4" t="s">
        <v>224</v>
      </c>
      <c r="G160" s="4"/>
      <c r="H160" s="371" t="e">
        <f>D159-H159</f>
        <v>#DIV/0!</v>
      </c>
      <c r="K160" s="4">
        <v>2080</v>
      </c>
      <c r="L160" s="15">
        <f t="shared" si="39"/>
        <v>0.74305555555555503</v>
      </c>
      <c r="P160" s="91"/>
      <c r="Q160" s="69">
        <v>157</v>
      </c>
      <c r="R160" s="70">
        <f t="shared" si="36"/>
        <v>0.50312499999999905</v>
      </c>
      <c r="S160" s="392">
        <f t="shared" si="40"/>
        <v>0.47534722222222098</v>
      </c>
      <c r="T160" s="640"/>
    </row>
    <row r="161" spans="1:20" x14ac:dyDescent="0.25">
      <c r="F161" s="4" t="s">
        <v>225</v>
      </c>
      <c r="G161" s="4"/>
      <c r="H161" s="371" t="e">
        <f>H159/E4</f>
        <v>#DIV/0!</v>
      </c>
      <c r="K161" s="4">
        <v>2090</v>
      </c>
      <c r="L161" s="15">
        <f t="shared" si="39"/>
        <v>0.74652777777777701</v>
      </c>
      <c r="P161" s="91"/>
      <c r="Q161" s="69">
        <v>158</v>
      </c>
      <c r="R161" s="70">
        <f t="shared" si="36"/>
        <v>0.50624999999999898</v>
      </c>
      <c r="S161" s="392">
        <f t="shared" si="40"/>
        <v>0.47847222222222102</v>
      </c>
      <c r="T161" s="640"/>
    </row>
    <row r="162" spans="1:20" ht="15" customHeight="1" thickBot="1" x14ac:dyDescent="0.3">
      <c r="A162" s="30"/>
      <c r="B162" s="369"/>
      <c r="C162" s="370"/>
      <c r="D162" s="122"/>
      <c r="F162" s="4" t="s">
        <v>226</v>
      </c>
      <c r="G162" s="4"/>
      <c r="H162" s="371" t="e">
        <f>D160-H161</f>
        <v>#DIV/0!</v>
      </c>
      <c r="K162" s="4">
        <v>2100</v>
      </c>
      <c r="L162" s="15">
        <f t="shared" si="39"/>
        <v>0.75</v>
      </c>
      <c r="P162" s="91"/>
      <c r="Q162" s="69">
        <v>159</v>
      </c>
      <c r="R162" s="70">
        <f t="shared" si="36"/>
        <v>0.50937499999999902</v>
      </c>
      <c r="S162" s="392">
        <f t="shared" si="40"/>
        <v>0.48159722222222101</v>
      </c>
      <c r="T162" s="640"/>
    </row>
    <row r="163" spans="1:20" x14ac:dyDescent="0.25">
      <c r="A163" s="343" t="s">
        <v>227</v>
      </c>
      <c r="B163" s="209"/>
      <c r="C163" s="209"/>
      <c r="D163" s="344"/>
      <c r="F163" s="4" t="s">
        <v>228</v>
      </c>
      <c r="G163" s="4"/>
      <c r="H163" s="288" t="e">
        <f>((D159-H159)/D159)</f>
        <v>#DIV/0!</v>
      </c>
      <c r="K163" s="4">
        <v>2110</v>
      </c>
      <c r="L163" s="15">
        <f t="shared" si="39"/>
        <v>0.75347222222222199</v>
      </c>
      <c r="P163" s="91"/>
      <c r="Q163" s="69">
        <v>160</v>
      </c>
      <c r="R163" s="70">
        <f t="shared" si="36"/>
        <v>0.51249999999999896</v>
      </c>
      <c r="S163" s="392">
        <f t="shared" si="40"/>
        <v>0.484722222222221</v>
      </c>
      <c r="T163" s="640"/>
    </row>
    <row r="164" spans="1:20" x14ac:dyDescent="0.25">
      <c r="A164" s="5" t="s">
        <v>229</v>
      </c>
      <c r="B164" s="4"/>
      <c r="C164" s="4"/>
      <c r="D164" s="345">
        <f>B211*E4</f>
        <v>0</v>
      </c>
      <c r="F164" s="4" t="s">
        <v>37</v>
      </c>
      <c r="G164" s="4"/>
      <c r="H164" s="394" t="e">
        <f>C159/7</f>
        <v>#DIV/0!</v>
      </c>
      <c r="K164" s="4">
        <v>2120</v>
      </c>
      <c r="L164" s="15">
        <f t="shared" si="39"/>
        <v>0.75694444444444398</v>
      </c>
      <c r="P164" s="91"/>
      <c r="Q164" s="69">
        <v>161</v>
      </c>
      <c r="R164" s="70">
        <f t="shared" si="36"/>
        <v>0.515624999999999</v>
      </c>
      <c r="S164" s="392">
        <f t="shared" si="40"/>
        <v>0.48784722222222099</v>
      </c>
      <c r="T164" s="640"/>
    </row>
    <row r="165" spans="1:20" x14ac:dyDescent="0.25">
      <c r="A165" s="5" t="s">
        <v>230</v>
      </c>
      <c r="B165" s="4"/>
      <c r="C165" s="4"/>
      <c r="D165" s="346">
        <f>B204+B203</f>
        <v>0</v>
      </c>
      <c r="F165" s="4" t="s">
        <v>231</v>
      </c>
      <c r="G165" s="4"/>
      <c r="H165" s="394" t="e">
        <f>H164/5</f>
        <v>#DIV/0!</v>
      </c>
      <c r="K165" s="4">
        <v>2130</v>
      </c>
      <c r="L165" s="15">
        <f t="shared" si="39"/>
        <v>0.76041666666666596</v>
      </c>
      <c r="P165" s="91"/>
      <c r="Q165" s="69">
        <v>162</v>
      </c>
      <c r="R165" s="70">
        <f t="shared" si="36"/>
        <v>0.51874999999999905</v>
      </c>
      <c r="S165" s="392">
        <f t="shared" si="40"/>
        <v>0.49097222222222098</v>
      </c>
      <c r="T165" s="640"/>
    </row>
    <row r="166" spans="1:20" x14ac:dyDescent="0.25">
      <c r="A166" s="5" t="s">
        <v>232</v>
      </c>
      <c r="B166" s="4"/>
      <c r="C166" s="4"/>
      <c r="D166" s="346">
        <f>B208+B209</f>
        <v>0</v>
      </c>
      <c r="F166" s="4" t="s">
        <v>233</v>
      </c>
      <c r="G166" s="4"/>
      <c r="H166" s="394" t="e">
        <f>H165/4</f>
        <v>#DIV/0!</v>
      </c>
      <c r="K166" s="4">
        <v>2140</v>
      </c>
      <c r="L166" s="15">
        <f t="shared" si="39"/>
        <v>0.76388888888888795</v>
      </c>
      <c r="P166" s="91"/>
      <c r="Q166" s="69">
        <v>163</v>
      </c>
      <c r="R166" s="70">
        <f t="shared" si="36"/>
        <v>0.52187499999999898</v>
      </c>
      <c r="S166" s="392">
        <f t="shared" si="40"/>
        <v>0.49409722222222102</v>
      </c>
      <c r="T166" s="640"/>
    </row>
    <row r="167" spans="1:20" x14ac:dyDescent="0.25">
      <c r="A167" s="5" t="s">
        <v>234</v>
      </c>
      <c r="B167" s="4"/>
      <c r="C167" s="4"/>
      <c r="D167" s="347" t="e">
        <f>D157+D158+D165+D166</f>
        <v>#DIV/0!</v>
      </c>
      <c r="F167" s="4" t="s">
        <v>235</v>
      </c>
      <c r="G167" s="4"/>
      <c r="H167" s="394" t="e">
        <f>H166/12</f>
        <v>#DIV/0!</v>
      </c>
      <c r="K167" s="4">
        <v>2150</v>
      </c>
      <c r="L167" s="15">
        <f t="shared" si="39"/>
        <v>0.76736111111111105</v>
      </c>
      <c r="P167" s="91"/>
      <c r="Q167" s="69">
        <v>164</v>
      </c>
      <c r="R167" s="70">
        <f t="shared" si="36"/>
        <v>0.52499999999999902</v>
      </c>
      <c r="S167" s="392">
        <f t="shared" si="40"/>
        <v>0.49722222222222101</v>
      </c>
      <c r="T167" s="640"/>
    </row>
    <row r="168" spans="1:20" x14ac:dyDescent="0.25">
      <c r="A168" s="5" t="s">
        <v>236</v>
      </c>
      <c r="B168" s="4"/>
      <c r="C168" s="4"/>
      <c r="D168" s="348" t="e">
        <f>D167/E4</f>
        <v>#DIV/0!</v>
      </c>
      <c r="F168" s="267" t="s">
        <v>301</v>
      </c>
      <c r="G168" s="4"/>
      <c r="H168" s="50" t="e">
        <f>(D157+D158)/C159</f>
        <v>#DIV/0!</v>
      </c>
      <c r="K168" s="4">
        <v>2160</v>
      </c>
      <c r="L168" s="15">
        <f t="shared" si="39"/>
        <v>0.77083333333333304</v>
      </c>
      <c r="P168" s="91"/>
      <c r="Q168" s="69">
        <v>165</v>
      </c>
      <c r="R168" s="70">
        <f t="shared" si="36"/>
        <v>0.52812499999999896</v>
      </c>
      <c r="S168" s="392">
        <f t="shared" si="40"/>
        <v>0.50034722222222106</v>
      </c>
      <c r="T168" s="640"/>
    </row>
    <row r="169" spans="1:20" x14ac:dyDescent="0.25">
      <c r="A169" s="23"/>
      <c r="D169" s="349"/>
      <c r="K169" s="4">
        <v>2170</v>
      </c>
      <c r="L169" s="15">
        <f t="shared" si="39"/>
        <v>0.77430555555555503</v>
      </c>
      <c r="P169" s="91"/>
      <c r="Q169" s="69">
        <v>166</v>
      </c>
      <c r="R169" s="70">
        <f t="shared" si="36"/>
        <v>0.531249999999999</v>
      </c>
      <c r="S169" s="392">
        <f t="shared" si="40"/>
        <v>0.50347222222222099</v>
      </c>
      <c r="T169" s="640"/>
    </row>
    <row r="170" spans="1:20" ht="15" customHeight="1" thickBot="1" x14ac:dyDescent="0.3">
      <c r="A170" s="350"/>
      <c r="B170" s="30"/>
      <c r="C170" s="30"/>
      <c r="D170" s="351"/>
      <c r="K170" s="4">
        <v>2180</v>
      </c>
      <c r="L170" s="15">
        <f t="shared" si="39"/>
        <v>0.77777777777777701</v>
      </c>
      <c r="P170" s="91"/>
      <c r="Q170" s="69">
        <v>167</v>
      </c>
      <c r="R170" s="70">
        <f t="shared" si="36"/>
        <v>0.53437499999999905</v>
      </c>
      <c r="S170" s="392">
        <f t="shared" si="40"/>
        <v>0.50659722222222103</v>
      </c>
      <c r="T170" s="640"/>
    </row>
    <row r="171" spans="1:20" x14ac:dyDescent="0.25">
      <c r="A171" s="119" t="s">
        <v>237</v>
      </c>
      <c r="B171" s="120"/>
      <c r="C171" s="120"/>
      <c r="D171" s="121"/>
      <c r="K171" s="4">
        <v>2190</v>
      </c>
      <c r="L171" s="15">
        <f t="shared" si="39"/>
        <v>0.781249999999999</v>
      </c>
      <c r="P171" s="91"/>
      <c r="Q171" s="69">
        <v>168</v>
      </c>
      <c r="R171" s="70">
        <f t="shared" si="36"/>
        <v>0.53749999999999898</v>
      </c>
      <c r="S171" s="392">
        <f t="shared" si="40"/>
        <v>0.50972222222222097</v>
      </c>
      <c r="T171" s="640"/>
    </row>
    <row r="172" spans="1:20" x14ac:dyDescent="0.25">
      <c r="A172" s="5" t="s">
        <v>238</v>
      </c>
      <c r="B172" s="4"/>
      <c r="C172" s="4"/>
      <c r="D172" s="352">
        <f>B198</f>
        <v>0</v>
      </c>
      <c r="K172" s="4">
        <v>2200</v>
      </c>
      <c r="L172" s="15">
        <f t="shared" si="39"/>
        <v>0.78472222222222199</v>
      </c>
      <c r="P172" s="91"/>
      <c r="Q172" s="69">
        <v>169</v>
      </c>
      <c r="R172" s="70">
        <f t="shared" si="36"/>
        <v>0.54062499999999902</v>
      </c>
      <c r="S172" s="392">
        <f t="shared" si="40"/>
        <v>0.51284722222222101</v>
      </c>
      <c r="T172" s="640"/>
    </row>
    <row r="173" spans="1:20" x14ac:dyDescent="0.25">
      <c r="A173" s="358" t="s">
        <v>239</v>
      </c>
      <c r="B173" s="359">
        <f>B10</f>
        <v>0</v>
      </c>
      <c r="C173" s="360">
        <f>B173*24</f>
        <v>0</v>
      </c>
      <c r="D173" s="361">
        <f>B196</f>
        <v>0</v>
      </c>
      <c r="F173" t="s">
        <v>240</v>
      </c>
      <c r="K173" s="4">
        <v>2210</v>
      </c>
      <c r="L173" s="15">
        <f t="shared" si="39"/>
        <v>0.78819444444444398</v>
      </c>
      <c r="P173" s="91"/>
      <c r="Q173" s="69">
        <v>170</v>
      </c>
      <c r="R173" s="70">
        <f t="shared" si="36"/>
        <v>0.54374999999999896</v>
      </c>
      <c r="S173" s="392">
        <f t="shared" si="40"/>
        <v>0.51597222222222106</v>
      </c>
      <c r="T173" s="640"/>
    </row>
    <row r="174" spans="1:20" x14ac:dyDescent="0.25">
      <c r="A174" s="5" t="s">
        <v>241</v>
      </c>
      <c r="B174" s="4"/>
      <c r="C174" s="4"/>
      <c r="D174" s="353">
        <f>B205</f>
        <v>0</v>
      </c>
      <c r="K174" s="4">
        <v>2220</v>
      </c>
      <c r="L174" s="15">
        <f t="shared" si="39"/>
        <v>0.79166666666666596</v>
      </c>
      <c r="P174" s="91"/>
      <c r="Q174" s="69">
        <v>171</v>
      </c>
      <c r="R174" s="70">
        <f t="shared" si="36"/>
        <v>0.546874999999999</v>
      </c>
      <c r="S174" s="392">
        <f t="shared" si="40"/>
        <v>0.51909722222222099</v>
      </c>
      <c r="T174" s="640"/>
    </row>
    <row r="175" spans="1:20" ht="15" customHeight="1" thickBot="1" x14ac:dyDescent="0.3">
      <c r="A175" s="10" t="s">
        <v>242</v>
      </c>
      <c r="B175" s="354"/>
      <c r="C175" s="354"/>
      <c r="D175" s="22">
        <f>B212</f>
        <v>0</v>
      </c>
      <c r="G175" s="178"/>
      <c r="K175" s="4">
        <v>2230</v>
      </c>
      <c r="L175" s="15">
        <f t="shared" si="39"/>
        <v>0.79513888888888795</v>
      </c>
      <c r="P175" s="91"/>
      <c r="Q175" s="69">
        <v>172</v>
      </c>
      <c r="R175" s="70">
        <f t="shared" si="36"/>
        <v>0.54999999999999905</v>
      </c>
      <c r="S175" s="392">
        <f t="shared" si="40"/>
        <v>0.52222222222222103</v>
      </c>
      <c r="T175" s="640"/>
    </row>
    <row r="176" spans="1:20" ht="15" customHeight="1" thickBot="1" x14ac:dyDescent="0.3">
      <c r="K176" s="4">
        <v>2240</v>
      </c>
      <c r="L176" s="15">
        <f t="shared" si="39"/>
        <v>0.79861111111111105</v>
      </c>
      <c r="P176" s="91"/>
      <c r="Q176" s="69">
        <v>173</v>
      </c>
      <c r="R176" s="70">
        <f t="shared" si="36"/>
        <v>0.55312499999999898</v>
      </c>
      <c r="S176" s="392">
        <f t="shared" si="40"/>
        <v>0.52534722222222097</v>
      </c>
      <c r="T176" s="640"/>
    </row>
    <row r="177" spans="1:20" ht="15" customHeight="1" thickBot="1" x14ac:dyDescent="0.3">
      <c r="A177" s="213" t="s">
        <v>243</v>
      </c>
      <c r="B177" s="214" t="s">
        <v>244</v>
      </c>
      <c r="C177" s="215" t="s">
        <v>245</v>
      </c>
      <c r="D177" s="216" t="s">
        <v>236</v>
      </c>
      <c r="E177" s="215" t="s">
        <v>246</v>
      </c>
      <c r="K177" s="4">
        <v>2250</v>
      </c>
      <c r="L177" s="15">
        <f t="shared" si="39"/>
        <v>0.80208333333333304</v>
      </c>
      <c r="P177" s="91"/>
      <c r="Q177" s="69">
        <v>174</v>
      </c>
      <c r="R177" s="70">
        <f t="shared" si="36"/>
        <v>0.55624999999999902</v>
      </c>
      <c r="S177" s="392">
        <f t="shared" si="40"/>
        <v>0.52847222222222101</v>
      </c>
      <c r="T177" s="640"/>
    </row>
    <row r="178" spans="1:20" x14ac:dyDescent="0.25">
      <c r="A178" s="423">
        <f>B200</f>
        <v>0</v>
      </c>
      <c r="B178" s="217" t="str">
        <f>B215</f>
        <v>Assembly only</v>
      </c>
      <c r="C178" s="218">
        <f>E4</f>
        <v>0</v>
      </c>
      <c r="D178" s="219" t="e">
        <f>D168</f>
        <v>#DIV/0!</v>
      </c>
      <c r="E178" s="220" t="e">
        <f>D178*C178</f>
        <v>#DIV/0!</v>
      </c>
      <c r="K178" s="4">
        <v>2260</v>
      </c>
      <c r="L178" s="15">
        <f t="shared" si="39"/>
        <v>0.80555555555555503</v>
      </c>
      <c r="P178" s="91"/>
      <c r="Q178" s="69">
        <v>175</v>
      </c>
      <c r="R178" s="70">
        <f t="shared" si="36"/>
        <v>0.55937499999999896</v>
      </c>
      <c r="S178" s="392">
        <f t="shared" si="40"/>
        <v>0.53159722222222106</v>
      </c>
      <c r="T178" s="640"/>
    </row>
    <row r="179" spans="1:20" ht="15" customHeight="1" thickBot="1" x14ac:dyDescent="0.3">
      <c r="A179" s="221" t="s">
        <v>247</v>
      </c>
      <c r="B179" s="222" t="s">
        <v>248</v>
      </c>
      <c r="C179" s="222">
        <f>IF(D179&gt;0,C178,)</f>
        <v>0</v>
      </c>
      <c r="D179" s="223">
        <f>B211</f>
        <v>0</v>
      </c>
      <c r="E179" s="257">
        <f>C179*D179</f>
        <v>0</v>
      </c>
      <c r="F179" t="s">
        <v>249</v>
      </c>
      <c r="K179" s="4">
        <v>2270</v>
      </c>
      <c r="L179" s="15">
        <f t="shared" si="39"/>
        <v>0.80902777777777701</v>
      </c>
      <c r="P179" s="91"/>
      <c r="Q179" s="69">
        <v>176</v>
      </c>
      <c r="R179" s="70">
        <f t="shared" si="36"/>
        <v>0.562499999999999</v>
      </c>
      <c r="S179" s="392">
        <f t="shared" si="40"/>
        <v>0.53472222222222099</v>
      </c>
      <c r="T179" s="640"/>
    </row>
    <row r="180" spans="1:20" ht="15" customHeight="1" thickBot="1" x14ac:dyDescent="0.3">
      <c r="A180" s="224" t="s">
        <v>246</v>
      </c>
      <c r="B180" s="225"/>
      <c r="C180" s="226">
        <f>E4</f>
        <v>0</v>
      </c>
      <c r="D180" s="258" t="e">
        <f>D178+D179</f>
        <v>#DIV/0!</v>
      </c>
      <c r="E180" s="259" t="e">
        <f>C180*D180</f>
        <v>#DIV/0!</v>
      </c>
      <c r="H180" s="285"/>
      <c r="K180" s="4">
        <v>2280</v>
      </c>
      <c r="L180" s="15">
        <f t="shared" si="39"/>
        <v>0.812499999999999</v>
      </c>
      <c r="P180" s="91"/>
      <c r="Q180" s="69">
        <v>177</v>
      </c>
      <c r="R180" s="70">
        <f t="shared" si="36"/>
        <v>0.56562499999999905</v>
      </c>
      <c r="S180" s="392">
        <f t="shared" si="40"/>
        <v>0.53784722222222103</v>
      </c>
      <c r="T180" s="640"/>
    </row>
    <row r="181" spans="1:20" ht="15" customHeight="1" thickBot="1" x14ac:dyDescent="0.3">
      <c r="A181" s="305"/>
      <c r="B181" s="306"/>
      <c r="C181" s="306"/>
      <c r="D181" s="306"/>
      <c r="E181" s="307"/>
      <c r="K181" s="4">
        <v>2290</v>
      </c>
      <c r="L181" s="15">
        <f t="shared" si="39"/>
        <v>0.81597222222222199</v>
      </c>
      <c r="P181" s="91"/>
      <c r="Q181" s="69">
        <v>178</v>
      </c>
      <c r="R181" s="70">
        <f t="shared" si="36"/>
        <v>0.56874999999999898</v>
      </c>
      <c r="S181" s="392">
        <f t="shared" si="40"/>
        <v>0.54097222222222097</v>
      </c>
      <c r="T181" s="640"/>
    </row>
    <row r="182" spans="1:20" ht="15" customHeight="1" thickBot="1" x14ac:dyDescent="0.3">
      <c r="A182" s="619" t="s">
        <v>250</v>
      </c>
      <c r="B182" s="620"/>
      <c r="C182" s="620"/>
      <c r="D182" s="620"/>
      <c r="E182" s="621"/>
      <c r="K182" s="4">
        <v>2300</v>
      </c>
      <c r="L182" s="15">
        <f t="shared" si="39"/>
        <v>0.81944444444444398</v>
      </c>
      <c r="P182" s="91"/>
      <c r="Q182" s="69">
        <v>179</v>
      </c>
      <c r="R182" s="70">
        <f t="shared" si="36"/>
        <v>0.57187499999999902</v>
      </c>
      <c r="S182" s="392">
        <f t="shared" si="40"/>
        <v>0.54409722222222101</v>
      </c>
      <c r="T182" s="640"/>
    </row>
    <row r="183" spans="1:20" x14ac:dyDescent="0.25">
      <c r="A183" s="227" t="s">
        <v>5</v>
      </c>
      <c r="B183" s="217" t="s">
        <v>251</v>
      </c>
      <c r="C183" s="232">
        <f>IF(B196&gt;1,"1",0)</f>
        <v>0</v>
      </c>
      <c r="D183" s="219">
        <f>D173</f>
        <v>0</v>
      </c>
      <c r="E183" s="220">
        <f>C183*D183</f>
        <v>0</v>
      </c>
      <c r="K183" s="4">
        <v>2310</v>
      </c>
      <c r="L183" s="15">
        <f t="shared" si="39"/>
        <v>0.82291666666666596</v>
      </c>
      <c r="P183" s="91"/>
      <c r="Q183" s="69">
        <v>180</v>
      </c>
      <c r="R183" s="70">
        <f t="shared" si="36"/>
        <v>0.57499999999999896</v>
      </c>
      <c r="S183" s="392">
        <f t="shared" si="40"/>
        <v>0.54722222222222106</v>
      </c>
      <c r="T183" s="640"/>
    </row>
    <row r="184" spans="1:20" x14ac:dyDescent="0.25">
      <c r="A184" s="228" t="s">
        <v>252</v>
      </c>
      <c r="B184" s="229" t="s">
        <v>251</v>
      </c>
      <c r="C184" s="232">
        <f>IF(B198&gt;1,"1",0)</f>
        <v>0</v>
      </c>
      <c r="D184" s="230">
        <f>D172</f>
        <v>0</v>
      </c>
      <c r="E184" s="231">
        <f>C184*D184</f>
        <v>0</v>
      </c>
      <c r="K184" s="4">
        <v>2320</v>
      </c>
      <c r="L184" s="15">
        <f t="shared" si="39"/>
        <v>0.82638888888888795</v>
      </c>
      <c r="P184" s="91"/>
      <c r="Q184" s="69">
        <v>181</v>
      </c>
      <c r="R184" s="70">
        <f t="shared" si="36"/>
        <v>0.578124999999999</v>
      </c>
      <c r="S184" s="392">
        <f t="shared" si="40"/>
        <v>0.55034722222222099</v>
      </c>
      <c r="T184" s="640"/>
    </row>
    <row r="185" spans="1:20" x14ac:dyDescent="0.25">
      <c r="A185" s="228" t="s">
        <v>253</v>
      </c>
      <c r="B185" s="229" t="s">
        <v>251</v>
      </c>
      <c r="C185" s="232">
        <f>IF(B205&gt;1,"1",0)</f>
        <v>0</v>
      </c>
      <c r="D185" s="233">
        <f>D174</f>
        <v>0</v>
      </c>
      <c r="E185" s="231">
        <f>C185*D185</f>
        <v>0</v>
      </c>
      <c r="K185" s="4">
        <v>2330</v>
      </c>
      <c r="L185" s="15">
        <f t="shared" si="39"/>
        <v>0.82986111111111105</v>
      </c>
      <c r="P185" s="91"/>
      <c r="Q185" s="69">
        <v>182</v>
      </c>
      <c r="R185" s="70">
        <f t="shared" si="36"/>
        <v>0.58124999999999905</v>
      </c>
      <c r="S185" s="392">
        <f t="shared" si="40"/>
        <v>0.55347222222222103</v>
      </c>
      <c r="T185" s="640"/>
    </row>
    <row r="186" spans="1:20" x14ac:dyDescent="0.25">
      <c r="A186" s="32" t="s">
        <v>254</v>
      </c>
      <c r="B186" s="229" t="s">
        <v>251</v>
      </c>
      <c r="C186" s="234">
        <f>IF(B212&gt;1,"1",0)</f>
        <v>0</v>
      </c>
      <c r="D186" s="235">
        <f>B212</f>
        <v>0</v>
      </c>
      <c r="E186" s="236">
        <f>C186*D186</f>
        <v>0</v>
      </c>
      <c r="K186" s="4">
        <v>2340</v>
      </c>
      <c r="L186" s="15">
        <f t="shared" si="39"/>
        <v>0.83333333333333304</v>
      </c>
      <c r="P186" s="91"/>
      <c r="Q186" s="69">
        <v>183</v>
      </c>
      <c r="R186" s="70">
        <f t="shared" si="36"/>
        <v>0.58437499999999898</v>
      </c>
      <c r="S186" s="392">
        <f t="shared" si="40"/>
        <v>0.55659722222222097</v>
      </c>
      <c r="T186" s="640"/>
    </row>
    <row r="187" spans="1:20" ht="15" customHeight="1" thickBot="1" x14ac:dyDescent="0.3">
      <c r="A187" s="395" t="s">
        <v>255</v>
      </c>
      <c r="B187" s="396"/>
      <c r="C187" s="396"/>
      <c r="D187" s="397"/>
      <c r="E187" s="308">
        <f>E183+E184+E185+E186</f>
        <v>0</v>
      </c>
      <c r="K187" s="4">
        <v>2350</v>
      </c>
      <c r="L187" s="15">
        <f t="shared" si="39"/>
        <v>0.83680555555555503</v>
      </c>
      <c r="P187" s="91"/>
      <c r="Q187" s="69">
        <v>184</v>
      </c>
      <c r="R187" s="70">
        <f t="shared" si="36"/>
        <v>0.58749999999999902</v>
      </c>
      <c r="S187" s="392">
        <f t="shared" si="40"/>
        <v>0.55972222222222101</v>
      </c>
      <c r="T187" s="640"/>
    </row>
    <row r="188" spans="1:20" x14ac:dyDescent="0.25">
      <c r="A188" s="237" t="s">
        <v>256</v>
      </c>
      <c r="B188" s="47"/>
      <c r="C188" s="47"/>
      <c r="D188" s="47"/>
      <c r="E188" s="238">
        <f>B213</f>
        <v>0</v>
      </c>
      <c r="K188" s="4">
        <v>2360</v>
      </c>
      <c r="L188" s="15">
        <f t="shared" si="39"/>
        <v>0.84027777777777701</v>
      </c>
      <c r="P188" s="91"/>
      <c r="Q188" s="69">
        <v>185</v>
      </c>
      <c r="R188" s="70">
        <f t="shared" si="36"/>
        <v>0.59062499999999896</v>
      </c>
      <c r="S188" s="392">
        <f t="shared" si="40"/>
        <v>0.56284722222222106</v>
      </c>
      <c r="T188" s="640"/>
    </row>
    <row r="189" spans="1:20" ht="15" customHeight="1" thickBot="1" x14ac:dyDescent="0.3">
      <c r="A189" s="395" t="s">
        <v>257</v>
      </c>
      <c r="B189" s="396"/>
      <c r="C189" s="396"/>
      <c r="D189" s="397"/>
      <c r="E189" s="239" t="e">
        <f>(E178+E179+E183+E184+E185+E186)-E188</f>
        <v>#DIV/0!</v>
      </c>
      <c r="K189" s="4">
        <v>2370</v>
      </c>
      <c r="L189" s="15">
        <f t="shared" si="39"/>
        <v>0.843749999999999</v>
      </c>
      <c r="P189" s="91"/>
      <c r="Q189" s="69">
        <v>186</v>
      </c>
      <c r="R189" s="70">
        <f t="shared" si="36"/>
        <v>0.593749999999999</v>
      </c>
      <c r="S189" s="392">
        <f t="shared" si="40"/>
        <v>0.56597222222222099</v>
      </c>
      <c r="T189" s="640"/>
    </row>
    <row r="190" spans="1:20" ht="15" customHeight="1" thickBot="1" x14ac:dyDescent="0.3">
      <c r="K190" s="4">
        <v>2380</v>
      </c>
      <c r="L190" s="15">
        <f t="shared" si="39"/>
        <v>0.84722222222222199</v>
      </c>
      <c r="P190" s="91"/>
      <c r="Q190" s="69">
        <v>187</v>
      </c>
      <c r="R190" s="70">
        <f t="shared" si="36"/>
        <v>0.59687499999999905</v>
      </c>
      <c r="S190" s="392">
        <f t="shared" si="40"/>
        <v>0.56909722222222103</v>
      </c>
      <c r="T190" s="640"/>
    </row>
    <row r="191" spans="1:20" ht="15" customHeight="1" thickBot="1" x14ac:dyDescent="0.3">
      <c r="F191" s="631" t="s">
        <v>258</v>
      </c>
      <c r="G191" s="621"/>
      <c r="H191" s="633">
        <f>B200</f>
        <v>0</v>
      </c>
      <c r="I191" s="621"/>
      <c r="K191" s="4">
        <v>2390</v>
      </c>
      <c r="L191" s="15">
        <f t="shared" si="39"/>
        <v>0.85069444444444398</v>
      </c>
      <c r="P191" s="91"/>
      <c r="Q191" s="69">
        <v>188</v>
      </c>
      <c r="R191" s="70">
        <f t="shared" si="36"/>
        <v>0.59999999999999898</v>
      </c>
      <c r="S191" s="392">
        <f t="shared" si="40"/>
        <v>0.57222222222222097</v>
      </c>
      <c r="T191" s="640"/>
    </row>
    <row r="192" spans="1:20" ht="15" customHeight="1" thickBot="1" x14ac:dyDescent="0.3">
      <c r="A192" s="30"/>
      <c r="B192" s="30"/>
      <c r="C192" s="47"/>
      <c r="F192" s="119" t="s">
        <v>259</v>
      </c>
      <c r="G192" s="128" t="s">
        <v>260</v>
      </c>
      <c r="H192" s="128" t="s">
        <v>236</v>
      </c>
      <c r="I192" s="128" t="s">
        <v>257</v>
      </c>
      <c r="K192" s="4">
        <v>2400</v>
      </c>
      <c r="L192" s="15">
        <f t="shared" si="39"/>
        <v>0.85416666666666596</v>
      </c>
      <c r="P192" s="91"/>
      <c r="Q192" s="69">
        <v>189</v>
      </c>
      <c r="R192" s="70">
        <f t="shared" si="36"/>
        <v>0.60312499999999902</v>
      </c>
      <c r="S192" s="392">
        <f t="shared" si="40"/>
        <v>0.57534722222222101</v>
      </c>
      <c r="T192" s="640"/>
    </row>
    <row r="193" spans="1:20" x14ac:dyDescent="0.25">
      <c r="A193" s="49" t="s">
        <v>261</v>
      </c>
      <c r="B193" s="4"/>
      <c r="C193" s="47"/>
      <c r="F193" s="136" t="s">
        <v>262</v>
      </c>
      <c r="G193" s="129">
        <f>C178</f>
        <v>0</v>
      </c>
      <c r="H193" s="146" t="e">
        <f>I193/G193</f>
        <v>#DIV/0!</v>
      </c>
      <c r="I193" s="147" t="e">
        <f>D157+D158</f>
        <v>#DIV/0!</v>
      </c>
      <c r="K193" s="4">
        <v>2410</v>
      </c>
      <c r="L193" s="15">
        <f t="shared" si="39"/>
        <v>0.85763888888888795</v>
      </c>
      <c r="P193" s="91"/>
      <c r="Q193" s="69">
        <v>190</v>
      </c>
      <c r="R193" s="70">
        <f t="shared" si="36"/>
        <v>0.60624999999999896</v>
      </c>
      <c r="S193" s="392">
        <f t="shared" si="40"/>
        <v>0.57847222222222106</v>
      </c>
      <c r="T193" s="640"/>
    </row>
    <row r="194" spans="1:20" x14ac:dyDescent="0.25">
      <c r="A194" s="4" t="s">
        <v>263</v>
      </c>
      <c r="B194" s="162">
        <v>130</v>
      </c>
      <c r="C194" s="47"/>
      <c r="F194" s="137" t="str">
        <f>A183</f>
        <v>Programming</v>
      </c>
      <c r="G194" s="130">
        <f>C183</f>
        <v>0</v>
      </c>
      <c r="H194" s="148">
        <f>D183</f>
        <v>0</v>
      </c>
      <c r="I194" s="148">
        <f>G194*D183</f>
        <v>0</v>
      </c>
      <c r="K194" s="4">
        <v>2420</v>
      </c>
      <c r="L194" s="15">
        <f t="shared" si="39"/>
        <v>0.86111111111111005</v>
      </c>
      <c r="P194" s="91"/>
      <c r="Q194" s="69">
        <v>191</v>
      </c>
      <c r="R194" s="70">
        <f t="shared" si="36"/>
        <v>0.609374999999999</v>
      </c>
      <c r="S194" s="392">
        <f t="shared" si="40"/>
        <v>0.58159722222222099</v>
      </c>
      <c r="T194" s="640"/>
    </row>
    <row r="195" spans="1:20" x14ac:dyDescent="0.25">
      <c r="A195" s="4" t="s">
        <v>264</v>
      </c>
      <c r="B195" s="162">
        <v>165</v>
      </c>
      <c r="C195" s="47"/>
      <c r="F195" s="137" t="str">
        <f>A184</f>
        <v>Stencil for Assembly</v>
      </c>
      <c r="G195" s="130">
        <f>C184</f>
        <v>0</v>
      </c>
      <c r="H195" s="148">
        <f>B198</f>
        <v>0</v>
      </c>
      <c r="I195" s="148">
        <f>G195*H195</f>
        <v>0</v>
      </c>
      <c r="K195" s="4">
        <v>2430</v>
      </c>
      <c r="L195" s="15">
        <f t="shared" si="39"/>
        <v>0.86458333333333304</v>
      </c>
      <c r="P195" s="91"/>
      <c r="Q195" s="69">
        <v>192</v>
      </c>
      <c r="R195" s="70">
        <f t="shared" si="36"/>
        <v>0.61249999999999905</v>
      </c>
      <c r="S195" s="392">
        <f t="shared" si="40"/>
        <v>0.58472222222222103</v>
      </c>
      <c r="T195" s="640"/>
    </row>
    <row r="196" spans="1:20" ht="15" customHeight="1" thickBot="1" x14ac:dyDescent="0.3">
      <c r="A196" s="4" t="s">
        <v>5</v>
      </c>
      <c r="B196" s="162"/>
      <c r="C196" s="47"/>
      <c r="F196" s="138" t="s">
        <v>265</v>
      </c>
      <c r="G196" s="130">
        <f>G193</f>
        <v>0</v>
      </c>
      <c r="H196" s="148" t="e">
        <f>I196/G196</f>
        <v>#DIV/0!</v>
      </c>
      <c r="I196" s="149" t="e">
        <f>SUM(I193:I195)</f>
        <v>#DIV/0!</v>
      </c>
      <c r="K196" s="4">
        <v>2440</v>
      </c>
      <c r="L196" s="15">
        <f t="shared" si="39"/>
        <v>0.86805555555555503</v>
      </c>
      <c r="P196" s="91"/>
      <c r="Q196" s="69">
        <v>193</v>
      </c>
      <c r="R196" s="70">
        <f t="shared" si="36"/>
        <v>0.61562499999999898</v>
      </c>
      <c r="S196" s="392">
        <f t="shared" si="40"/>
        <v>0.58784722222222097</v>
      </c>
      <c r="T196" s="640"/>
    </row>
    <row r="197" spans="1:20" x14ac:dyDescent="0.25">
      <c r="A197" s="4" t="s">
        <v>266</v>
      </c>
      <c r="B197" s="356">
        <v>1</v>
      </c>
      <c r="C197" s="47"/>
      <c r="F197" s="138" t="s">
        <v>267</v>
      </c>
      <c r="G197" s="130">
        <f>G193</f>
        <v>0</v>
      </c>
      <c r="H197" s="156" t="e">
        <f>I197/G197</f>
        <v>#DIV/0!</v>
      </c>
      <c r="I197" s="150" t="e">
        <f>I193</f>
        <v>#DIV/0!</v>
      </c>
      <c r="K197" s="4">
        <v>2450</v>
      </c>
      <c r="L197" s="15">
        <f t="shared" si="39"/>
        <v>0.87152777777777701</v>
      </c>
      <c r="P197" s="91"/>
      <c r="Q197" s="69">
        <v>194</v>
      </c>
      <c r="R197" s="70">
        <f t="shared" ref="R197:R203" si="41">$R$4+S197</f>
        <v>0.61874999999999902</v>
      </c>
      <c r="S197" s="392">
        <f t="shared" si="40"/>
        <v>0.59097222222222101</v>
      </c>
      <c r="T197" s="640"/>
    </row>
    <row r="198" spans="1:20" ht="15" customHeight="1" thickBot="1" x14ac:dyDescent="0.3">
      <c r="A198" s="4" t="s">
        <v>238</v>
      </c>
      <c r="B198" s="468"/>
      <c r="C198" s="47"/>
      <c r="F198" s="139"/>
      <c r="G198" s="131"/>
      <c r="H198" s="151"/>
      <c r="I198" s="152"/>
      <c r="K198" s="4">
        <v>2460</v>
      </c>
      <c r="L198" s="15">
        <f t="shared" si="39"/>
        <v>0.874999999999999</v>
      </c>
      <c r="P198" s="91"/>
      <c r="Q198" s="69">
        <v>195</v>
      </c>
      <c r="R198" s="70">
        <f t="shared" si="41"/>
        <v>0.62187499999999896</v>
      </c>
      <c r="S198" s="392">
        <f t="shared" si="40"/>
        <v>0.59409722222222106</v>
      </c>
      <c r="T198" s="640"/>
    </row>
    <row r="199" spans="1:20" ht="15" customHeight="1" thickBot="1" x14ac:dyDescent="0.3">
      <c r="A199" s="4" t="s">
        <v>268</v>
      </c>
      <c r="B199" s="467">
        <v>1</v>
      </c>
      <c r="C199" s="47"/>
      <c r="F199" s="127" t="s">
        <v>269</v>
      </c>
      <c r="G199" s="128" t="s">
        <v>260</v>
      </c>
      <c r="H199" s="153" t="s">
        <v>236</v>
      </c>
      <c r="I199" s="153" t="s">
        <v>257</v>
      </c>
      <c r="K199" s="14"/>
      <c r="P199" s="91"/>
      <c r="Q199" s="69">
        <v>196</v>
      </c>
      <c r="R199" s="70">
        <f t="shared" si="41"/>
        <v>0.624999999999999</v>
      </c>
      <c r="S199" s="392">
        <f t="shared" si="40"/>
        <v>0.59722222222222099</v>
      </c>
      <c r="T199" s="640"/>
    </row>
    <row r="200" spans="1:20" x14ac:dyDescent="0.25">
      <c r="A200" s="4" t="s">
        <v>270</v>
      </c>
      <c r="B200" s="115"/>
      <c r="C200" s="47"/>
      <c r="F200" s="140" t="s">
        <v>271</v>
      </c>
      <c r="G200" s="130">
        <f>G193</f>
        <v>0</v>
      </c>
      <c r="H200" s="148" t="e">
        <f>I200/G200</f>
        <v>#DIV/0!</v>
      </c>
      <c r="I200" s="154">
        <f>B204</f>
        <v>0</v>
      </c>
      <c r="K200" s="4">
        <v>2480</v>
      </c>
      <c r="L200" s="15">
        <f t="shared" ref="L200:L263" si="42">$L$6+(((K200-$K$6)/10)*$M$2)</f>
        <v>0.88194444444444398</v>
      </c>
      <c r="P200" s="91"/>
      <c r="Q200" s="69">
        <v>197</v>
      </c>
      <c r="R200" s="70">
        <f t="shared" si="41"/>
        <v>0.62812499999999905</v>
      </c>
      <c r="S200" s="392">
        <f t="shared" si="40"/>
        <v>0.60034722222222103</v>
      </c>
      <c r="T200" s="640"/>
    </row>
    <row r="201" spans="1:20" ht="15" customHeight="1" thickBot="1" x14ac:dyDescent="0.3">
      <c r="A201" s="376"/>
      <c r="B201" s="376"/>
      <c r="C201" s="3" t="s">
        <v>271</v>
      </c>
      <c r="D201" s="115"/>
      <c r="F201" s="137" t="s">
        <v>272</v>
      </c>
      <c r="G201" s="130">
        <v>1</v>
      </c>
      <c r="H201" s="148">
        <f>I201/G201</f>
        <v>0</v>
      </c>
      <c r="I201" s="148">
        <f>D174</f>
        <v>0</v>
      </c>
      <c r="K201" s="4">
        <v>2490</v>
      </c>
      <c r="L201" s="15">
        <f t="shared" si="42"/>
        <v>0.88541666666666596</v>
      </c>
      <c r="P201" s="91"/>
      <c r="Q201" s="69">
        <v>198</v>
      </c>
      <c r="R201" s="70">
        <f t="shared" si="41"/>
        <v>0.63124999999999898</v>
      </c>
      <c r="S201" s="392">
        <f t="shared" si="40"/>
        <v>0.60347222222222097</v>
      </c>
      <c r="T201" s="640"/>
    </row>
    <row r="202" spans="1:20" x14ac:dyDescent="0.25">
      <c r="A202" s="175" t="s">
        <v>273</v>
      </c>
      <c r="B202" s="378">
        <f>IF(B204&gt;0,1,0)</f>
        <v>0</v>
      </c>
      <c r="C202" s="374" t="s">
        <v>274</v>
      </c>
      <c r="D202" s="357">
        <f>final!F15</f>
        <v>0.25</v>
      </c>
      <c r="F202" s="141" t="s">
        <v>275</v>
      </c>
      <c r="G202" s="130">
        <v>1</v>
      </c>
      <c r="H202" s="148">
        <f>I202/G202</f>
        <v>0</v>
      </c>
      <c r="I202" s="155">
        <f>B203</f>
        <v>0</v>
      </c>
      <c r="K202" s="4">
        <v>2500</v>
      </c>
      <c r="L202" s="15">
        <f t="shared" si="42"/>
        <v>0.88888888888888795</v>
      </c>
      <c r="P202" s="91"/>
      <c r="Q202" s="69">
        <v>199</v>
      </c>
      <c r="R202" s="70">
        <f t="shared" si="41"/>
        <v>0.63437499999999902</v>
      </c>
      <c r="S202" s="392">
        <f t="shared" si="40"/>
        <v>0.60659722222222101</v>
      </c>
      <c r="T202" s="640"/>
    </row>
    <row r="203" spans="1:20" ht="15" customHeight="1" thickBot="1" x14ac:dyDescent="0.3">
      <c r="A203" s="5" t="s">
        <v>276</v>
      </c>
      <c r="B203" s="353">
        <f>B202*100</f>
        <v>0</v>
      </c>
      <c r="C203" s="375" t="s">
        <v>277</v>
      </c>
      <c r="D203" s="4">
        <f>D202*D201</f>
        <v>0</v>
      </c>
      <c r="F203" s="138" t="s">
        <v>265</v>
      </c>
      <c r="G203" s="130">
        <f>G200</f>
        <v>0</v>
      </c>
      <c r="H203" s="148" t="e">
        <f>I203/G203</f>
        <v>#DIV/0!</v>
      </c>
      <c r="I203" s="156">
        <f>SUM(I200:I202)</f>
        <v>0</v>
      </c>
      <c r="K203" s="4">
        <v>2510</v>
      </c>
      <c r="L203" s="15">
        <f t="shared" si="42"/>
        <v>0.89236111111111005</v>
      </c>
      <c r="P203" s="91"/>
      <c r="Q203" s="69">
        <v>200</v>
      </c>
      <c r="R203" s="70">
        <f t="shared" si="41"/>
        <v>0.63749999999999896</v>
      </c>
      <c r="S203" s="392">
        <f t="shared" si="40"/>
        <v>0.60972222222222106</v>
      </c>
      <c r="T203" s="641"/>
    </row>
    <row r="204" spans="1:20" ht="15" customHeight="1" thickBot="1" x14ac:dyDescent="0.3">
      <c r="A204" s="10" t="s">
        <v>278</v>
      </c>
      <c r="B204" s="379">
        <f>D204</f>
        <v>0</v>
      </c>
      <c r="C204" s="375" t="s">
        <v>279</v>
      </c>
      <c r="D204" s="4">
        <f>D203+D201</f>
        <v>0</v>
      </c>
      <c r="F204" s="141" t="s">
        <v>280</v>
      </c>
      <c r="G204" s="132">
        <f>G203</f>
        <v>0</v>
      </c>
      <c r="H204" s="179" t="e">
        <f>I204/G204</f>
        <v>#DIV/0!</v>
      </c>
      <c r="I204" s="155">
        <f>I200+I202</f>
        <v>0</v>
      </c>
      <c r="K204" s="4">
        <v>2520</v>
      </c>
      <c r="L204" s="15">
        <f t="shared" si="42"/>
        <v>0.89583333333333304</v>
      </c>
    </row>
    <row r="205" spans="1:20" ht="15" customHeight="1" thickBot="1" x14ac:dyDescent="0.3">
      <c r="A205" s="1" t="s">
        <v>272</v>
      </c>
      <c r="B205" s="377"/>
      <c r="F205" s="142"/>
      <c r="G205" s="133"/>
      <c r="H205" s="157"/>
      <c r="I205" s="158"/>
      <c r="K205" s="4">
        <v>2530</v>
      </c>
      <c r="L205" s="15">
        <f t="shared" si="42"/>
        <v>0.89930555555555503</v>
      </c>
    </row>
    <row r="206" spans="1:20" ht="15" customHeight="1" thickBot="1" x14ac:dyDescent="0.3">
      <c r="A206" s="171"/>
      <c r="B206" s="171"/>
      <c r="C206" s="3" t="s">
        <v>285</v>
      </c>
      <c r="D206" s="115"/>
      <c r="F206" s="127" t="s">
        <v>281</v>
      </c>
      <c r="G206" s="128" t="s">
        <v>260</v>
      </c>
      <c r="H206" s="153" t="s">
        <v>236</v>
      </c>
      <c r="I206" s="153" t="s">
        <v>257</v>
      </c>
      <c r="K206" s="4">
        <v>2540</v>
      </c>
      <c r="L206" s="15">
        <f t="shared" si="42"/>
        <v>0.90277777777777701</v>
      </c>
    </row>
    <row r="207" spans="1:20" x14ac:dyDescent="0.25">
      <c r="A207" s="4" t="s">
        <v>282</v>
      </c>
      <c r="B207" s="356">
        <f>IF(B209&gt;0,1,0)</f>
        <v>0</v>
      </c>
      <c r="C207" t="s">
        <v>403</v>
      </c>
      <c r="D207">
        <v>200</v>
      </c>
      <c r="F207" s="140" t="s">
        <v>281</v>
      </c>
      <c r="G207" s="135">
        <v>1</v>
      </c>
      <c r="H207" s="147">
        <f>B209</f>
        <v>0</v>
      </c>
      <c r="I207" s="154">
        <f>B209</f>
        <v>0</v>
      </c>
      <c r="K207" s="4">
        <v>2550</v>
      </c>
      <c r="L207" s="15">
        <f t="shared" si="42"/>
        <v>0.906249999999999</v>
      </c>
    </row>
    <row r="208" spans="1:20" ht="15" customHeight="1" thickBot="1" x14ac:dyDescent="0.3">
      <c r="A208" s="4" t="s">
        <v>283</v>
      </c>
      <c r="B208" s="125">
        <f>(150+(3.5*E8))*B207</f>
        <v>0</v>
      </c>
      <c r="C208" s="421" t="s">
        <v>274</v>
      </c>
      <c r="D208" s="489">
        <f>final!$H$15</f>
        <v>0.25</v>
      </c>
      <c r="F208" s="141" t="s">
        <v>284</v>
      </c>
      <c r="G208" s="144">
        <v>1</v>
      </c>
      <c r="H208" s="159">
        <f>B208</f>
        <v>0</v>
      </c>
      <c r="I208" s="155">
        <f>B208</f>
        <v>0</v>
      </c>
      <c r="K208" s="4">
        <v>2560</v>
      </c>
      <c r="L208" s="15">
        <f t="shared" si="42"/>
        <v>0.90972222222222199</v>
      </c>
    </row>
    <row r="209" spans="1:12" ht="15" customHeight="1" thickBot="1" x14ac:dyDescent="0.3">
      <c r="A209" s="4" t="s">
        <v>285</v>
      </c>
      <c r="B209" s="485">
        <f>D210</f>
        <v>0</v>
      </c>
      <c r="C209" s="4" t="s">
        <v>277</v>
      </c>
      <c r="D209" s="4">
        <f>SUM(D206:D207)*D208</f>
        <v>50</v>
      </c>
      <c r="F209" s="126" t="s">
        <v>257</v>
      </c>
      <c r="G209" s="143">
        <f>E4</f>
        <v>0</v>
      </c>
      <c r="H209" s="160" t="e">
        <f>I209/G209</f>
        <v>#DIV/0!</v>
      </c>
      <c r="I209" s="160">
        <f>I207+I208</f>
        <v>0</v>
      </c>
      <c r="K209" s="4">
        <v>2570</v>
      </c>
      <c r="L209" s="15">
        <f t="shared" si="42"/>
        <v>0.91319444444444398</v>
      </c>
    </row>
    <row r="210" spans="1:12" ht="15" customHeight="1" thickBot="1" x14ac:dyDescent="0.3">
      <c r="A210" s="171"/>
      <c r="B210" s="171"/>
      <c r="C210" s="3" t="s">
        <v>257</v>
      </c>
      <c r="D210" s="4">
        <f>IF(D206&lt;1,0,SUM(D206,D207,D209))</f>
        <v>0</v>
      </c>
      <c r="F210" s="142"/>
      <c r="G210" s="134"/>
      <c r="H210" s="158"/>
      <c r="I210" s="158"/>
      <c r="K210" s="4">
        <v>2580</v>
      </c>
      <c r="L210" s="15">
        <f t="shared" si="42"/>
        <v>0.91666666666666596</v>
      </c>
    </row>
    <row r="211" spans="1:12" ht="15" customHeight="1" thickBot="1" x14ac:dyDescent="0.3">
      <c r="A211" s="4" t="s">
        <v>340</v>
      </c>
      <c r="B211" s="172"/>
      <c r="C211" s="47"/>
      <c r="F211" s="173" t="s">
        <v>286</v>
      </c>
      <c r="G211" s="124" t="s">
        <v>260</v>
      </c>
      <c r="H211" s="174" t="s">
        <v>236</v>
      </c>
      <c r="I211" s="174" t="s">
        <v>257</v>
      </c>
      <c r="K211" s="4">
        <v>2590</v>
      </c>
      <c r="L211" s="15">
        <f t="shared" si="42"/>
        <v>0.92013888888888795</v>
      </c>
    </row>
    <row r="212" spans="1:12" x14ac:dyDescent="0.25">
      <c r="A212" s="4" t="s">
        <v>287</v>
      </c>
      <c r="B212" s="162"/>
      <c r="C212" s="47"/>
      <c r="F212" s="175" t="s">
        <v>288</v>
      </c>
      <c r="G212" s="176">
        <f>E4</f>
        <v>0</v>
      </c>
      <c r="H212" s="180">
        <f>B211</f>
        <v>0</v>
      </c>
      <c r="I212" s="177">
        <f>H212*G212</f>
        <v>0</v>
      </c>
      <c r="K212" s="4">
        <v>2600</v>
      </c>
      <c r="L212" s="15">
        <f t="shared" si="42"/>
        <v>0.92361111111111005</v>
      </c>
    </row>
    <row r="213" spans="1:12" ht="15" customHeight="1" thickBot="1" x14ac:dyDescent="0.3">
      <c r="A213" t="s">
        <v>256</v>
      </c>
      <c r="B213" s="183"/>
      <c r="F213" s="278" t="s">
        <v>287</v>
      </c>
      <c r="G213" s="279">
        <f>IF(B212&gt;1,"1",0)</f>
        <v>0</v>
      </c>
      <c r="H213" s="280">
        <f>B212</f>
        <v>0</v>
      </c>
      <c r="I213" s="342">
        <f>G213*H213</f>
        <v>0</v>
      </c>
      <c r="K213" s="4">
        <v>2610</v>
      </c>
      <c r="L213" s="15">
        <f t="shared" si="42"/>
        <v>0.92708333333333304</v>
      </c>
    </row>
    <row r="214" spans="1:12" ht="15" customHeight="1" thickBot="1" x14ac:dyDescent="0.3">
      <c r="A214" s="30"/>
      <c r="B214" s="30"/>
      <c r="F214" s="127" t="s">
        <v>257</v>
      </c>
      <c r="G214" s="143"/>
      <c r="H214" s="160"/>
      <c r="I214" s="281">
        <f>I212+I213</f>
        <v>0</v>
      </c>
      <c r="K214" s="4">
        <v>2620</v>
      </c>
      <c r="L214" s="15">
        <f t="shared" si="42"/>
        <v>0.93055555555555503</v>
      </c>
    </row>
    <row r="215" spans="1:12" x14ac:dyDescent="0.25">
      <c r="A215" s="175" t="s">
        <v>289</v>
      </c>
      <c r="B215" s="48" t="str">
        <f>IF(AND(B209=0,D201=0),B216,IF(AND(B209&gt;0,D201&gt;0),B217,B218))</f>
        <v>Assembly only</v>
      </c>
      <c r="F215" s="145" t="s">
        <v>265</v>
      </c>
      <c r="G215" s="129">
        <f>G207</f>
        <v>1</v>
      </c>
      <c r="H215" s="146" t="e">
        <f>I215/G215</f>
        <v>#DIV/0!</v>
      </c>
      <c r="I215" s="146" t="e">
        <f>I196+I203+I209+I214</f>
        <v>#DIV/0!</v>
      </c>
      <c r="K215" s="4">
        <v>2630</v>
      </c>
      <c r="L215" s="15">
        <f t="shared" si="42"/>
        <v>0.93402777777777701</v>
      </c>
    </row>
    <row r="216" spans="1:12" ht="15" customHeight="1" thickBot="1" x14ac:dyDescent="0.3">
      <c r="A216" s="5" t="s">
        <v>291</v>
      </c>
      <c r="B216" s="6" t="s">
        <v>292</v>
      </c>
      <c r="C216" t="s">
        <v>302</v>
      </c>
      <c r="F216" s="181" t="s">
        <v>293</v>
      </c>
      <c r="G216" s="144">
        <f>G215</f>
        <v>1</v>
      </c>
      <c r="H216" s="159" t="e">
        <f>I216/G216</f>
        <v>#DIV/0!</v>
      </c>
      <c r="I216" s="182" t="e">
        <f>I197+I204+I209+I212</f>
        <v>#DIV/0!</v>
      </c>
      <c r="K216" s="4">
        <v>2640</v>
      </c>
      <c r="L216" s="15">
        <f t="shared" si="42"/>
        <v>0.937499999999999</v>
      </c>
    </row>
    <row r="217" spans="1:12" ht="15" customHeight="1" thickBot="1" x14ac:dyDescent="0.3">
      <c r="A217" s="5" t="s">
        <v>294</v>
      </c>
      <c r="B217" s="6" t="s">
        <v>290</v>
      </c>
      <c r="C217" t="s">
        <v>303</v>
      </c>
      <c r="F217" s="282" t="s">
        <v>236</v>
      </c>
      <c r="G217" s="321">
        <f>G212</f>
        <v>0</v>
      </c>
      <c r="H217" s="283" t="e">
        <f>H193+H204+H209+H212</f>
        <v>#DIV/0!</v>
      </c>
      <c r="I217" s="284" t="e">
        <f>H217*G217</f>
        <v>#DIV/0!</v>
      </c>
      <c r="K217" s="4">
        <v>2650</v>
      </c>
      <c r="L217" s="15">
        <f t="shared" si="42"/>
        <v>0.94097222222222199</v>
      </c>
    </row>
    <row r="218" spans="1:12" ht="15" customHeight="1" thickBot="1" x14ac:dyDescent="0.3">
      <c r="A218" s="10" t="s">
        <v>295</v>
      </c>
      <c r="B218" s="22" t="s">
        <v>295</v>
      </c>
      <c r="C218" t="s">
        <v>303</v>
      </c>
      <c r="F218" s="285"/>
      <c r="G218" s="285"/>
      <c r="H218" s="285"/>
      <c r="I218" s="285"/>
      <c r="K218" s="4">
        <v>2660</v>
      </c>
      <c r="L218" s="15">
        <f t="shared" si="42"/>
        <v>0.94444444444444398</v>
      </c>
    </row>
    <row r="219" spans="1:12" ht="15" customHeight="1" thickBot="1" x14ac:dyDescent="0.3">
      <c r="F219" s="286" t="s">
        <v>296</v>
      </c>
      <c r="G219" s="287">
        <f>I204+I209+I212+I213</f>
        <v>0</v>
      </c>
      <c r="H219" s="285"/>
      <c r="I219" s="285"/>
      <c r="K219" s="4">
        <v>2670</v>
      </c>
      <c r="L219" s="15">
        <f t="shared" si="42"/>
        <v>0.94791666666666596</v>
      </c>
    </row>
    <row r="220" spans="1:12" x14ac:dyDescent="0.25">
      <c r="C220" s="424"/>
      <c r="K220" s="4">
        <v>2680</v>
      </c>
      <c r="L220" s="15">
        <f t="shared" si="42"/>
        <v>0.95138888888888795</v>
      </c>
    </row>
    <row r="221" spans="1:12" x14ac:dyDescent="0.25">
      <c r="K221" s="4">
        <v>2690</v>
      </c>
      <c r="L221" s="15">
        <f t="shared" si="42"/>
        <v>0.95486111111111005</v>
      </c>
    </row>
    <row r="222" spans="1:12" x14ac:dyDescent="0.25">
      <c r="K222" s="4">
        <v>2700</v>
      </c>
      <c r="L222" s="15">
        <f t="shared" si="42"/>
        <v>0.95833333333333304</v>
      </c>
    </row>
    <row r="223" spans="1:12" x14ac:dyDescent="0.25">
      <c r="K223" s="4">
        <v>2710</v>
      </c>
      <c r="L223" s="15">
        <f t="shared" si="42"/>
        <v>0.96180555555555503</v>
      </c>
    </row>
    <row r="224" spans="1:12" x14ac:dyDescent="0.25">
      <c r="K224" s="4">
        <v>2720</v>
      </c>
      <c r="L224" s="15">
        <f t="shared" si="42"/>
        <v>0.96527777777777701</v>
      </c>
    </row>
    <row r="225" spans="1:12" x14ac:dyDescent="0.25">
      <c r="K225" s="4">
        <v>2730</v>
      </c>
      <c r="L225" s="15">
        <f t="shared" si="42"/>
        <v>0.968749999999999</v>
      </c>
    </row>
    <row r="226" spans="1:12" x14ac:dyDescent="0.25">
      <c r="K226" s="4">
        <v>2740</v>
      </c>
      <c r="L226" s="15">
        <f t="shared" si="42"/>
        <v>0.97222222222222199</v>
      </c>
    </row>
    <row r="227" spans="1:12" x14ac:dyDescent="0.25">
      <c r="K227" s="4">
        <v>2750</v>
      </c>
      <c r="L227" s="15">
        <f t="shared" si="42"/>
        <v>0.97569444444444398</v>
      </c>
    </row>
    <row r="228" spans="1:12" x14ac:dyDescent="0.25">
      <c r="K228" s="4">
        <v>2760</v>
      </c>
      <c r="L228" s="15">
        <f t="shared" si="42"/>
        <v>0.97916666666666596</v>
      </c>
    </row>
    <row r="229" spans="1:12" x14ac:dyDescent="0.25">
      <c r="K229" s="4">
        <v>2770</v>
      </c>
      <c r="L229" s="15">
        <f t="shared" si="42"/>
        <v>0.98263888888888795</v>
      </c>
    </row>
    <row r="230" spans="1:12" x14ac:dyDescent="0.25">
      <c r="A230" s="47"/>
      <c r="B230" s="47"/>
      <c r="C230" s="4" t="s">
        <v>383</v>
      </c>
      <c r="D230" s="3" t="s">
        <v>364</v>
      </c>
      <c r="E230" s="222"/>
      <c r="F230" s="222" t="s">
        <v>365</v>
      </c>
      <c r="G230" s="222"/>
      <c r="H230" s="47"/>
      <c r="K230" s="4">
        <v>2780</v>
      </c>
      <c r="L230" s="15">
        <f t="shared" si="42"/>
        <v>0.98611111111111005</v>
      </c>
    </row>
    <row r="231" spans="1:12" x14ac:dyDescent="0.25">
      <c r="A231" s="3" t="s">
        <v>366</v>
      </c>
      <c r="B231" s="3" t="s">
        <v>381</v>
      </c>
      <c r="C231" s="481">
        <v>1.5</v>
      </c>
      <c r="D231" s="3">
        <f>C231*60</f>
        <v>90</v>
      </c>
      <c r="E231" s="3">
        <f>D231/60</f>
        <v>1.5</v>
      </c>
      <c r="F231" s="474">
        <v>40</v>
      </c>
      <c r="G231" s="125">
        <f>F231*E231</f>
        <v>60</v>
      </c>
      <c r="H231" s="3" t="s">
        <v>367</v>
      </c>
      <c r="K231" s="4">
        <v>2790</v>
      </c>
      <c r="L231" s="15">
        <f t="shared" si="42"/>
        <v>0.98958333333333304</v>
      </c>
    </row>
    <row r="232" spans="1:12" x14ac:dyDescent="0.25">
      <c r="A232" s="3" t="s">
        <v>368</v>
      </c>
      <c r="B232" s="3" t="s">
        <v>369</v>
      </c>
      <c r="C232" s="4">
        <f>E8*3</f>
        <v>0</v>
      </c>
      <c r="D232" s="3">
        <f>C232</f>
        <v>0</v>
      </c>
      <c r="E232" s="3">
        <f t="shared" ref="E232:E237" si="43">D232/60</f>
        <v>0</v>
      </c>
      <c r="F232" s="475">
        <v>60</v>
      </c>
      <c r="G232" s="125">
        <f t="shared" ref="G232:G237" si="44">F232*E232</f>
        <v>0</v>
      </c>
      <c r="H232" s="3" t="s">
        <v>367</v>
      </c>
      <c r="K232" s="4">
        <v>2800</v>
      </c>
      <c r="L232" s="15">
        <f t="shared" si="42"/>
        <v>0.99305555555555503</v>
      </c>
    </row>
    <row r="233" spans="1:12" x14ac:dyDescent="0.25">
      <c r="A233" s="476" t="s">
        <v>372</v>
      </c>
      <c r="B233" s="3" t="s">
        <v>368</v>
      </c>
      <c r="C233" s="391">
        <f>B10*24</f>
        <v>0</v>
      </c>
      <c r="D233" s="3">
        <f>C233*60</f>
        <v>0</v>
      </c>
      <c r="E233" s="3">
        <f>D233/60</f>
        <v>0</v>
      </c>
      <c r="F233" s="474">
        <v>63</v>
      </c>
      <c r="G233" s="125">
        <f t="shared" si="44"/>
        <v>0</v>
      </c>
      <c r="H233" s="3" t="s">
        <v>373</v>
      </c>
      <c r="K233" s="4">
        <v>2810</v>
      </c>
      <c r="L233" s="15">
        <f t="shared" si="42"/>
        <v>0.99652777777777701</v>
      </c>
    </row>
    <row r="234" spans="1:12" x14ac:dyDescent="0.25">
      <c r="A234" s="476" t="s">
        <v>14</v>
      </c>
      <c r="B234" s="3" t="s">
        <v>370</v>
      </c>
      <c r="C234" s="380">
        <f>B26*24</f>
        <v>0.75</v>
      </c>
      <c r="D234" s="482">
        <f>C234*60</f>
        <v>45</v>
      </c>
      <c r="E234" s="3">
        <f t="shared" si="43"/>
        <v>0.75</v>
      </c>
      <c r="F234" s="474">
        <v>35</v>
      </c>
      <c r="G234" s="125">
        <f t="shared" si="44"/>
        <v>26.25</v>
      </c>
      <c r="H234" s="3" t="s">
        <v>373</v>
      </c>
      <c r="K234" s="4">
        <v>2820</v>
      </c>
      <c r="L234" s="15">
        <f t="shared" si="42"/>
        <v>0.999999999999999</v>
      </c>
    </row>
    <row r="235" spans="1:12" x14ac:dyDescent="0.25">
      <c r="A235" s="476" t="s">
        <v>219</v>
      </c>
      <c r="B235" s="3" t="s">
        <v>374</v>
      </c>
      <c r="C235" s="394">
        <f>C89</f>
        <v>0.33</v>
      </c>
      <c r="D235" s="482">
        <f>C235*60</f>
        <v>19.8</v>
      </c>
      <c r="E235" s="3">
        <f t="shared" si="43"/>
        <v>0.33</v>
      </c>
      <c r="F235" s="475">
        <v>45</v>
      </c>
      <c r="G235" s="125">
        <f t="shared" si="44"/>
        <v>14.85</v>
      </c>
      <c r="H235" s="3" t="s">
        <v>373</v>
      </c>
      <c r="K235" s="4">
        <v>2830</v>
      </c>
      <c r="L235" s="15">
        <f t="shared" si="42"/>
        <v>1.0034722222222201</v>
      </c>
    </row>
    <row r="236" spans="1:12" x14ac:dyDescent="0.25">
      <c r="A236" s="476" t="s">
        <v>375</v>
      </c>
      <c r="B236" s="3" t="s">
        <v>376</v>
      </c>
      <c r="C236" s="394" t="e">
        <f>C102+C137</f>
        <v>#DIV/0!</v>
      </c>
      <c r="D236" s="482" t="e">
        <f>C236*60</f>
        <v>#DIV/0!</v>
      </c>
      <c r="E236" s="3" t="e">
        <f t="shared" si="43"/>
        <v>#DIV/0!</v>
      </c>
      <c r="F236" s="474">
        <v>35</v>
      </c>
      <c r="G236" s="125" t="e">
        <f t="shared" si="44"/>
        <v>#DIV/0!</v>
      </c>
      <c r="H236" s="3" t="s">
        <v>371</v>
      </c>
      <c r="K236" s="4">
        <v>2840</v>
      </c>
      <c r="L236" s="15">
        <f t="shared" si="42"/>
        <v>1.00694444444444</v>
      </c>
    </row>
    <row r="237" spans="1:12" x14ac:dyDescent="0.25">
      <c r="A237" s="476" t="s">
        <v>382</v>
      </c>
      <c r="B237" s="3" t="s">
        <v>370</v>
      </c>
      <c r="C237" s="483">
        <f>C146+C128+C110</f>
        <v>0.66</v>
      </c>
      <c r="D237" s="482">
        <f>C237*60</f>
        <v>39.6</v>
      </c>
      <c r="E237" s="3">
        <f t="shared" si="43"/>
        <v>0.66</v>
      </c>
      <c r="F237" s="474">
        <v>35</v>
      </c>
      <c r="G237" s="125">
        <f t="shared" si="44"/>
        <v>23.1</v>
      </c>
      <c r="H237" s="3" t="s">
        <v>371</v>
      </c>
      <c r="K237" s="4">
        <v>2850</v>
      </c>
      <c r="L237" s="15">
        <f t="shared" si="42"/>
        <v>1.0104166666666701</v>
      </c>
    </row>
    <row r="238" spans="1:12" x14ac:dyDescent="0.25">
      <c r="A238" s="3" t="s">
        <v>257</v>
      </c>
      <c r="B238" s="3"/>
      <c r="C238" s="49" t="e">
        <f>SUM(C231:C237)</f>
        <v>#DIV/0!</v>
      </c>
      <c r="D238" s="421" t="e">
        <f>SUM(D231:D237)</f>
        <v>#DIV/0!</v>
      </c>
      <c r="E238" s="3"/>
      <c r="F238" s="3"/>
      <c r="G238" s="477" t="e">
        <f>SUM(G231:G237)</f>
        <v>#DIV/0!</v>
      </c>
      <c r="H238" s="3"/>
      <c r="K238" s="4">
        <v>2860</v>
      </c>
      <c r="L238" s="15">
        <f t="shared" si="42"/>
        <v>1.0138888888888899</v>
      </c>
    </row>
    <row r="239" spans="1:12" x14ac:dyDescent="0.25">
      <c r="A239" s="47"/>
      <c r="B239" s="47"/>
      <c r="D239" s="105" t="e">
        <f>D238/60</f>
        <v>#DIV/0!</v>
      </c>
      <c r="E239" s="105" t="s">
        <v>377</v>
      </c>
      <c r="F239" s="478">
        <v>43</v>
      </c>
      <c r="G239" s="478" t="e">
        <f>D239*F239</f>
        <v>#DIV/0!</v>
      </c>
      <c r="H239" s="47"/>
      <c r="K239" s="4">
        <v>2870</v>
      </c>
      <c r="L239" s="15">
        <f t="shared" si="42"/>
        <v>1.0173611111111101</v>
      </c>
    </row>
    <row r="240" spans="1:12" x14ac:dyDescent="0.25">
      <c r="A240" s="47"/>
      <c r="D240" s="47"/>
      <c r="E240" s="47"/>
      <c r="F240" s="105" t="s">
        <v>378</v>
      </c>
      <c r="G240" s="479" t="e">
        <f>SUM(G238:G239)</f>
        <v>#DIV/0!</v>
      </c>
      <c r="H240" s="47"/>
      <c r="K240" s="4">
        <v>2880</v>
      </c>
      <c r="L240" s="15">
        <f t="shared" si="42"/>
        <v>1.0208333333333299</v>
      </c>
    </row>
    <row r="241" spans="4:12" x14ac:dyDescent="0.25">
      <c r="D241" s="47"/>
      <c r="E241" s="47"/>
      <c r="F241" s="115" t="s">
        <v>379</v>
      </c>
      <c r="G241" s="125" t="e">
        <f>D159</f>
        <v>#DIV/0!</v>
      </c>
      <c r="H241" s="47"/>
      <c r="K241" s="4">
        <v>2890</v>
      </c>
      <c r="L241" s="15">
        <f t="shared" si="42"/>
        <v>1.02430555555555</v>
      </c>
    </row>
    <row r="242" spans="4:12" x14ac:dyDescent="0.25">
      <c r="D242" s="47"/>
      <c r="E242" s="47"/>
      <c r="F242" s="3" t="s">
        <v>380</v>
      </c>
      <c r="G242" s="480" t="e">
        <f>(G241-G240)/G240</f>
        <v>#DIV/0!</v>
      </c>
      <c r="H242" s="47"/>
      <c r="K242" s="4">
        <v>2900</v>
      </c>
      <c r="L242" s="15">
        <f t="shared" si="42"/>
        <v>1.0277777777777799</v>
      </c>
    </row>
    <row r="243" spans="4:12" x14ac:dyDescent="0.25">
      <c r="F243" s="3" t="s">
        <v>384</v>
      </c>
      <c r="G243" s="484" t="e">
        <f>G241-G240</f>
        <v>#DIV/0!</v>
      </c>
      <c r="K243" s="4">
        <v>2910</v>
      </c>
      <c r="L243" s="15">
        <f t="shared" si="42"/>
        <v>1.03125</v>
      </c>
    </row>
    <row r="244" spans="4:12" x14ac:dyDescent="0.25">
      <c r="K244" s="4">
        <v>2920</v>
      </c>
      <c r="L244" s="15">
        <f t="shared" si="42"/>
        <v>1.0347222222222201</v>
      </c>
    </row>
    <row r="245" spans="4:12" x14ac:dyDescent="0.25">
      <c r="K245" s="4">
        <v>2930</v>
      </c>
      <c r="L245" s="15">
        <f t="shared" si="42"/>
        <v>1.03819444444444</v>
      </c>
    </row>
    <row r="246" spans="4:12" x14ac:dyDescent="0.25">
      <c r="K246" s="4">
        <v>2940</v>
      </c>
      <c r="L246" s="15">
        <f t="shared" si="42"/>
        <v>1.0416666666666701</v>
      </c>
    </row>
    <row r="247" spans="4:12" x14ac:dyDescent="0.25">
      <c r="K247" s="4">
        <v>2950</v>
      </c>
      <c r="L247" s="15">
        <f t="shared" si="42"/>
        <v>1.0451388888888899</v>
      </c>
    </row>
    <row r="248" spans="4:12" x14ac:dyDescent="0.25">
      <c r="K248" s="4">
        <v>2960</v>
      </c>
      <c r="L248" s="15">
        <f t="shared" si="42"/>
        <v>1.0486111111111101</v>
      </c>
    </row>
    <row r="249" spans="4:12" x14ac:dyDescent="0.25">
      <c r="K249" s="4">
        <v>2970</v>
      </c>
      <c r="L249" s="15">
        <f t="shared" si="42"/>
        <v>1.0520833333333299</v>
      </c>
    </row>
    <row r="250" spans="4:12" ht="15" customHeight="1" x14ac:dyDescent="0.25">
      <c r="K250" s="4">
        <v>2980</v>
      </c>
      <c r="L250" s="15">
        <f t="shared" si="42"/>
        <v>1.05555555555555</v>
      </c>
    </row>
    <row r="251" spans="4:12" ht="15" customHeight="1" x14ac:dyDescent="0.25">
      <c r="K251" s="4">
        <v>2990</v>
      </c>
      <c r="L251" s="15">
        <f t="shared" si="42"/>
        <v>1.0590277777777799</v>
      </c>
    </row>
    <row r="252" spans="4:12" x14ac:dyDescent="0.25">
      <c r="K252" s="4">
        <v>3000</v>
      </c>
      <c r="L252" s="15">
        <f t="shared" si="42"/>
        <v>1.0625</v>
      </c>
    </row>
    <row r="253" spans="4:12" x14ac:dyDescent="0.25">
      <c r="K253" s="4">
        <v>3010</v>
      </c>
      <c r="L253" s="15">
        <f t="shared" si="42"/>
        <v>1.0659722222222201</v>
      </c>
    </row>
    <row r="254" spans="4:12" x14ac:dyDescent="0.25">
      <c r="K254" s="4">
        <v>3020</v>
      </c>
      <c r="L254" s="15">
        <f t="shared" si="42"/>
        <v>1.06944444444444</v>
      </c>
    </row>
    <row r="255" spans="4:12" x14ac:dyDescent="0.25">
      <c r="K255" s="4">
        <v>3030</v>
      </c>
      <c r="L255" s="15">
        <f t="shared" si="42"/>
        <v>1.0729166666666701</v>
      </c>
    </row>
    <row r="256" spans="4:12" x14ac:dyDescent="0.25">
      <c r="K256" s="4">
        <v>3040</v>
      </c>
      <c r="L256" s="15">
        <f t="shared" si="42"/>
        <v>1.0763888888888899</v>
      </c>
    </row>
    <row r="257" spans="11:16" x14ac:dyDescent="0.25">
      <c r="K257" s="4">
        <v>3050</v>
      </c>
      <c r="L257" s="15">
        <f t="shared" si="42"/>
        <v>1.0798611111111101</v>
      </c>
    </row>
    <row r="258" spans="11:16" x14ac:dyDescent="0.25">
      <c r="K258" s="4">
        <v>3060</v>
      </c>
      <c r="L258" s="15">
        <f t="shared" si="42"/>
        <v>1.0833333333333299</v>
      </c>
    </row>
    <row r="259" spans="11:16" x14ac:dyDescent="0.25">
      <c r="K259" s="4">
        <v>3070</v>
      </c>
      <c r="L259" s="15">
        <f t="shared" si="42"/>
        <v>1.08680555555555</v>
      </c>
    </row>
    <row r="260" spans="11:16" x14ac:dyDescent="0.25">
      <c r="K260" s="4">
        <v>3080</v>
      </c>
      <c r="L260" s="15">
        <f t="shared" si="42"/>
        <v>1.0902777777777799</v>
      </c>
    </row>
    <row r="261" spans="11:16" x14ac:dyDescent="0.25">
      <c r="K261" s="4">
        <v>3090</v>
      </c>
      <c r="L261" s="15">
        <f t="shared" si="42"/>
        <v>1.09375</v>
      </c>
    </row>
    <row r="262" spans="11:16" x14ac:dyDescent="0.25">
      <c r="K262" s="4">
        <v>3100</v>
      </c>
      <c r="L262" s="15">
        <f t="shared" si="42"/>
        <v>1.0972222222222201</v>
      </c>
    </row>
    <row r="263" spans="11:16" x14ac:dyDescent="0.25">
      <c r="K263" s="4">
        <v>3110</v>
      </c>
      <c r="L263" s="15">
        <f t="shared" si="42"/>
        <v>1.10069444444444</v>
      </c>
    </row>
    <row r="264" spans="11:16" x14ac:dyDescent="0.25">
      <c r="K264" s="4">
        <v>3120</v>
      </c>
      <c r="L264" s="15">
        <f t="shared" ref="L264:L327" si="45">$L$6+(((K264-$K$6)/10)*$M$2)</f>
        <v>1.1041666666666701</v>
      </c>
    </row>
    <row r="265" spans="11:16" x14ac:dyDescent="0.25">
      <c r="K265" s="4">
        <v>3130</v>
      </c>
      <c r="L265" s="15">
        <f t="shared" si="45"/>
        <v>1.1076388888888899</v>
      </c>
      <c r="P265" s="14"/>
    </row>
    <row r="266" spans="11:16" x14ac:dyDescent="0.25">
      <c r="K266" s="4">
        <v>3140</v>
      </c>
      <c r="L266" s="15">
        <f t="shared" si="45"/>
        <v>1.1111111111111101</v>
      </c>
      <c r="P266" s="14"/>
    </row>
    <row r="267" spans="11:16" x14ac:dyDescent="0.25">
      <c r="K267" s="4">
        <v>3150</v>
      </c>
      <c r="L267" s="15">
        <f t="shared" si="45"/>
        <v>1.1145833333333299</v>
      </c>
      <c r="P267" s="14"/>
    </row>
    <row r="268" spans="11:16" x14ac:dyDescent="0.25">
      <c r="K268" s="4">
        <v>3160</v>
      </c>
      <c r="L268" s="15">
        <f t="shared" si="45"/>
        <v>1.11805555555555</v>
      </c>
    </row>
    <row r="269" spans="11:16" x14ac:dyDescent="0.25">
      <c r="K269" s="4">
        <v>3170</v>
      </c>
      <c r="L269" s="15">
        <f t="shared" si="45"/>
        <v>1.1215277777777799</v>
      </c>
    </row>
    <row r="270" spans="11:16" x14ac:dyDescent="0.25">
      <c r="K270" s="4">
        <v>3180</v>
      </c>
      <c r="L270" s="15">
        <f t="shared" si="45"/>
        <v>1.125</v>
      </c>
    </row>
    <row r="271" spans="11:16" x14ac:dyDescent="0.25">
      <c r="K271" s="4">
        <v>3190</v>
      </c>
      <c r="L271" s="15">
        <f t="shared" si="45"/>
        <v>1.1284722222222201</v>
      </c>
    </row>
    <row r="272" spans="11:16" x14ac:dyDescent="0.25">
      <c r="K272" s="4">
        <v>3200</v>
      </c>
      <c r="L272" s="15">
        <f t="shared" si="45"/>
        <v>1.13194444444444</v>
      </c>
    </row>
    <row r="273" spans="11:12" x14ac:dyDescent="0.25">
      <c r="K273" s="4">
        <v>3210</v>
      </c>
      <c r="L273" s="15">
        <f t="shared" si="45"/>
        <v>1.1354166666666701</v>
      </c>
    </row>
    <row r="274" spans="11:12" x14ac:dyDescent="0.25">
      <c r="K274" s="4">
        <v>3220</v>
      </c>
      <c r="L274" s="15">
        <f t="shared" si="45"/>
        <v>1.1388888888888899</v>
      </c>
    </row>
    <row r="275" spans="11:12" x14ac:dyDescent="0.25">
      <c r="K275" s="4">
        <v>3230</v>
      </c>
      <c r="L275" s="15">
        <f t="shared" si="45"/>
        <v>1.1423611111111101</v>
      </c>
    </row>
    <row r="276" spans="11:12" x14ac:dyDescent="0.25">
      <c r="K276" s="4">
        <v>3240</v>
      </c>
      <c r="L276" s="15">
        <f t="shared" si="45"/>
        <v>1.1458333333333299</v>
      </c>
    </row>
    <row r="277" spans="11:12" x14ac:dyDescent="0.25">
      <c r="K277" s="4">
        <v>3250</v>
      </c>
      <c r="L277" s="15">
        <f t="shared" si="45"/>
        <v>1.14930555555555</v>
      </c>
    </row>
    <row r="278" spans="11:12" x14ac:dyDescent="0.25">
      <c r="K278" s="4">
        <v>3260</v>
      </c>
      <c r="L278" s="15">
        <f t="shared" si="45"/>
        <v>1.1527777777777799</v>
      </c>
    </row>
    <row r="279" spans="11:12" x14ac:dyDescent="0.25">
      <c r="K279" s="4">
        <v>3270</v>
      </c>
      <c r="L279" s="15">
        <f t="shared" si="45"/>
        <v>1.15625</v>
      </c>
    </row>
    <row r="280" spans="11:12" x14ac:dyDescent="0.25">
      <c r="K280" s="4">
        <v>3280</v>
      </c>
      <c r="L280" s="15">
        <f t="shared" si="45"/>
        <v>1.1597222222222201</v>
      </c>
    </row>
    <row r="281" spans="11:12" x14ac:dyDescent="0.25">
      <c r="K281" s="4">
        <v>3290</v>
      </c>
      <c r="L281" s="15">
        <f t="shared" si="45"/>
        <v>1.16319444444444</v>
      </c>
    </row>
    <row r="282" spans="11:12" x14ac:dyDescent="0.25">
      <c r="K282" s="4">
        <v>3300</v>
      </c>
      <c r="L282" s="15">
        <f t="shared" si="45"/>
        <v>1.1666666666666701</v>
      </c>
    </row>
    <row r="283" spans="11:12" x14ac:dyDescent="0.25">
      <c r="K283" s="4">
        <v>3310</v>
      </c>
      <c r="L283" s="15">
        <f t="shared" si="45"/>
        <v>1.1701388888888899</v>
      </c>
    </row>
    <row r="284" spans="11:12" x14ac:dyDescent="0.25">
      <c r="K284" s="4">
        <v>3320</v>
      </c>
      <c r="L284" s="15">
        <f t="shared" si="45"/>
        <v>1.1736111111111101</v>
      </c>
    </row>
    <row r="285" spans="11:12" x14ac:dyDescent="0.25">
      <c r="K285" s="4">
        <v>3330</v>
      </c>
      <c r="L285" s="15">
        <f t="shared" si="45"/>
        <v>1.1770833333333299</v>
      </c>
    </row>
    <row r="286" spans="11:12" x14ac:dyDescent="0.25">
      <c r="K286" s="4">
        <v>3340</v>
      </c>
      <c r="L286" s="15">
        <f t="shared" si="45"/>
        <v>1.18055555555555</v>
      </c>
    </row>
    <row r="287" spans="11:12" x14ac:dyDescent="0.25">
      <c r="K287" s="4">
        <v>3350</v>
      </c>
      <c r="L287" s="15">
        <f t="shared" si="45"/>
        <v>1.1840277777777799</v>
      </c>
    </row>
    <row r="288" spans="11:12" x14ac:dyDescent="0.25">
      <c r="K288" s="4">
        <v>3360</v>
      </c>
      <c r="L288" s="15">
        <f t="shared" si="45"/>
        <v>1.1875</v>
      </c>
    </row>
    <row r="289" spans="11:12" x14ac:dyDescent="0.25">
      <c r="K289" s="4">
        <v>3370</v>
      </c>
      <c r="L289" s="15">
        <f t="shared" si="45"/>
        <v>1.1909722222222201</v>
      </c>
    </row>
    <row r="290" spans="11:12" x14ac:dyDescent="0.25">
      <c r="K290" s="4">
        <v>3380</v>
      </c>
      <c r="L290" s="15">
        <f t="shared" si="45"/>
        <v>1.19444444444444</v>
      </c>
    </row>
    <row r="291" spans="11:12" x14ac:dyDescent="0.25">
      <c r="K291" s="4">
        <v>3390</v>
      </c>
      <c r="L291" s="15">
        <f t="shared" si="45"/>
        <v>1.1979166666666701</v>
      </c>
    </row>
    <row r="292" spans="11:12" x14ac:dyDescent="0.25">
      <c r="K292" s="4">
        <v>3400</v>
      </c>
      <c r="L292" s="15">
        <f t="shared" si="45"/>
        <v>1.2013888888888899</v>
      </c>
    </row>
    <row r="293" spans="11:12" x14ac:dyDescent="0.25">
      <c r="K293" s="4">
        <v>3410</v>
      </c>
      <c r="L293" s="15">
        <f t="shared" si="45"/>
        <v>1.2048611111111101</v>
      </c>
    </row>
    <row r="294" spans="11:12" x14ac:dyDescent="0.25">
      <c r="K294" s="4">
        <v>3420</v>
      </c>
      <c r="L294" s="15">
        <f t="shared" si="45"/>
        <v>1.2083333333333299</v>
      </c>
    </row>
    <row r="295" spans="11:12" x14ac:dyDescent="0.25">
      <c r="K295" s="4">
        <v>3430</v>
      </c>
      <c r="L295" s="15">
        <f t="shared" si="45"/>
        <v>1.21180555555555</v>
      </c>
    </row>
    <row r="296" spans="11:12" x14ac:dyDescent="0.25">
      <c r="K296" s="4">
        <v>3440</v>
      </c>
      <c r="L296" s="15">
        <f t="shared" si="45"/>
        <v>1.2152777777777799</v>
      </c>
    </row>
    <row r="297" spans="11:12" x14ac:dyDescent="0.25">
      <c r="K297" s="4">
        <v>3450</v>
      </c>
      <c r="L297" s="15">
        <f t="shared" si="45"/>
        <v>1.21875</v>
      </c>
    </row>
    <row r="298" spans="11:12" x14ac:dyDescent="0.25">
      <c r="K298" s="4">
        <v>3460</v>
      </c>
      <c r="L298" s="15">
        <f t="shared" si="45"/>
        <v>1.2222222222222201</v>
      </c>
    </row>
    <row r="299" spans="11:12" x14ac:dyDescent="0.25">
      <c r="K299" s="4">
        <v>3470</v>
      </c>
      <c r="L299" s="15">
        <f t="shared" si="45"/>
        <v>1.22569444444444</v>
      </c>
    </row>
    <row r="300" spans="11:12" x14ac:dyDescent="0.25">
      <c r="K300" s="4">
        <v>3480</v>
      </c>
      <c r="L300" s="15">
        <f t="shared" si="45"/>
        <v>1.2291666666666701</v>
      </c>
    </row>
    <row r="301" spans="11:12" x14ac:dyDescent="0.25">
      <c r="K301" s="4">
        <v>3490</v>
      </c>
      <c r="L301" s="15">
        <f t="shared" si="45"/>
        <v>1.2326388888888899</v>
      </c>
    </row>
    <row r="302" spans="11:12" x14ac:dyDescent="0.25">
      <c r="K302" s="4">
        <v>3500</v>
      </c>
      <c r="L302" s="15">
        <f t="shared" si="45"/>
        <v>1.2361111111111101</v>
      </c>
    </row>
    <row r="303" spans="11:12" x14ac:dyDescent="0.25">
      <c r="K303" s="4">
        <v>3510</v>
      </c>
      <c r="L303" s="15">
        <f t="shared" si="45"/>
        <v>1.2395833333333299</v>
      </c>
    </row>
    <row r="304" spans="11:12" x14ac:dyDescent="0.25">
      <c r="K304" s="4">
        <v>3520</v>
      </c>
      <c r="L304" s="15">
        <f t="shared" si="45"/>
        <v>1.24305555555555</v>
      </c>
    </row>
    <row r="305" spans="11:12" x14ac:dyDescent="0.25">
      <c r="K305" s="4">
        <v>3530</v>
      </c>
      <c r="L305" s="15">
        <f t="shared" si="45"/>
        <v>1.2465277777777799</v>
      </c>
    </row>
    <row r="306" spans="11:12" x14ac:dyDescent="0.25">
      <c r="K306" s="4">
        <v>3540</v>
      </c>
      <c r="L306" s="15">
        <f t="shared" si="45"/>
        <v>1.25</v>
      </c>
    </row>
    <row r="307" spans="11:12" x14ac:dyDescent="0.25">
      <c r="K307" s="4">
        <v>3550</v>
      </c>
      <c r="L307" s="15">
        <f t="shared" si="45"/>
        <v>1.2534722222222201</v>
      </c>
    </row>
    <row r="308" spans="11:12" x14ac:dyDescent="0.25">
      <c r="K308" s="4">
        <v>3560</v>
      </c>
      <c r="L308" s="15">
        <f t="shared" si="45"/>
        <v>1.25694444444444</v>
      </c>
    </row>
    <row r="309" spans="11:12" x14ac:dyDescent="0.25">
      <c r="K309" s="4">
        <v>3570</v>
      </c>
      <c r="L309" s="15">
        <f t="shared" si="45"/>
        <v>1.2604166666666701</v>
      </c>
    </row>
    <row r="310" spans="11:12" x14ac:dyDescent="0.25">
      <c r="K310" s="4">
        <v>3580</v>
      </c>
      <c r="L310" s="15">
        <f t="shared" si="45"/>
        <v>1.2638888888888899</v>
      </c>
    </row>
    <row r="311" spans="11:12" x14ac:dyDescent="0.25">
      <c r="K311" s="4">
        <v>3590</v>
      </c>
      <c r="L311" s="15">
        <f t="shared" si="45"/>
        <v>1.2673611111111101</v>
      </c>
    </row>
    <row r="312" spans="11:12" x14ac:dyDescent="0.25">
      <c r="K312" s="4">
        <v>3600</v>
      </c>
      <c r="L312" s="15">
        <f t="shared" si="45"/>
        <v>1.2708333333333299</v>
      </c>
    </row>
    <row r="313" spans="11:12" x14ac:dyDescent="0.25">
      <c r="K313" s="4">
        <v>3610</v>
      </c>
      <c r="L313" s="15">
        <f t="shared" si="45"/>
        <v>1.27430555555555</v>
      </c>
    </row>
    <row r="314" spans="11:12" x14ac:dyDescent="0.25">
      <c r="K314" s="4">
        <v>3620</v>
      </c>
      <c r="L314" s="15">
        <f t="shared" si="45"/>
        <v>1.2777777777777799</v>
      </c>
    </row>
    <row r="315" spans="11:12" x14ac:dyDescent="0.25">
      <c r="K315" s="4">
        <v>3630</v>
      </c>
      <c r="L315" s="15">
        <f t="shared" si="45"/>
        <v>1.28125</v>
      </c>
    </row>
    <row r="316" spans="11:12" x14ac:dyDescent="0.25">
      <c r="K316" s="4">
        <v>3640</v>
      </c>
      <c r="L316" s="15">
        <f t="shared" si="45"/>
        <v>1.2847222222222201</v>
      </c>
    </row>
    <row r="317" spans="11:12" x14ac:dyDescent="0.25">
      <c r="K317" s="4">
        <v>3650</v>
      </c>
      <c r="L317" s="15">
        <f t="shared" si="45"/>
        <v>1.28819444444444</v>
      </c>
    </row>
    <row r="318" spans="11:12" x14ac:dyDescent="0.25">
      <c r="K318" s="4">
        <v>3660</v>
      </c>
      <c r="L318" s="15">
        <f t="shared" si="45"/>
        <v>1.2916666666666701</v>
      </c>
    </row>
    <row r="319" spans="11:12" x14ac:dyDescent="0.25">
      <c r="K319" s="4">
        <v>3670</v>
      </c>
      <c r="L319" s="15">
        <f t="shared" si="45"/>
        <v>1.2951388888888899</v>
      </c>
    </row>
    <row r="320" spans="11:12" x14ac:dyDescent="0.25">
      <c r="K320" s="4">
        <v>3680</v>
      </c>
      <c r="L320" s="15">
        <f t="shared" si="45"/>
        <v>1.2986111111111101</v>
      </c>
    </row>
    <row r="321" spans="11:12" x14ac:dyDescent="0.25">
      <c r="K321" s="4">
        <v>3690</v>
      </c>
      <c r="L321" s="15">
        <f t="shared" si="45"/>
        <v>1.3020833333333299</v>
      </c>
    </row>
    <row r="322" spans="11:12" x14ac:dyDescent="0.25">
      <c r="K322" s="4">
        <v>3700</v>
      </c>
      <c r="L322" s="15">
        <f t="shared" si="45"/>
        <v>1.30555555555555</v>
      </c>
    </row>
    <row r="323" spans="11:12" x14ac:dyDescent="0.25">
      <c r="K323" s="4">
        <v>3710</v>
      </c>
      <c r="L323" s="15">
        <f t="shared" si="45"/>
        <v>1.3090277777777799</v>
      </c>
    </row>
    <row r="324" spans="11:12" x14ac:dyDescent="0.25">
      <c r="K324" s="4">
        <v>3720</v>
      </c>
      <c r="L324" s="15">
        <f t="shared" si="45"/>
        <v>1.3125</v>
      </c>
    </row>
    <row r="325" spans="11:12" x14ac:dyDescent="0.25">
      <c r="K325" s="4">
        <v>3730</v>
      </c>
      <c r="L325" s="15">
        <f t="shared" si="45"/>
        <v>1.3159722222222201</v>
      </c>
    </row>
    <row r="326" spans="11:12" x14ac:dyDescent="0.25">
      <c r="K326" s="4">
        <v>3740</v>
      </c>
      <c r="L326" s="15">
        <f t="shared" si="45"/>
        <v>1.31944444444444</v>
      </c>
    </row>
    <row r="327" spans="11:12" x14ac:dyDescent="0.25">
      <c r="K327" s="4">
        <v>3750</v>
      </c>
      <c r="L327" s="15">
        <f t="shared" si="45"/>
        <v>1.3229166666666701</v>
      </c>
    </row>
    <row r="328" spans="11:12" x14ac:dyDescent="0.25">
      <c r="K328" s="4">
        <v>3760</v>
      </c>
      <c r="L328" s="15">
        <f t="shared" ref="L328:L391" si="46">$L$6+(((K328-$K$6)/10)*$M$2)</f>
        <v>1.3263888888888899</v>
      </c>
    </row>
    <row r="329" spans="11:12" x14ac:dyDescent="0.25">
      <c r="K329" s="4">
        <v>3770</v>
      </c>
      <c r="L329" s="15">
        <f t="shared" si="46"/>
        <v>1.3298611111111101</v>
      </c>
    </row>
    <row r="330" spans="11:12" x14ac:dyDescent="0.25">
      <c r="K330" s="4">
        <v>3780</v>
      </c>
      <c r="L330" s="15">
        <f t="shared" si="46"/>
        <v>1.3333333333333299</v>
      </c>
    </row>
    <row r="331" spans="11:12" x14ac:dyDescent="0.25">
      <c r="K331" s="4">
        <v>3790</v>
      </c>
      <c r="L331" s="15">
        <f t="shared" si="46"/>
        <v>1.33680555555555</v>
      </c>
    </row>
    <row r="332" spans="11:12" x14ac:dyDescent="0.25">
      <c r="K332" s="4">
        <v>3800</v>
      </c>
      <c r="L332" s="15">
        <f t="shared" si="46"/>
        <v>1.3402777777777799</v>
      </c>
    </row>
    <row r="333" spans="11:12" x14ac:dyDescent="0.25">
      <c r="K333" s="4">
        <v>3810</v>
      </c>
      <c r="L333" s="15">
        <f t="shared" si="46"/>
        <v>1.34375</v>
      </c>
    </row>
    <row r="334" spans="11:12" x14ac:dyDescent="0.25">
      <c r="K334" s="4">
        <v>3820</v>
      </c>
      <c r="L334" s="15">
        <f t="shared" si="46"/>
        <v>1.3472222222222201</v>
      </c>
    </row>
    <row r="335" spans="11:12" x14ac:dyDescent="0.25">
      <c r="K335" s="4">
        <v>3830</v>
      </c>
      <c r="L335" s="15">
        <f t="shared" si="46"/>
        <v>1.35069444444444</v>
      </c>
    </row>
    <row r="336" spans="11:12" x14ac:dyDescent="0.25">
      <c r="K336" s="4">
        <v>3840</v>
      </c>
      <c r="L336" s="15">
        <f t="shared" si="46"/>
        <v>1.3541666666666701</v>
      </c>
    </row>
    <row r="337" spans="11:12" x14ac:dyDescent="0.25">
      <c r="K337" s="4">
        <v>3850</v>
      </c>
      <c r="L337" s="15">
        <f t="shared" si="46"/>
        <v>1.3576388888888899</v>
      </c>
    </row>
    <row r="338" spans="11:12" x14ac:dyDescent="0.25">
      <c r="K338" s="4">
        <v>3860</v>
      </c>
      <c r="L338" s="15">
        <f t="shared" si="46"/>
        <v>1.3611111111111101</v>
      </c>
    </row>
    <row r="339" spans="11:12" x14ac:dyDescent="0.25">
      <c r="K339" s="4">
        <v>3870</v>
      </c>
      <c r="L339" s="15">
        <f t="shared" si="46"/>
        <v>1.3645833333333299</v>
      </c>
    </row>
    <row r="340" spans="11:12" x14ac:dyDescent="0.25">
      <c r="K340" s="4">
        <v>3880</v>
      </c>
      <c r="L340" s="15">
        <f t="shared" si="46"/>
        <v>1.36805555555555</v>
      </c>
    </row>
    <row r="341" spans="11:12" x14ac:dyDescent="0.25">
      <c r="K341" s="4">
        <v>3890</v>
      </c>
      <c r="L341" s="15">
        <f t="shared" si="46"/>
        <v>1.3715277777777799</v>
      </c>
    </row>
    <row r="342" spans="11:12" x14ac:dyDescent="0.25">
      <c r="K342" s="4">
        <v>3900</v>
      </c>
      <c r="L342" s="15">
        <f t="shared" si="46"/>
        <v>1.375</v>
      </c>
    </row>
    <row r="343" spans="11:12" x14ac:dyDescent="0.25">
      <c r="K343" s="4">
        <v>3910</v>
      </c>
      <c r="L343" s="15">
        <f t="shared" si="46"/>
        <v>1.3784722222222201</v>
      </c>
    </row>
    <row r="344" spans="11:12" x14ac:dyDescent="0.25">
      <c r="K344" s="4">
        <v>3920</v>
      </c>
      <c r="L344" s="15">
        <f t="shared" si="46"/>
        <v>1.38194444444444</v>
      </c>
    </row>
    <row r="345" spans="11:12" x14ac:dyDescent="0.25">
      <c r="K345" s="4">
        <v>3930</v>
      </c>
      <c r="L345" s="15">
        <f t="shared" si="46"/>
        <v>1.3854166666666701</v>
      </c>
    </row>
    <row r="346" spans="11:12" x14ac:dyDescent="0.25">
      <c r="K346" s="4">
        <v>3940</v>
      </c>
      <c r="L346" s="15">
        <f t="shared" si="46"/>
        <v>1.3888888888888899</v>
      </c>
    </row>
    <row r="347" spans="11:12" x14ac:dyDescent="0.25">
      <c r="K347" s="4">
        <v>3950</v>
      </c>
      <c r="L347" s="15">
        <f t="shared" si="46"/>
        <v>1.3923611111111101</v>
      </c>
    </row>
    <row r="348" spans="11:12" x14ac:dyDescent="0.25">
      <c r="K348" s="4">
        <v>3960</v>
      </c>
      <c r="L348" s="15">
        <f t="shared" si="46"/>
        <v>1.3958333333333299</v>
      </c>
    </row>
    <row r="349" spans="11:12" x14ac:dyDescent="0.25">
      <c r="K349" s="4">
        <v>3970</v>
      </c>
      <c r="L349" s="15">
        <f t="shared" si="46"/>
        <v>1.39930555555555</v>
      </c>
    </row>
    <row r="350" spans="11:12" x14ac:dyDescent="0.25">
      <c r="K350" s="4">
        <v>3980</v>
      </c>
      <c r="L350" s="15">
        <f t="shared" si="46"/>
        <v>1.4027777777777799</v>
      </c>
    </row>
    <row r="351" spans="11:12" x14ac:dyDescent="0.25">
      <c r="K351" s="4">
        <v>3990</v>
      </c>
      <c r="L351" s="15">
        <f t="shared" si="46"/>
        <v>1.40625</v>
      </c>
    </row>
    <row r="352" spans="11:12" x14ac:dyDescent="0.25">
      <c r="K352" s="4">
        <v>4000</v>
      </c>
      <c r="L352" s="15">
        <f t="shared" si="46"/>
        <v>1.4097222222222201</v>
      </c>
    </row>
    <row r="353" spans="11:12" x14ac:dyDescent="0.25">
      <c r="K353" s="4">
        <v>4010</v>
      </c>
      <c r="L353" s="15">
        <f t="shared" si="46"/>
        <v>1.41319444444444</v>
      </c>
    </row>
    <row r="354" spans="11:12" x14ac:dyDescent="0.25">
      <c r="K354" s="4">
        <v>4020</v>
      </c>
      <c r="L354" s="15">
        <f t="shared" si="46"/>
        <v>1.4166666666666701</v>
      </c>
    </row>
    <row r="355" spans="11:12" x14ac:dyDescent="0.25">
      <c r="K355" s="4">
        <v>4030</v>
      </c>
      <c r="L355" s="15">
        <f t="shared" si="46"/>
        <v>1.4201388888888899</v>
      </c>
    </row>
    <row r="356" spans="11:12" x14ac:dyDescent="0.25">
      <c r="K356" s="4">
        <v>4040</v>
      </c>
      <c r="L356" s="15">
        <f t="shared" si="46"/>
        <v>1.4236111111111101</v>
      </c>
    </row>
    <row r="357" spans="11:12" x14ac:dyDescent="0.25">
      <c r="K357" s="4">
        <v>4050</v>
      </c>
      <c r="L357" s="15">
        <f t="shared" si="46"/>
        <v>1.4270833333333299</v>
      </c>
    </row>
    <row r="358" spans="11:12" x14ac:dyDescent="0.25">
      <c r="K358" s="4">
        <v>4060</v>
      </c>
      <c r="L358" s="15">
        <f t="shared" si="46"/>
        <v>1.43055555555555</v>
      </c>
    </row>
    <row r="359" spans="11:12" x14ac:dyDescent="0.25">
      <c r="K359" s="4">
        <v>4070</v>
      </c>
      <c r="L359" s="15">
        <f t="shared" si="46"/>
        <v>1.4340277777777799</v>
      </c>
    </row>
    <row r="360" spans="11:12" x14ac:dyDescent="0.25">
      <c r="K360" s="4">
        <v>4080</v>
      </c>
      <c r="L360" s="15">
        <f t="shared" si="46"/>
        <v>1.4375</v>
      </c>
    </row>
    <row r="361" spans="11:12" x14ac:dyDescent="0.25">
      <c r="K361" s="4">
        <v>4090</v>
      </c>
      <c r="L361" s="15">
        <f t="shared" si="46"/>
        <v>1.4409722222222201</v>
      </c>
    </row>
    <row r="362" spans="11:12" x14ac:dyDescent="0.25">
      <c r="K362" s="4">
        <v>4100</v>
      </c>
      <c r="L362" s="15">
        <f t="shared" si="46"/>
        <v>1.44444444444444</v>
      </c>
    </row>
    <row r="363" spans="11:12" x14ac:dyDescent="0.25">
      <c r="K363" s="4">
        <v>4110</v>
      </c>
      <c r="L363" s="15">
        <f t="shared" si="46"/>
        <v>1.4479166666666701</v>
      </c>
    </row>
    <row r="364" spans="11:12" x14ac:dyDescent="0.25">
      <c r="K364" s="4">
        <v>4120</v>
      </c>
      <c r="L364" s="15">
        <f t="shared" si="46"/>
        <v>1.4513888888888899</v>
      </c>
    </row>
    <row r="365" spans="11:12" x14ac:dyDescent="0.25">
      <c r="K365" s="4">
        <v>4130</v>
      </c>
      <c r="L365" s="15">
        <f t="shared" si="46"/>
        <v>1.4548611111111101</v>
      </c>
    </row>
    <row r="366" spans="11:12" x14ac:dyDescent="0.25">
      <c r="K366" s="4">
        <v>4140</v>
      </c>
      <c r="L366" s="15">
        <f t="shared" si="46"/>
        <v>1.4583333333333299</v>
      </c>
    </row>
    <row r="367" spans="11:12" x14ac:dyDescent="0.25">
      <c r="K367" s="4">
        <v>4150</v>
      </c>
      <c r="L367" s="15">
        <f t="shared" si="46"/>
        <v>1.46180555555555</v>
      </c>
    </row>
    <row r="368" spans="11:12" x14ac:dyDescent="0.25">
      <c r="K368" s="4">
        <v>4160</v>
      </c>
      <c r="L368" s="15">
        <f t="shared" si="46"/>
        <v>1.4652777777777799</v>
      </c>
    </row>
    <row r="369" spans="11:12" x14ac:dyDescent="0.25">
      <c r="K369" s="4">
        <v>4170</v>
      </c>
      <c r="L369" s="15">
        <f t="shared" si="46"/>
        <v>1.46875</v>
      </c>
    </row>
    <row r="370" spans="11:12" x14ac:dyDescent="0.25">
      <c r="K370" s="4">
        <v>4180</v>
      </c>
      <c r="L370" s="15">
        <f t="shared" si="46"/>
        <v>1.4722222222222201</v>
      </c>
    </row>
    <row r="371" spans="11:12" x14ac:dyDescent="0.25">
      <c r="K371" s="4">
        <v>4190</v>
      </c>
      <c r="L371" s="15">
        <f t="shared" si="46"/>
        <v>1.47569444444444</v>
      </c>
    </row>
    <row r="372" spans="11:12" x14ac:dyDescent="0.25">
      <c r="K372" s="4">
        <v>4200</v>
      </c>
      <c r="L372" s="15">
        <f t="shared" si="46"/>
        <v>1.4791666666666701</v>
      </c>
    </row>
    <row r="373" spans="11:12" x14ac:dyDescent="0.25">
      <c r="K373" s="4">
        <v>4210</v>
      </c>
      <c r="L373" s="15">
        <f t="shared" si="46"/>
        <v>1.4826388888888899</v>
      </c>
    </row>
    <row r="374" spans="11:12" x14ac:dyDescent="0.25">
      <c r="K374" s="4">
        <v>4220</v>
      </c>
      <c r="L374" s="15">
        <f t="shared" si="46"/>
        <v>1.4861111111111101</v>
      </c>
    </row>
    <row r="375" spans="11:12" x14ac:dyDescent="0.25">
      <c r="K375" s="4">
        <v>4230</v>
      </c>
      <c r="L375" s="15">
        <f t="shared" si="46"/>
        <v>1.4895833333333299</v>
      </c>
    </row>
    <row r="376" spans="11:12" x14ac:dyDescent="0.25">
      <c r="K376" s="4">
        <v>4240</v>
      </c>
      <c r="L376" s="15">
        <f t="shared" si="46"/>
        <v>1.49305555555555</v>
      </c>
    </row>
    <row r="377" spans="11:12" x14ac:dyDescent="0.25">
      <c r="K377" s="4">
        <v>4250</v>
      </c>
      <c r="L377" s="15">
        <f t="shared" si="46"/>
        <v>1.4965277777777799</v>
      </c>
    </row>
    <row r="378" spans="11:12" x14ac:dyDescent="0.25">
      <c r="K378" s="4">
        <v>4260</v>
      </c>
      <c r="L378" s="15">
        <f t="shared" si="46"/>
        <v>1.5</v>
      </c>
    </row>
    <row r="379" spans="11:12" x14ac:dyDescent="0.25">
      <c r="K379" s="4">
        <v>4270</v>
      </c>
      <c r="L379" s="15">
        <f t="shared" si="46"/>
        <v>1.5034722222222201</v>
      </c>
    </row>
    <row r="380" spans="11:12" x14ac:dyDescent="0.25">
      <c r="K380" s="4">
        <v>4280</v>
      </c>
      <c r="L380" s="15">
        <f t="shared" si="46"/>
        <v>1.50694444444444</v>
      </c>
    </row>
    <row r="381" spans="11:12" x14ac:dyDescent="0.25">
      <c r="K381" s="4">
        <v>4290</v>
      </c>
      <c r="L381" s="15">
        <f t="shared" si="46"/>
        <v>1.5104166666666701</v>
      </c>
    </row>
    <row r="382" spans="11:12" x14ac:dyDescent="0.25">
      <c r="K382" s="4">
        <v>4300</v>
      </c>
      <c r="L382" s="15">
        <f t="shared" si="46"/>
        <v>1.5138888888888899</v>
      </c>
    </row>
    <row r="383" spans="11:12" x14ac:dyDescent="0.25">
      <c r="K383" s="4">
        <v>4310</v>
      </c>
      <c r="L383" s="15">
        <f t="shared" si="46"/>
        <v>1.5173611111111101</v>
      </c>
    </row>
    <row r="384" spans="11:12" x14ac:dyDescent="0.25">
      <c r="K384" s="4">
        <v>4320</v>
      </c>
      <c r="L384" s="15">
        <f t="shared" si="46"/>
        <v>1.5208333333333299</v>
      </c>
    </row>
    <row r="385" spans="11:12" x14ac:dyDescent="0.25">
      <c r="K385" s="4">
        <v>4330</v>
      </c>
      <c r="L385" s="15">
        <f t="shared" si="46"/>
        <v>1.52430555555555</v>
      </c>
    </row>
    <row r="386" spans="11:12" x14ac:dyDescent="0.25">
      <c r="K386" s="4">
        <v>4340</v>
      </c>
      <c r="L386" s="15">
        <f t="shared" si="46"/>
        <v>1.5277777777777799</v>
      </c>
    </row>
    <row r="387" spans="11:12" x14ac:dyDescent="0.25">
      <c r="K387" s="4">
        <v>4350</v>
      </c>
      <c r="L387" s="15">
        <f t="shared" si="46"/>
        <v>1.53125</v>
      </c>
    </row>
    <row r="388" spans="11:12" x14ac:dyDescent="0.25">
      <c r="K388" s="4">
        <v>4360</v>
      </c>
      <c r="L388" s="15">
        <f t="shared" si="46"/>
        <v>1.5347222222222201</v>
      </c>
    </row>
    <row r="389" spans="11:12" x14ac:dyDescent="0.25">
      <c r="K389" s="4">
        <v>4370</v>
      </c>
      <c r="L389" s="15">
        <f t="shared" si="46"/>
        <v>1.53819444444444</v>
      </c>
    </row>
    <row r="390" spans="11:12" x14ac:dyDescent="0.25">
      <c r="K390" s="4">
        <v>4380</v>
      </c>
      <c r="L390" s="15">
        <f t="shared" si="46"/>
        <v>1.5416666666666701</v>
      </c>
    </row>
    <row r="391" spans="11:12" x14ac:dyDescent="0.25">
      <c r="K391" s="4">
        <v>4390</v>
      </c>
      <c r="L391" s="15">
        <f t="shared" si="46"/>
        <v>1.5451388888888899</v>
      </c>
    </row>
    <row r="392" spans="11:12" x14ac:dyDescent="0.25">
      <c r="K392" s="4">
        <v>4400</v>
      </c>
      <c r="L392" s="15">
        <f t="shared" ref="L392:L415" si="47">$L$6+(((K392-$K$6)/10)*$M$2)</f>
        <v>1.5486111111111101</v>
      </c>
    </row>
    <row r="393" spans="11:12" x14ac:dyDescent="0.25">
      <c r="K393" s="4">
        <v>4410</v>
      </c>
      <c r="L393" s="15">
        <f t="shared" si="47"/>
        <v>1.5520833333333299</v>
      </c>
    </row>
    <row r="394" spans="11:12" x14ac:dyDescent="0.25">
      <c r="K394" s="4">
        <v>4420</v>
      </c>
      <c r="L394" s="15">
        <f t="shared" si="47"/>
        <v>1.55555555555555</v>
      </c>
    </row>
    <row r="395" spans="11:12" x14ac:dyDescent="0.25">
      <c r="K395" s="4">
        <v>4430</v>
      </c>
      <c r="L395" s="15">
        <f t="shared" si="47"/>
        <v>1.5590277777777799</v>
      </c>
    </row>
    <row r="396" spans="11:12" x14ac:dyDescent="0.25">
      <c r="K396" s="4">
        <v>4440</v>
      </c>
      <c r="L396" s="15">
        <f t="shared" si="47"/>
        <v>1.5625</v>
      </c>
    </row>
    <row r="397" spans="11:12" x14ac:dyDescent="0.25">
      <c r="K397" s="4">
        <v>4450</v>
      </c>
      <c r="L397" s="15">
        <f t="shared" si="47"/>
        <v>1.5659722222222201</v>
      </c>
    </row>
    <row r="398" spans="11:12" x14ac:dyDescent="0.25">
      <c r="K398" s="4">
        <v>4460</v>
      </c>
      <c r="L398" s="15">
        <f t="shared" si="47"/>
        <v>1.56944444444444</v>
      </c>
    </row>
    <row r="399" spans="11:12" x14ac:dyDescent="0.25">
      <c r="K399" s="4">
        <v>4470</v>
      </c>
      <c r="L399" s="15">
        <f t="shared" si="47"/>
        <v>1.5729166666666701</v>
      </c>
    </row>
    <row r="400" spans="11:12" x14ac:dyDescent="0.25">
      <c r="K400" s="4">
        <v>4480</v>
      </c>
      <c r="L400" s="15">
        <f t="shared" si="47"/>
        <v>1.5763888888888899</v>
      </c>
    </row>
    <row r="401" spans="11:12" x14ac:dyDescent="0.25">
      <c r="K401" s="4">
        <v>4490</v>
      </c>
      <c r="L401" s="15">
        <f t="shared" si="47"/>
        <v>1.5798611111111101</v>
      </c>
    </row>
    <row r="402" spans="11:12" x14ac:dyDescent="0.25">
      <c r="K402" s="4">
        <v>4500</v>
      </c>
      <c r="L402" s="15">
        <f t="shared" si="47"/>
        <v>1.5833333333333299</v>
      </c>
    </row>
    <row r="403" spans="11:12" x14ac:dyDescent="0.25">
      <c r="K403" s="4">
        <v>4510</v>
      </c>
      <c r="L403" s="15">
        <f t="shared" si="47"/>
        <v>1.58680555555555</v>
      </c>
    </row>
    <row r="404" spans="11:12" x14ac:dyDescent="0.25">
      <c r="K404" s="4">
        <v>4520</v>
      </c>
      <c r="L404" s="15">
        <f t="shared" si="47"/>
        <v>1.5902777777777799</v>
      </c>
    </row>
    <row r="405" spans="11:12" x14ac:dyDescent="0.25">
      <c r="K405" s="4">
        <v>4530</v>
      </c>
      <c r="L405" s="15">
        <f t="shared" si="47"/>
        <v>1.59375</v>
      </c>
    </row>
    <row r="406" spans="11:12" x14ac:dyDescent="0.25">
      <c r="K406" s="4">
        <v>4540</v>
      </c>
      <c r="L406" s="15">
        <f t="shared" si="47"/>
        <v>1.5972222222222201</v>
      </c>
    </row>
    <row r="407" spans="11:12" x14ac:dyDescent="0.25">
      <c r="K407" s="4">
        <v>4550</v>
      </c>
      <c r="L407" s="15">
        <f t="shared" si="47"/>
        <v>1.60069444444444</v>
      </c>
    </row>
    <row r="408" spans="11:12" x14ac:dyDescent="0.25">
      <c r="K408" s="4">
        <v>4560</v>
      </c>
      <c r="L408" s="15">
        <f t="shared" si="47"/>
        <v>1.6041666666666701</v>
      </c>
    </row>
    <row r="409" spans="11:12" x14ac:dyDescent="0.25">
      <c r="K409" s="4">
        <v>4570</v>
      </c>
      <c r="L409" s="15">
        <f t="shared" si="47"/>
        <v>1.6076388888888899</v>
      </c>
    </row>
    <row r="410" spans="11:12" x14ac:dyDescent="0.25">
      <c r="K410" s="4">
        <v>4580</v>
      </c>
      <c r="L410" s="15">
        <f t="shared" si="47"/>
        <v>1.6111111111111101</v>
      </c>
    </row>
    <row r="411" spans="11:12" x14ac:dyDescent="0.25">
      <c r="K411" s="4">
        <v>4590</v>
      </c>
      <c r="L411" s="15">
        <f t="shared" si="47"/>
        <v>1.6145833333333299</v>
      </c>
    </row>
    <row r="412" spans="11:12" x14ac:dyDescent="0.25">
      <c r="K412" s="4">
        <v>4600</v>
      </c>
      <c r="L412" s="15">
        <f t="shared" si="47"/>
        <v>1.61805555555555</v>
      </c>
    </row>
    <row r="413" spans="11:12" x14ac:dyDescent="0.25">
      <c r="K413" s="4">
        <v>4610</v>
      </c>
      <c r="L413" s="15">
        <f t="shared" si="47"/>
        <v>1.6215277777777799</v>
      </c>
    </row>
    <row r="414" spans="11:12" x14ac:dyDescent="0.25">
      <c r="K414" s="4">
        <v>4620</v>
      </c>
      <c r="L414" s="15">
        <f t="shared" si="47"/>
        <v>1.625</v>
      </c>
    </row>
    <row r="415" spans="11:12" x14ac:dyDescent="0.25">
      <c r="K415" s="4">
        <v>4630</v>
      </c>
      <c r="L415" s="15">
        <f t="shared" si="47"/>
        <v>1.6284722222222201</v>
      </c>
    </row>
  </sheetData>
  <mergeCells count="19">
    <mergeCell ref="AC2:AD2"/>
    <mergeCell ref="T103:T203"/>
    <mergeCell ref="V1:Z1"/>
    <mergeCell ref="AB1:AF1"/>
    <mergeCell ref="T64:T73"/>
    <mergeCell ref="T9:T18"/>
    <mergeCell ref="T4:T8"/>
    <mergeCell ref="F191:G191"/>
    <mergeCell ref="P1:T1"/>
    <mergeCell ref="H191:I191"/>
    <mergeCell ref="T29:T38"/>
    <mergeCell ref="T74:T83"/>
    <mergeCell ref="P4:P8"/>
    <mergeCell ref="A182:E182"/>
    <mergeCell ref="T19:T28"/>
    <mergeCell ref="T47:T63"/>
    <mergeCell ref="Q2:R2"/>
    <mergeCell ref="W2:X2"/>
    <mergeCell ref="T84:T102"/>
  </mergeCells>
  <dataValidations disablePrompts="1" count="1">
    <dataValidation showInputMessage="1" showErrorMessage="1" sqref="B215" xr:uid="{FA4DC09E-493D-4AE3-84D4-59B8055B2F9D}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415"/>
  <sheetViews>
    <sheetView topLeftCell="A217" zoomScale="70" zoomScaleNormal="70" workbookViewId="0">
      <selection activeCell="C13" sqref="C13"/>
    </sheetView>
  </sheetViews>
  <sheetFormatPr defaultRowHeight="15" x14ac:dyDescent="0.25"/>
  <cols>
    <col min="1" max="1" width="72" bestFit="1" customWidth="1"/>
    <col min="2" max="2" width="32.28515625" bestFit="1" customWidth="1"/>
    <col min="3" max="3" width="38.7109375" customWidth="1"/>
    <col min="4" max="4" width="56.42578125" bestFit="1" customWidth="1"/>
    <col min="5" max="5" width="34" customWidth="1"/>
    <col min="6" max="6" width="30.28515625" bestFit="1" customWidth="1"/>
    <col min="7" max="7" width="34" customWidth="1"/>
    <col min="8" max="8" width="34.42578125" customWidth="1"/>
    <col min="9" max="9" width="24.28515625" bestFit="1" customWidth="1"/>
    <col min="10" max="10" width="32.28515625" bestFit="1" customWidth="1"/>
    <col min="11" max="11" width="10.5703125" bestFit="1" customWidth="1"/>
    <col min="12" max="12" width="9.7109375" style="14" bestFit="1" customWidth="1"/>
    <col min="13" max="13" width="25.7109375" customWidth="1"/>
    <col min="14" max="14" width="8.7109375" bestFit="1" customWidth="1"/>
    <col min="15" max="15" width="15.42578125" customWidth="1"/>
    <col min="16" max="16" width="28.7109375" bestFit="1" customWidth="1"/>
    <col min="17" max="17" width="15.42578125" style="14" bestFit="1" customWidth="1"/>
    <col min="18" max="18" width="19.42578125" bestFit="1" customWidth="1"/>
    <col min="19" max="19" width="22.42578125" bestFit="1" customWidth="1"/>
    <col min="20" max="20" width="43.42578125" customWidth="1"/>
    <col min="21" max="21" width="8.7109375" bestFit="1" customWidth="1"/>
    <col min="22" max="22" width="29.5703125" bestFit="1" customWidth="1"/>
    <col min="23" max="23" width="12.42578125" bestFit="1" customWidth="1"/>
    <col min="24" max="24" width="9.5703125" bestFit="1" customWidth="1"/>
    <col min="25" max="25" width="30.7109375" customWidth="1"/>
    <col min="26" max="26" width="41.7109375" customWidth="1"/>
    <col min="27" max="27" width="8.7109375" bestFit="1" customWidth="1"/>
    <col min="28" max="28" width="29.5703125" bestFit="1" customWidth="1"/>
    <col min="29" max="29" width="12.42578125" bestFit="1" customWidth="1"/>
    <col min="30" max="30" width="9.5703125" bestFit="1" customWidth="1"/>
    <col min="31" max="31" width="30.7109375" customWidth="1"/>
    <col min="32" max="32" width="41.7109375" customWidth="1"/>
  </cols>
  <sheetData>
    <row r="1" spans="1:32" ht="33" customHeight="1" thickBot="1" x14ac:dyDescent="0.55000000000000004">
      <c r="A1" s="49" t="s">
        <v>0</v>
      </c>
      <c r="B1" s="4"/>
      <c r="D1" s="167" t="s">
        <v>1</v>
      </c>
      <c r="E1" s="168"/>
      <c r="F1" s="117"/>
      <c r="I1" s="13" t="s">
        <v>2</v>
      </c>
      <c r="J1" s="13"/>
      <c r="K1" s="110" t="s">
        <v>3</v>
      </c>
      <c r="L1" s="111"/>
      <c r="M1" s="112" t="s">
        <v>4</v>
      </c>
      <c r="P1" s="632" t="s">
        <v>5</v>
      </c>
      <c r="Q1" s="620"/>
      <c r="R1" s="620"/>
      <c r="S1" s="620"/>
      <c r="T1" s="621"/>
      <c r="V1" s="632" t="s">
        <v>6</v>
      </c>
      <c r="W1" s="620"/>
      <c r="X1" s="620"/>
      <c r="Y1" s="620"/>
      <c r="Z1" s="621"/>
      <c r="AA1" s="104"/>
      <c r="AB1" s="632" t="s">
        <v>7</v>
      </c>
      <c r="AC1" s="620"/>
      <c r="AD1" s="620"/>
      <c r="AE1" s="620"/>
      <c r="AF1" s="621"/>
    </row>
    <row r="2" spans="1:32" ht="24" customHeight="1" thickBot="1" x14ac:dyDescent="0.4">
      <c r="A2" s="4" t="s">
        <v>8</v>
      </c>
      <c r="B2" s="116">
        <f>H21</f>
        <v>1.0416666666666701E-2</v>
      </c>
      <c r="D2" s="165" t="s">
        <v>9</v>
      </c>
      <c r="E2" s="166"/>
      <c r="I2" s="211" t="s">
        <v>10</v>
      </c>
      <c r="J2" s="212" t="s">
        <v>11</v>
      </c>
      <c r="K2" s="81" t="s">
        <v>12</v>
      </c>
      <c r="L2" s="113" t="s">
        <v>13</v>
      </c>
      <c r="M2" s="114">
        <v>3.4722222222222199E-3</v>
      </c>
      <c r="P2" s="40"/>
      <c r="Q2" s="626" t="s">
        <v>5</v>
      </c>
      <c r="R2" s="627"/>
      <c r="S2" s="89"/>
      <c r="T2" s="90"/>
      <c r="V2" s="105"/>
      <c r="W2" s="628" t="s">
        <v>14</v>
      </c>
      <c r="X2" s="629"/>
      <c r="Y2" s="105"/>
      <c r="Z2" s="105"/>
      <c r="AB2" s="105"/>
      <c r="AC2" s="628" t="s">
        <v>14</v>
      </c>
      <c r="AD2" s="629"/>
      <c r="AE2" s="105"/>
      <c r="AF2" s="105"/>
    </row>
    <row r="3" spans="1:32" ht="15" customHeight="1" thickBot="1" x14ac:dyDescent="0.3">
      <c r="A3" s="4" t="s">
        <v>15</v>
      </c>
      <c r="B3" s="15">
        <f>(B2*E7)/2</f>
        <v>0</v>
      </c>
      <c r="D3" s="3" t="s">
        <v>16</v>
      </c>
      <c r="E3" s="115"/>
      <c r="I3" s="4">
        <v>0</v>
      </c>
      <c r="J3" s="15">
        <v>0</v>
      </c>
      <c r="K3" s="4">
        <v>1</v>
      </c>
      <c r="L3" s="15">
        <v>3.125E-2</v>
      </c>
      <c r="P3" s="294" t="s">
        <v>17</v>
      </c>
      <c r="Q3" s="176" t="s">
        <v>18</v>
      </c>
      <c r="R3" s="295" t="s">
        <v>19</v>
      </c>
      <c r="S3" s="296" t="s">
        <v>20</v>
      </c>
      <c r="T3" s="297" t="s">
        <v>21</v>
      </c>
      <c r="V3" s="3" t="s">
        <v>17</v>
      </c>
      <c r="W3" s="4" t="s">
        <v>22</v>
      </c>
      <c r="X3" s="298" t="s">
        <v>23</v>
      </c>
      <c r="Y3" s="299" t="s">
        <v>24</v>
      </c>
      <c r="Z3" s="300" t="s">
        <v>21</v>
      </c>
      <c r="AB3" s="222" t="s">
        <v>17</v>
      </c>
      <c r="AC3" s="301" t="s">
        <v>22</v>
      </c>
      <c r="AD3" s="302" t="s">
        <v>23</v>
      </c>
      <c r="AE3" s="303" t="s">
        <v>24</v>
      </c>
      <c r="AF3" s="304" t="s">
        <v>21</v>
      </c>
    </row>
    <row r="4" spans="1:32" ht="15" customHeight="1" thickBot="1" x14ac:dyDescent="0.3">
      <c r="A4" s="4" t="s">
        <v>25</v>
      </c>
      <c r="B4" s="15">
        <f>H20</f>
        <v>1.0416666666666701E-2</v>
      </c>
      <c r="D4" s="3" t="s">
        <v>26</v>
      </c>
      <c r="E4" s="115"/>
      <c r="I4" s="4">
        <v>1</v>
      </c>
      <c r="J4" s="15">
        <v>1.0416666666666699E-3</v>
      </c>
      <c r="K4" s="4">
        <v>10</v>
      </c>
      <c r="L4" s="15">
        <v>3.125E-2</v>
      </c>
      <c r="P4" s="636" t="s">
        <v>27</v>
      </c>
      <c r="Q4" s="59">
        <v>1</v>
      </c>
      <c r="R4" s="44">
        <v>2.7777777777777801E-2</v>
      </c>
      <c r="S4" s="52">
        <v>0</v>
      </c>
      <c r="T4" s="644">
        <v>1.38888888888889E-3</v>
      </c>
      <c r="V4" s="206">
        <v>0</v>
      </c>
      <c r="W4" s="207">
        <v>0</v>
      </c>
      <c r="X4" s="207">
        <v>0</v>
      </c>
      <c r="Y4" s="207">
        <v>0</v>
      </c>
      <c r="Z4" s="208">
        <v>0</v>
      </c>
      <c r="AB4" s="206">
        <v>0</v>
      </c>
      <c r="AC4" s="207">
        <v>0</v>
      </c>
      <c r="AD4" s="207">
        <v>0</v>
      </c>
      <c r="AE4" s="207">
        <v>0</v>
      </c>
      <c r="AF4" s="208">
        <v>0</v>
      </c>
    </row>
    <row r="5" spans="1:32" ht="15" customHeight="1" x14ac:dyDescent="0.25">
      <c r="A5" s="4" t="s">
        <v>28</v>
      </c>
      <c r="B5" s="15" t="e">
        <f>INDEX(R4:R203,MATCH(E8,Q4:Q203,0))</f>
        <v>#N/A</v>
      </c>
      <c r="D5" s="3" t="s">
        <v>299</v>
      </c>
      <c r="E5" s="3" t="e">
        <f>E4/E3</f>
        <v>#DIV/0!</v>
      </c>
      <c r="I5" s="4">
        <v>50</v>
      </c>
      <c r="J5" s="15">
        <v>1.0416666666666699E-3</v>
      </c>
      <c r="K5" s="4">
        <v>20</v>
      </c>
      <c r="L5" s="15">
        <v>3.125E-2</v>
      </c>
      <c r="P5" s="637"/>
      <c r="Q5" s="59">
        <v>2</v>
      </c>
      <c r="R5" s="52">
        <f t="shared" ref="R5:R36" si="0">$R$4+S5</f>
        <v>2.9166666666666698E-2</v>
      </c>
      <c r="S5" s="53">
        <f>S4+$T$4</f>
        <v>1.38888888888889E-3</v>
      </c>
      <c r="T5" s="623"/>
      <c r="V5" s="184" t="s">
        <v>29</v>
      </c>
      <c r="W5" s="59">
        <v>1</v>
      </c>
      <c r="X5" s="44">
        <v>1.38888888888889E-2</v>
      </c>
      <c r="Y5" s="52">
        <v>0</v>
      </c>
      <c r="Z5" s="201">
        <v>2.0833333333333298E-3</v>
      </c>
      <c r="AB5" s="203" t="s">
        <v>29</v>
      </c>
      <c r="AC5" s="204">
        <v>1</v>
      </c>
      <c r="AD5" s="205">
        <v>1.38888888888889E-2</v>
      </c>
      <c r="AE5" s="52">
        <v>0</v>
      </c>
      <c r="AF5" s="201">
        <v>2.0833333333333298E-3</v>
      </c>
    </row>
    <row r="6" spans="1:32" ht="14.65" customHeight="1" x14ac:dyDescent="0.25">
      <c r="A6" s="4" t="s">
        <v>30</v>
      </c>
      <c r="B6" s="44">
        <v>0</v>
      </c>
      <c r="C6" t="s">
        <v>31</v>
      </c>
      <c r="D6" s="3" t="s">
        <v>300</v>
      </c>
      <c r="E6" s="4">
        <f>E9*E3</f>
        <v>0</v>
      </c>
      <c r="I6" s="4">
        <v>100</v>
      </c>
      <c r="J6" s="15">
        <v>1.38888888888889E-3</v>
      </c>
      <c r="K6" s="4">
        <v>30</v>
      </c>
      <c r="L6" s="15">
        <v>3.125E-2</v>
      </c>
      <c r="P6" s="637"/>
      <c r="Q6" s="59">
        <v>3</v>
      </c>
      <c r="R6" s="52">
        <f t="shared" si="0"/>
        <v>3.05555555555556E-2</v>
      </c>
      <c r="S6" s="53">
        <f>S5+$T$4</f>
        <v>2.7777777777777801E-3</v>
      </c>
      <c r="T6" s="623"/>
      <c r="V6" s="184"/>
      <c r="W6" s="59">
        <v>2</v>
      </c>
      <c r="X6" s="52">
        <f t="shared" ref="X6:X37" si="1">$X$5+Y6</f>
        <v>1.59722222222222E-2</v>
      </c>
      <c r="Y6" s="53">
        <f>Y5+$Z$5</f>
        <v>2.0833333333333298E-3</v>
      </c>
      <c r="Z6" s="201"/>
      <c r="AB6" s="184"/>
      <c r="AC6" s="59">
        <v>2</v>
      </c>
      <c r="AD6" s="52">
        <f t="shared" ref="AD6:AD37" si="2">$AD$5+AE6</f>
        <v>1.59722222222222E-2</v>
      </c>
      <c r="AE6" s="53">
        <f>AE5+$AF$5</f>
        <v>2.0833333333333298E-3</v>
      </c>
      <c r="AF6" s="201"/>
    </row>
    <row r="7" spans="1:32" ht="15" customHeight="1" x14ac:dyDescent="0.25">
      <c r="A7" s="4" t="s">
        <v>32</v>
      </c>
      <c r="B7" s="15">
        <f>H24</f>
        <v>2.7777777777777801E-2</v>
      </c>
      <c r="D7" s="3" t="s">
        <v>33</v>
      </c>
      <c r="E7" s="115"/>
      <c r="I7" s="4">
        <v>200</v>
      </c>
      <c r="J7" s="15">
        <v>1.7361111111111099E-3</v>
      </c>
      <c r="K7" s="4">
        <v>40</v>
      </c>
      <c r="L7" s="15">
        <v>3.125E-2</v>
      </c>
      <c r="P7" s="637"/>
      <c r="Q7" s="59">
        <v>4</v>
      </c>
      <c r="R7" s="52">
        <f t="shared" si="0"/>
        <v>3.1944444444444497E-2</v>
      </c>
      <c r="S7" s="53">
        <f>S6+$T$4</f>
        <v>4.1666666666666701E-3</v>
      </c>
      <c r="T7" s="623"/>
      <c r="V7" s="184"/>
      <c r="W7" s="59">
        <v>3</v>
      </c>
      <c r="X7" s="52">
        <f t="shared" si="1"/>
        <v>1.8055555555555599E-2</v>
      </c>
      <c r="Y7" s="53">
        <f>Y6+$Z$5</f>
        <v>4.1666666666666597E-3</v>
      </c>
      <c r="Z7" s="201"/>
      <c r="AB7" s="184"/>
      <c r="AC7" s="59">
        <v>3</v>
      </c>
      <c r="AD7" s="52">
        <f t="shared" si="2"/>
        <v>1.8055555555555599E-2</v>
      </c>
      <c r="AE7" s="53">
        <f>AE6+$Z$5</f>
        <v>4.1666666666666597E-3</v>
      </c>
      <c r="AF7" s="201"/>
    </row>
    <row r="8" spans="1:32" ht="14.65" customHeight="1" x14ac:dyDescent="0.25">
      <c r="A8" s="4" t="s">
        <v>34</v>
      </c>
      <c r="B8" s="15">
        <f>B7*E7</f>
        <v>0</v>
      </c>
      <c r="C8" s="391">
        <f>B10*24</f>
        <v>0</v>
      </c>
      <c r="D8" s="421" t="s">
        <v>35</v>
      </c>
      <c r="E8" s="422"/>
      <c r="I8" s="4">
        <v>400</v>
      </c>
      <c r="J8" s="15">
        <v>2.0833333333333298E-3</v>
      </c>
      <c r="K8" s="4">
        <v>50</v>
      </c>
      <c r="L8" s="15">
        <v>3.125E-2</v>
      </c>
      <c r="P8" s="638"/>
      <c r="Q8" s="59">
        <v>5</v>
      </c>
      <c r="R8" s="52">
        <f t="shared" si="0"/>
        <v>3.3333333333333402E-2</v>
      </c>
      <c r="S8" s="53">
        <f>S7+$T$4</f>
        <v>5.5555555555555601E-3</v>
      </c>
      <c r="T8" s="624"/>
      <c r="V8" s="184"/>
      <c r="W8" s="59">
        <v>4</v>
      </c>
      <c r="X8" s="52">
        <f t="shared" si="1"/>
        <v>2.0138888888888901E-2</v>
      </c>
      <c r="Y8" s="53">
        <f>Y7+$Z$5</f>
        <v>6.2499999999999899E-3</v>
      </c>
      <c r="Z8" s="201"/>
      <c r="AB8" s="184"/>
      <c r="AC8" s="59">
        <v>4</v>
      </c>
      <c r="AD8" s="52">
        <f t="shared" si="2"/>
        <v>2.0138888888888901E-2</v>
      </c>
      <c r="AE8" s="53">
        <f>AE7+$Z$5</f>
        <v>6.2499999999999899E-3</v>
      </c>
      <c r="AF8" s="201"/>
    </row>
    <row r="9" spans="1:32" ht="15" customHeight="1" x14ac:dyDescent="0.25">
      <c r="A9" s="4" t="s">
        <v>36</v>
      </c>
      <c r="B9" s="341" t="e">
        <f>SUM(B2:B8)</f>
        <v>#N/A</v>
      </c>
      <c r="C9" s="381" t="s">
        <v>37</v>
      </c>
      <c r="D9" s="421" t="s">
        <v>38</v>
      </c>
      <c r="E9" s="115"/>
      <c r="I9" s="4">
        <v>600</v>
      </c>
      <c r="J9" s="15">
        <v>3.4722222222222199E-3</v>
      </c>
      <c r="K9" s="4">
        <v>60</v>
      </c>
      <c r="L9" s="15">
        <f t="shared" ref="L9:L40" si="3">$L$6+(((K9-$K$6)/10)*$M$2)</f>
        <v>4.1666666666666699E-2</v>
      </c>
      <c r="P9" s="91" t="s">
        <v>39</v>
      </c>
      <c r="Q9" s="69">
        <v>6</v>
      </c>
      <c r="R9" s="70">
        <f t="shared" si="0"/>
        <v>3.50694444444445E-2</v>
      </c>
      <c r="S9" s="71">
        <f t="shared" ref="S9:S18" si="4">S8+$T$9</f>
        <v>7.2916666666666703E-3</v>
      </c>
      <c r="T9" s="643">
        <v>1.7361111111111099E-3</v>
      </c>
      <c r="V9" s="184"/>
      <c r="W9" s="59">
        <v>5</v>
      </c>
      <c r="X9" s="52">
        <f t="shared" si="1"/>
        <v>2.2222222222222199E-2</v>
      </c>
      <c r="Y9" s="53">
        <f>Y8+$Z$5</f>
        <v>8.3333333333333193E-3</v>
      </c>
      <c r="Z9" s="201"/>
      <c r="AB9" s="184"/>
      <c r="AC9" s="59">
        <v>5</v>
      </c>
      <c r="AD9" s="52">
        <f t="shared" si="2"/>
        <v>2.2222222222222199E-2</v>
      </c>
      <c r="AE9" s="53">
        <f>AE8+$Z$5</f>
        <v>8.3333333333333193E-3</v>
      </c>
      <c r="AF9" s="201"/>
    </row>
    <row r="10" spans="1:32" ht="15" customHeight="1" thickBot="1" x14ac:dyDescent="0.3">
      <c r="A10" s="329" t="s">
        <v>40</v>
      </c>
      <c r="B10" s="17">
        <f>IF(E9&gt;0,B9,0)</f>
        <v>0</v>
      </c>
      <c r="C10" s="382">
        <f>C8/7</f>
        <v>0</v>
      </c>
      <c r="D10" s="421" t="s">
        <v>41</v>
      </c>
      <c r="E10" s="115"/>
      <c r="I10" s="4">
        <v>700</v>
      </c>
      <c r="J10" s="15">
        <v>3.81944444444444E-3</v>
      </c>
      <c r="K10" s="4">
        <v>70</v>
      </c>
      <c r="L10" s="15">
        <f t="shared" si="3"/>
        <v>4.5138888888888902E-2</v>
      </c>
      <c r="P10" s="91"/>
      <c r="Q10" s="69">
        <v>7</v>
      </c>
      <c r="R10" s="70">
        <f t="shared" si="0"/>
        <v>3.6805555555555598E-2</v>
      </c>
      <c r="S10" s="71">
        <f t="shared" si="4"/>
        <v>9.0277777777777804E-3</v>
      </c>
      <c r="T10" s="623"/>
      <c r="V10" s="68" t="s">
        <v>42</v>
      </c>
      <c r="W10" s="69">
        <v>6</v>
      </c>
      <c r="X10" s="52">
        <f t="shared" si="1"/>
        <v>2.4652777777777801E-2</v>
      </c>
      <c r="Y10" s="71">
        <f t="shared" ref="Y10:Y19" si="5">Y9+$Z$10</f>
        <v>1.0763888888888899E-2</v>
      </c>
      <c r="Z10" s="202">
        <v>2.4305555555555599E-3</v>
      </c>
      <c r="AB10" s="68" t="s">
        <v>42</v>
      </c>
      <c r="AC10" s="69">
        <v>6</v>
      </c>
      <c r="AD10" s="52">
        <f t="shared" si="2"/>
        <v>2.4652777777777801E-2</v>
      </c>
      <c r="AE10" s="71">
        <f t="shared" ref="AE10:AE19" si="6">AE9+$AF$10</f>
        <v>1.0763888888888899E-2</v>
      </c>
      <c r="AF10" s="202">
        <v>2.4305555555555599E-3</v>
      </c>
    </row>
    <row r="11" spans="1:32" ht="15" customHeight="1" thickBot="1" x14ac:dyDescent="0.3">
      <c r="A11" s="30"/>
      <c r="B11" s="30"/>
      <c r="C11" s="383"/>
      <c r="D11" s="3" t="s">
        <v>43</v>
      </c>
      <c r="E11" s="422"/>
      <c r="I11" s="4">
        <v>800</v>
      </c>
      <c r="J11" s="15">
        <v>4.5138888888888902E-3</v>
      </c>
      <c r="K11" s="4">
        <v>80</v>
      </c>
      <c r="L11" s="15">
        <f t="shared" si="3"/>
        <v>4.8611111111111098E-2</v>
      </c>
      <c r="P11" s="91"/>
      <c r="Q11" s="69">
        <v>8</v>
      </c>
      <c r="R11" s="70">
        <f t="shared" si="0"/>
        <v>3.8541666666666703E-2</v>
      </c>
      <c r="S11" s="71">
        <f t="shared" si="4"/>
        <v>1.0763888888888899E-2</v>
      </c>
      <c r="T11" s="623"/>
      <c r="V11" s="68"/>
      <c r="W11" s="69">
        <v>7</v>
      </c>
      <c r="X11" s="52">
        <f t="shared" si="1"/>
        <v>2.70833333333334E-2</v>
      </c>
      <c r="Y11" s="71">
        <f t="shared" si="5"/>
        <v>1.31944444444445E-2</v>
      </c>
      <c r="Z11" s="187"/>
      <c r="AB11" s="68"/>
      <c r="AC11" s="69">
        <v>7</v>
      </c>
      <c r="AD11" s="52">
        <f t="shared" si="2"/>
        <v>2.70833333333334E-2</v>
      </c>
      <c r="AE11" s="71">
        <f t="shared" si="6"/>
        <v>1.31944444444445E-2</v>
      </c>
      <c r="AF11" s="187"/>
    </row>
    <row r="12" spans="1:32" ht="15" customHeight="1" thickBot="1" x14ac:dyDescent="0.3">
      <c r="A12" s="337" t="s">
        <v>44</v>
      </c>
      <c r="B12" s="340"/>
      <c r="C12" s="244"/>
      <c r="D12" s="421" t="s">
        <v>45</v>
      </c>
      <c r="E12" s="115"/>
      <c r="I12" s="4">
        <v>900</v>
      </c>
      <c r="J12" s="15">
        <v>4.8611111111111103E-3</v>
      </c>
      <c r="K12" s="4">
        <v>90</v>
      </c>
      <c r="L12" s="15">
        <f t="shared" si="3"/>
        <v>5.2083333333333301E-2</v>
      </c>
      <c r="P12" s="91"/>
      <c r="Q12" s="69">
        <v>9</v>
      </c>
      <c r="R12" s="70">
        <f t="shared" si="0"/>
        <v>4.0277777777777801E-2</v>
      </c>
      <c r="S12" s="71">
        <f t="shared" si="4"/>
        <v>1.2500000000000001E-2</v>
      </c>
      <c r="T12" s="623"/>
      <c r="V12" s="68"/>
      <c r="W12" s="69">
        <v>8</v>
      </c>
      <c r="X12" s="52">
        <f t="shared" si="1"/>
        <v>2.9513888888888999E-2</v>
      </c>
      <c r="Y12" s="71">
        <f t="shared" si="5"/>
        <v>1.5625000000000101E-2</v>
      </c>
      <c r="Z12" s="187"/>
      <c r="AB12" s="68"/>
      <c r="AC12" s="69">
        <v>8</v>
      </c>
      <c r="AD12" s="52">
        <f t="shared" si="2"/>
        <v>2.9513888888888999E-2</v>
      </c>
      <c r="AE12" s="71">
        <f t="shared" si="6"/>
        <v>1.5625000000000101E-2</v>
      </c>
      <c r="AF12" s="187"/>
    </row>
    <row r="13" spans="1:32" ht="15" customHeight="1" x14ac:dyDescent="0.25">
      <c r="A13" s="106" t="s">
        <v>46</v>
      </c>
      <c r="B13" s="107"/>
      <c r="C13" s="244"/>
      <c r="D13" s="3" t="s">
        <v>47</v>
      </c>
      <c r="E13" s="422"/>
      <c r="I13" s="4">
        <v>1000</v>
      </c>
      <c r="J13" s="15">
        <v>5.9027777777777802E-3</v>
      </c>
      <c r="K13" s="4">
        <v>100</v>
      </c>
      <c r="L13" s="15">
        <f t="shared" si="3"/>
        <v>5.5555555555555497E-2</v>
      </c>
      <c r="P13" s="91"/>
      <c r="Q13" s="69">
        <v>10</v>
      </c>
      <c r="R13" s="70">
        <f t="shared" si="0"/>
        <v>4.2013888888888899E-2</v>
      </c>
      <c r="S13" s="71">
        <f t="shared" si="4"/>
        <v>1.42361111111111E-2</v>
      </c>
      <c r="T13" s="623"/>
      <c r="V13" s="68"/>
      <c r="W13" s="69">
        <v>9</v>
      </c>
      <c r="X13" s="52">
        <f t="shared" si="1"/>
        <v>3.1944444444444602E-2</v>
      </c>
      <c r="Y13" s="71">
        <f t="shared" si="5"/>
        <v>1.80555555555557E-2</v>
      </c>
      <c r="Z13" s="187"/>
      <c r="AB13" s="68"/>
      <c r="AC13" s="69">
        <v>9</v>
      </c>
      <c r="AD13" s="52">
        <f t="shared" si="2"/>
        <v>3.1944444444444602E-2</v>
      </c>
      <c r="AE13" s="71">
        <f t="shared" si="6"/>
        <v>1.80555555555557E-2</v>
      </c>
      <c r="AF13" s="187"/>
    </row>
    <row r="14" spans="1:32" ht="15" customHeight="1" x14ac:dyDescent="0.25">
      <c r="A14" s="5" t="s">
        <v>48</v>
      </c>
      <c r="B14" s="108">
        <f>H29</f>
        <v>1.38888888888889E-2</v>
      </c>
      <c r="C14" s="244"/>
      <c r="D14" s="421" t="s">
        <v>49</v>
      </c>
      <c r="E14" s="115"/>
      <c r="I14" s="4">
        <v>1100</v>
      </c>
      <c r="J14" s="15">
        <v>6.2500000000000003E-3</v>
      </c>
      <c r="K14" s="4">
        <v>110</v>
      </c>
      <c r="L14" s="15">
        <f t="shared" si="3"/>
        <v>5.9027777777777797E-2</v>
      </c>
      <c r="P14" s="91"/>
      <c r="Q14" s="69">
        <v>11</v>
      </c>
      <c r="R14" s="70">
        <f t="shared" si="0"/>
        <v>4.3749999999999997E-2</v>
      </c>
      <c r="S14" s="71">
        <f t="shared" si="4"/>
        <v>1.59722222222222E-2</v>
      </c>
      <c r="T14" s="623"/>
      <c r="V14" s="68"/>
      <c r="W14" s="69">
        <v>10</v>
      </c>
      <c r="X14" s="52">
        <f t="shared" si="1"/>
        <v>3.4375000000000197E-2</v>
      </c>
      <c r="Y14" s="71">
        <f t="shared" si="5"/>
        <v>2.0486111111111299E-2</v>
      </c>
      <c r="Z14" s="187"/>
      <c r="AB14" s="68"/>
      <c r="AC14" s="69">
        <v>10</v>
      </c>
      <c r="AD14" s="52">
        <f t="shared" si="2"/>
        <v>3.4375000000000197E-2</v>
      </c>
      <c r="AE14" s="71">
        <f t="shared" si="6"/>
        <v>2.0486111111111299E-2</v>
      </c>
      <c r="AF14" s="187"/>
    </row>
    <row r="15" spans="1:32" ht="14.65" customHeight="1" x14ac:dyDescent="0.25">
      <c r="A15" s="5" t="s">
        <v>50</v>
      </c>
      <c r="B15" s="108">
        <f>(B14*E7)*2</f>
        <v>0</v>
      </c>
      <c r="C15" s="244"/>
      <c r="D15" s="421" t="s">
        <v>51</v>
      </c>
      <c r="E15" s="115"/>
      <c r="I15" s="4">
        <v>1200</v>
      </c>
      <c r="J15" s="15">
        <v>6.5972222222222196E-3</v>
      </c>
      <c r="K15" s="4">
        <v>120</v>
      </c>
      <c r="L15" s="15">
        <f t="shared" si="3"/>
        <v>6.25E-2</v>
      </c>
      <c r="P15" s="91"/>
      <c r="Q15" s="69">
        <v>12</v>
      </c>
      <c r="R15" s="70">
        <f t="shared" si="0"/>
        <v>4.5486111111111102E-2</v>
      </c>
      <c r="S15" s="71">
        <f t="shared" si="4"/>
        <v>1.7708333333333302E-2</v>
      </c>
      <c r="T15" s="623"/>
      <c r="V15" s="68"/>
      <c r="W15" s="69">
        <v>11</v>
      </c>
      <c r="X15" s="52">
        <f t="shared" si="1"/>
        <v>3.6805555555555799E-2</v>
      </c>
      <c r="Y15" s="71">
        <f t="shared" si="5"/>
        <v>2.2916666666666901E-2</v>
      </c>
      <c r="Z15" s="187"/>
      <c r="AB15" s="68"/>
      <c r="AC15" s="69">
        <v>11</v>
      </c>
      <c r="AD15" s="52">
        <f t="shared" si="2"/>
        <v>3.6805555555555799E-2</v>
      </c>
      <c r="AE15" s="71">
        <f t="shared" si="6"/>
        <v>2.2916666666666901E-2</v>
      </c>
      <c r="AF15" s="187"/>
    </row>
    <row r="16" spans="1:32" ht="15" customHeight="1" x14ac:dyDescent="0.25">
      <c r="A16" s="5" t="s">
        <v>52</v>
      </c>
      <c r="B16" s="109">
        <f>SUM(B14:B15)</f>
        <v>1.38888888888889E-2</v>
      </c>
      <c r="C16" s="244"/>
      <c r="D16" s="3" t="s">
        <v>53</v>
      </c>
      <c r="E16" s="115"/>
      <c r="I16" s="4">
        <v>1300</v>
      </c>
      <c r="J16" s="15">
        <v>6.9444444444444397E-3</v>
      </c>
      <c r="K16" s="4">
        <v>130</v>
      </c>
      <c r="L16" s="15">
        <f t="shared" si="3"/>
        <v>6.5972222222222196E-2</v>
      </c>
      <c r="P16" s="91"/>
      <c r="Q16" s="69">
        <v>13</v>
      </c>
      <c r="R16" s="70">
        <f t="shared" si="0"/>
        <v>4.72222222222222E-2</v>
      </c>
      <c r="S16" s="71">
        <f t="shared" si="4"/>
        <v>1.94444444444444E-2</v>
      </c>
      <c r="T16" s="623"/>
      <c r="V16" s="68"/>
      <c r="W16" s="69">
        <v>12</v>
      </c>
      <c r="X16" s="52">
        <f t="shared" si="1"/>
        <v>3.9236111111111402E-2</v>
      </c>
      <c r="Y16" s="71">
        <f t="shared" si="5"/>
        <v>2.53472222222225E-2</v>
      </c>
      <c r="Z16" s="187"/>
      <c r="AB16" s="68"/>
      <c r="AC16" s="69">
        <v>12</v>
      </c>
      <c r="AD16" s="52">
        <f t="shared" si="2"/>
        <v>3.9236111111111402E-2</v>
      </c>
      <c r="AE16" s="71">
        <f t="shared" si="6"/>
        <v>2.53472222222225E-2</v>
      </c>
      <c r="AF16" s="187"/>
    </row>
    <row r="17" spans="1:32" ht="15" customHeight="1" thickBot="1" x14ac:dyDescent="0.3">
      <c r="A17" s="10"/>
      <c r="B17" s="325">
        <f>IF(E9&gt;0,B16,0)</f>
        <v>0</v>
      </c>
      <c r="C17" s="244"/>
      <c r="K17" s="4">
        <v>140</v>
      </c>
      <c r="L17" s="15">
        <f t="shared" si="3"/>
        <v>6.9444444444444406E-2</v>
      </c>
      <c r="P17" s="91"/>
      <c r="Q17" s="69">
        <v>14</v>
      </c>
      <c r="R17" s="70">
        <f t="shared" si="0"/>
        <v>4.8958333333333298E-2</v>
      </c>
      <c r="S17" s="71">
        <f t="shared" si="4"/>
        <v>2.1180555555555501E-2</v>
      </c>
      <c r="T17" s="623"/>
      <c r="V17" s="68"/>
      <c r="W17" s="69">
        <v>13</v>
      </c>
      <c r="X17" s="52">
        <f t="shared" si="1"/>
        <v>4.1666666666666997E-2</v>
      </c>
      <c r="Y17" s="71">
        <f t="shared" si="5"/>
        <v>2.7777777777778099E-2</v>
      </c>
      <c r="Z17" s="187"/>
      <c r="AB17" s="68"/>
      <c r="AC17" s="69">
        <v>13</v>
      </c>
      <c r="AD17" s="52">
        <f t="shared" si="2"/>
        <v>4.1666666666666997E-2</v>
      </c>
      <c r="AE17" s="71">
        <f t="shared" si="6"/>
        <v>2.7777777777778099E-2</v>
      </c>
      <c r="AF17" s="187"/>
    </row>
    <row r="18" spans="1:32" ht="14.65" customHeight="1" x14ac:dyDescent="0.25">
      <c r="A18" s="333" t="s">
        <v>54</v>
      </c>
      <c r="B18" s="1"/>
      <c r="C18" s="244"/>
      <c r="K18" s="4">
        <v>150</v>
      </c>
      <c r="L18" s="15">
        <f t="shared" si="3"/>
        <v>7.2916666666666602E-2</v>
      </c>
      <c r="P18" s="91"/>
      <c r="Q18" s="69">
        <v>15</v>
      </c>
      <c r="R18" s="70">
        <f t="shared" si="0"/>
        <v>5.0694444444444403E-2</v>
      </c>
      <c r="S18" s="71">
        <f t="shared" si="4"/>
        <v>2.2916666666666599E-2</v>
      </c>
      <c r="T18" s="624"/>
      <c r="V18" s="68"/>
      <c r="W18" s="69">
        <v>14</v>
      </c>
      <c r="X18" s="52">
        <f t="shared" si="1"/>
        <v>4.40972222222226E-2</v>
      </c>
      <c r="Y18" s="71">
        <f t="shared" si="5"/>
        <v>3.0208333333333701E-2</v>
      </c>
      <c r="Z18" s="187"/>
      <c r="AB18" s="68"/>
      <c r="AC18" s="69">
        <v>14</v>
      </c>
      <c r="AD18" s="52">
        <f t="shared" si="2"/>
        <v>4.40972222222226E-2</v>
      </c>
      <c r="AE18" s="71">
        <f t="shared" si="6"/>
        <v>3.0208333333333701E-2</v>
      </c>
      <c r="AF18" s="187"/>
    </row>
    <row r="19" spans="1:32" ht="21" customHeight="1" x14ac:dyDescent="0.35">
      <c r="A19" s="4" t="s">
        <v>55</v>
      </c>
      <c r="B19" s="15">
        <f>INDEX(X4:X154,MATCH(E10,W4:W154,0))</f>
        <v>0</v>
      </c>
      <c r="C19" s="244"/>
      <c r="G19" s="266" t="s">
        <v>5</v>
      </c>
      <c r="H19" s="322" t="s">
        <v>56</v>
      </c>
      <c r="I19" s="323" t="s">
        <v>57</v>
      </c>
      <c r="K19" s="4">
        <v>160</v>
      </c>
      <c r="L19" s="15">
        <f t="shared" si="3"/>
        <v>7.6388888888888895E-2</v>
      </c>
      <c r="P19" s="92" t="s">
        <v>58</v>
      </c>
      <c r="Q19" s="63">
        <v>16</v>
      </c>
      <c r="R19" s="55">
        <f t="shared" si="0"/>
        <v>5.2604166666666598E-2</v>
      </c>
      <c r="S19" s="56">
        <f t="shared" ref="S19:S28" si="7">S18+$T$19</f>
        <v>2.4826388888888801E-2</v>
      </c>
      <c r="T19" s="622">
        <v>1.90972222222222E-3</v>
      </c>
      <c r="V19" s="68"/>
      <c r="W19" s="69">
        <v>15</v>
      </c>
      <c r="X19" s="52">
        <f t="shared" si="1"/>
        <v>4.6527777777778202E-2</v>
      </c>
      <c r="Y19" s="71">
        <f t="shared" si="5"/>
        <v>3.26388888888893E-2</v>
      </c>
      <c r="Z19" s="86"/>
      <c r="AB19" s="68"/>
      <c r="AC19" s="69">
        <v>15</v>
      </c>
      <c r="AD19" s="52">
        <f t="shared" si="2"/>
        <v>4.6527777777778202E-2</v>
      </c>
      <c r="AE19" s="71">
        <f t="shared" si="6"/>
        <v>3.26388888888893E-2</v>
      </c>
      <c r="AF19" s="86"/>
    </row>
    <row r="20" spans="1:32" ht="14.65" customHeight="1" x14ac:dyDescent="0.25">
      <c r="A20" s="4" t="s">
        <v>59</v>
      </c>
      <c r="B20" s="15">
        <f>INDEX(AD4:AD64,MATCH(E12,AC4:AC64,0))</f>
        <v>0</v>
      </c>
      <c r="C20" s="244"/>
      <c r="G20" s="267" t="s">
        <v>60</v>
      </c>
      <c r="H20" s="116">
        <v>1.0416666666666701E-2</v>
      </c>
      <c r="I20" s="15">
        <v>2.0833333333333301E-2</v>
      </c>
      <c r="K20" s="4">
        <v>170</v>
      </c>
      <c r="L20" s="15">
        <f t="shared" si="3"/>
        <v>7.9861111111111105E-2</v>
      </c>
      <c r="P20" s="92"/>
      <c r="Q20" s="63">
        <v>17</v>
      </c>
      <c r="R20" s="55">
        <f t="shared" si="0"/>
        <v>5.4513888888888799E-2</v>
      </c>
      <c r="S20" s="56">
        <f t="shared" si="7"/>
        <v>2.6736111111110999E-2</v>
      </c>
      <c r="T20" s="623"/>
      <c r="V20" s="62" t="s">
        <v>61</v>
      </c>
      <c r="W20" s="63">
        <v>16</v>
      </c>
      <c r="X20" s="52">
        <f t="shared" si="1"/>
        <v>4.9652777777778198E-2</v>
      </c>
      <c r="Y20" s="56">
        <f t="shared" ref="Y20:Y29" si="8">Y19+$Z$20</f>
        <v>3.5763888888889303E-2</v>
      </c>
      <c r="Z20" s="198">
        <v>3.1250000000000002E-3</v>
      </c>
      <c r="AB20" s="62" t="s">
        <v>61</v>
      </c>
      <c r="AC20" s="63">
        <v>16</v>
      </c>
      <c r="AD20" s="52">
        <f t="shared" si="2"/>
        <v>4.9652777777778198E-2</v>
      </c>
      <c r="AE20" s="56">
        <f t="shared" ref="AE20:AE29" si="9">AE19+$AF$20</f>
        <v>3.5763888888889303E-2</v>
      </c>
      <c r="AF20" s="198">
        <v>3.1250000000000002E-3</v>
      </c>
    </row>
    <row r="21" spans="1:32" ht="14.65" customHeight="1" x14ac:dyDescent="0.25">
      <c r="A21" s="4" t="s">
        <v>62</v>
      </c>
      <c r="B21" s="116">
        <f>H33*E10</f>
        <v>0</v>
      </c>
      <c r="C21" s="244"/>
      <c r="G21" s="267" t="s">
        <v>63</v>
      </c>
      <c r="H21" s="252">
        <v>1.0416666666666701E-2</v>
      </c>
      <c r="I21" s="264">
        <v>3.125E-2</v>
      </c>
      <c r="K21" s="4">
        <v>180</v>
      </c>
      <c r="L21" s="15">
        <f t="shared" si="3"/>
        <v>8.3333333333333301E-2</v>
      </c>
      <c r="P21" s="92"/>
      <c r="Q21" s="63">
        <v>18</v>
      </c>
      <c r="R21" s="55">
        <f t="shared" si="0"/>
        <v>5.6423611111111001E-2</v>
      </c>
      <c r="S21" s="56">
        <f t="shared" si="7"/>
        <v>2.86458333333332E-2</v>
      </c>
      <c r="T21" s="623"/>
      <c r="V21" s="62"/>
      <c r="W21" s="63">
        <v>17</v>
      </c>
      <c r="X21" s="52">
        <f t="shared" si="1"/>
        <v>5.2777777777778201E-2</v>
      </c>
      <c r="Y21" s="56">
        <f t="shared" si="8"/>
        <v>3.8888888888889299E-2</v>
      </c>
      <c r="Z21" s="199"/>
      <c r="AB21" s="62"/>
      <c r="AC21" s="63">
        <v>17</v>
      </c>
      <c r="AD21" s="52">
        <f t="shared" si="2"/>
        <v>5.2777777777778201E-2</v>
      </c>
      <c r="AE21" s="56">
        <f t="shared" si="9"/>
        <v>3.8888888888889299E-2</v>
      </c>
      <c r="AF21" s="199"/>
    </row>
    <row r="22" spans="1:32" ht="14.65" customHeight="1" x14ac:dyDescent="0.25">
      <c r="A22" s="4" t="s">
        <v>64</v>
      </c>
      <c r="B22" s="15">
        <f>B21/2</f>
        <v>0</v>
      </c>
      <c r="C22" s="244"/>
      <c r="G22" s="267" t="s">
        <v>65</v>
      </c>
      <c r="H22" s="50" t="s">
        <v>66</v>
      </c>
      <c r="I22" s="4"/>
      <c r="K22" s="4">
        <v>190</v>
      </c>
      <c r="L22" s="15">
        <f t="shared" si="3"/>
        <v>8.6805555555555497E-2</v>
      </c>
      <c r="P22" s="92"/>
      <c r="Q22" s="63">
        <v>19</v>
      </c>
      <c r="R22" s="55">
        <f t="shared" si="0"/>
        <v>5.8333333333333202E-2</v>
      </c>
      <c r="S22" s="56">
        <f t="shared" si="7"/>
        <v>3.0555555555555398E-2</v>
      </c>
      <c r="T22" s="623"/>
      <c r="V22" s="62"/>
      <c r="W22" s="63">
        <v>18</v>
      </c>
      <c r="X22" s="52">
        <f t="shared" si="1"/>
        <v>5.5902777777778197E-2</v>
      </c>
      <c r="Y22" s="56">
        <f t="shared" si="8"/>
        <v>4.2013888888889302E-2</v>
      </c>
      <c r="Z22" s="199"/>
      <c r="AB22" s="62"/>
      <c r="AC22" s="63">
        <v>18</v>
      </c>
      <c r="AD22" s="52">
        <f t="shared" si="2"/>
        <v>5.5902777777778197E-2</v>
      </c>
      <c r="AE22" s="56">
        <f t="shared" si="9"/>
        <v>4.2013888888889302E-2</v>
      </c>
      <c r="AF22" s="199"/>
    </row>
    <row r="23" spans="1:32" ht="14.65" customHeight="1" x14ac:dyDescent="0.25">
      <c r="A23" s="4" t="s">
        <v>67</v>
      </c>
      <c r="B23" s="15">
        <f>H33*E12</f>
        <v>0</v>
      </c>
      <c r="C23" s="244"/>
      <c r="G23" s="267" t="s">
        <v>30</v>
      </c>
      <c r="H23" s="252">
        <v>0</v>
      </c>
      <c r="I23" s="51">
        <v>0</v>
      </c>
      <c r="K23" s="4">
        <v>200</v>
      </c>
      <c r="L23" s="15">
        <f t="shared" si="3"/>
        <v>9.0277777777777707E-2</v>
      </c>
      <c r="P23" s="92"/>
      <c r="Q23" s="63">
        <v>20</v>
      </c>
      <c r="R23" s="55">
        <f t="shared" si="0"/>
        <v>6.0243055555555397E-2</v>
      </c>
      <c r="S23" s="56">
        <f t="shared" si="7"/>
        <v>3.24652777777776E-2</v>
      </c>
      <c r="T23" s="623"/>
      <c r="V23" s="62"/>
      <c r="W23" s="63">
        <v>19</v>
      </c>
      <c r="X23" s="52">
        <f t="shared" si="1"/>
        <v>5.90277777777782E-2</v>
      </c>
      <c r="Y23" s="56">
        <f t="shared" si="8"/>
        <v>4.5138888888889298E-2</v>
      </c>
      <c r="Z23" s="199"/>
      <c r="AB23" s="62"/>
      <c r="AC23" s="63">
        <v>19</v>
      </c>
      <c r="AD23" s="52">
        <f t="shared" si="2"/>
        <v>5.90277777777782E-2</v>
      </c>
      <c r="AE23" s="56">
        <f t="shared" si="9"/>
        <v>4.5138888888889298E-2</v>
      </c>
      <c r="AF23" s="199"/>
    </row>
    <row r="24" spans="1:32" ht="14.65" customHeight="1" x14ac:dyDescent="0.25">
      <c r="A24" s="4" t="s">
        <v>68</v>
      </c>
      <c r="B24" s="15">
        <f>B23</f>
        <v>0</v>
      </c>
      <c r="C24" s="380">
        <f>B26*24</f>
        <v>0.75</v>
      </c>
      <c r="G24" s="267" t="s">
        <v>69</v>
      </c>
      <c r="H24" s="116">
        <v>2.7777777777777801E-2</v>
      </c>
      <c r="I24" s="15">
        <v>2.7777777777777801E-2</v>
      </c>
      <c r="K24" s="4">
        <v>210</v>
      </c>
      <c r="L24" s="15">
        <f t="shared" si="3"/>
        <v>9.375E-2</v>
      </c>
      <c r="P24" s="92"/>
      <c r="Q24" s="63">
        <v>21</v>
      </c>
      <c r="R24" s="55">
        <f t="shared" si="0"/>
        <v>6.2152777777777599E-2</v>
      </c>
      <c r="S24" s="56">
        <f t="shared" si="7"/>
        <v>3.4374999999999802E-2</v>
      </c>
      <c r="T24" s="623"/>
      <c r="V24" s="62"/>
      <c r="W24" s="63">
        <v>20</v>
      </c>
      <c r="X24" s="52">
        <f t="shared" si="1"/>
        <v>6.2152777777778202E-2</v>
      </c>
      <c r="Y24" s="56">
        <f t="shared" si="8"/>
        <v>4.82638888888893E-2</v>
      </c>
      <c r="Z24" s="199"/>
      <c r="AB24" s="62"/>
      <c r="AC24" s="63">
        <v>20</v>
      </c>
      <c r="AD24" s="52">
        <f t="shared" si="2"/>
        <v>6.2152777777778202E-2</v>
      </c>
      <c r="AE24" s="56">
        <f t="shared" si="9"/>
        <v>4.82638888888893E-2</v>
      </c>
      <c r="AF24" s="199"/>
    </row>
    <row r="25" spans="1:32" ht="21" customHeight="1" x14ac:dyDescent="0.35">
      <c r="A25" s="4" t="s">
        <v>70</v>
      </c>
      <c r="B25" s="116">
        <f>H26+(H27*E8)</f>
        <v>3.125E-2</v>
      </c>
      <c r="C25" s="381" t="s">
        <v>37</v>
      </c>
      <c r="G25" s="268" t="s">
        <v>14</v>
      </c>
      <c r="H25" s="4"/>
      <c r="I25" s="4"/>
      <c r="K25" s="4">
        <v>220</v>
      </c>
      <c r="L25" s="15">
        <f t="shared" si="3"/>
        <v>9.7222222222222196E-2</v>
      </c>
      <c r="P25" s="92"/>
      <c r="Q25" s="63">
        <v>22</v>
      </c>
      <c r="R25" s="55">
        <f t="shared" si="0"/>
        <v>6.40624999999998E-2</v>
      </c>
      <c r="S25" s="56">
        <f t="shared" si="7"/>
        <v>3.6284722222222003E-2</v>
      </c>
      <c r="T25" s="623"/>
      <c r="V25" s="62"/>
      <c r="W25" s="63">
        <v>21</v>
      </c>
      <c r="X25" s="52">
        <f t="shared" si="1"/>
        <v>6.5277777777778198E-2</v>
      </c>
      <c r="Y25" s="56">
        <f t="shared" si="8"/>
        <v>5.1388888888889303E-2</v>
      </c>
      <c r="Z25" s="199"/>
      <c r="AB25" s="62"/>
      <c r="AC25" s="63">
        <v>21</v>
      </c>
      <c r="AD25" s="52">
        <f t="shared" si="2"/>
        <v>6.5277777777778198E-2</v>
      </c>
      <c r="AE25" s="56">
        <f t="shared" si="9"/>
        <v>5.1388888888889303E-2</v>
      </c>
      <c r="AF25" s="199"/>
    </row>
    <row r="26" spans="1:32" ht="14.65" customHeight="1" x14ac:dyDescent="0.25">
      <c r="A26" s="49" t="s">
        <v>71</v>
      </c>
      <c r="B26" s="332">
        <f>SUM(B17:B25)</f>
        <v>3.125E-2</v>
      </c>
      <c r="C26" s="382">
        <f>C24/7</f>
        <v>0.11</v>
      </c>
      <c r="F26" s="169"/>
      <c r="G26" s="267" t="s">
        <v>72</v>
      </c>
      <c r="H26" s="51">
        <v>3.125E-2</v>
      </c>
      <c r="I26" s="4"/>
      <c r="K26" s="4">
        <v>230</v>
      </c>
      <c r="L26" s="15">
        <f t="shared" si="3"/>
        <v>0.100694444444444</v>
      </c>
      <c r="P26" s="92"/>
      <c r="Q26" s="63">
        <v>23</v>
      </c>
      <c r="R26" s="55">
        <f t="shared" si="0"/>
        <v>6.5972222222222002E-2</v>
      </c>
      <c r="S26" s="56">
        <f t="shared" si="7"/>
        <v>3.8194444444444198E-2</v>
      </c>
      <c r="T26" s="623"/>
      <c r="V26" s="62"/>
      <c r="W26" s="63">
        <v>22</v>
      </c>
      <c r="X26" s="52">
        <f t="shared" si="1"/>
        <v>6.8402777777778201E-2</v>
      </c>
      <c r="Y26" s="56">
        <f t="shared" si="8"/>
        <v>5.4513888888889299E-2</v>
      </c>
      <c r="Z26" s="199"/>
      <c r="AB26" s="62"/>
      <c r="AC26" s="63">
        <v>22</v>
      </c>
      <c r="AD26" s="52">
        <f t="shared" si="2"/>
        <v>6.8402777777778201E-2</v>
      </c>
      <c r="AE26" s="56">
        <f t="shared" si="9"/>
        <v>5.4513888888889299E-2</v>
      </c>
      <c r="AF26" s="199"/>
    </row>
    <row r="27" spans="1:32" ht="15" customHeight="1" thickBot="1" x14ac:dyDescent="0.3">
      <c r="A27" s="30"/>
      <c r="B27" s="30"/>
      <c r="C27" s="244"/>
      <c r="G27" s="267" t="s">
        <v>73</v>
      </c>
      <c r="H27" s="51">
        <v>1.0416666666666699E-3</v>
      </c>
      <c r="I27" s="4"/>
      <c r="K27" s="4">
        <v>240</v>
      </c>
      <c r="L27" s="15">
        <f t="shared" si="3"/>
        <v>0.104166666666667</v>
      </c>
      <c r="P27" s="92"/>
      <c r="Q27" s="63">
        <v>24</v>
      </c>
      <c r="R27" s="55">
        <f t="shared" si="0"/>
        <v>6.7881944444444203E-2</v>
      </c>
      <c r="S27" s="56">
        <f t="shared" si="7"/>
        <v>4.0104166666666399E-2</v>
      </c>
      <c r="T27" s="623"/>
      <c r="V27" s="62"/>
      <c r="W27" s="63">
        <v>23</v>
      </c>
      <c r="X27" s="52">
        <f t="shared" si="1"/>
        <v>7.1527777777778204E-2</v>
      </c>
      <c r="Y27" s="56">
        <f t="shared" si="8"/>
        <v>5.7638888888889302E-2</v>
      </c>
      <c r="Z27" s="199"/>
      <c r="AB27" s="62"/>
      <c r="AC27" s="63">
        <v>23</v>
      </c>
      <c r="AD27" s="52">
        <f t="shared" si="2"/>
        <v>7.1527777777778204E-2</v>
      </c>
      <c r="AE27" s="56">
        <f t="shared" si="9"/>
        <v>5.7638888888889302E-2</v>
      </c>
      <c r="AF27" s="199"/>
    </row>
    <row r="28" spans="1:32" ht="21.4" customHeight="1" thickBot="1" x14ac:dyDescent="0.4">
      <c r="A28" s="163" t="s">
        <v>74</v>
      </c>
      <c r="B28" s="164"/>
      <c r="C28" s="244"/>
      <c r="G28" s="268" t="s">
        <v>75</v>
      </c>
      <c r="H28" s="38">
        <v>1.0416666666666699E-3</v>
      </c>
      <c r="I28" s="4"/>
      <c r="K28" s="4">
        <v>250</v>
      </c>
      <c r="L28" s="15">
        <f t="shared" si="3"/>
        <v>0.10763888888888901</v>
      </c>
      <c r="P28" s="92"/>
      <c r="Q28" s="63">
        <v>25</v>
      </c>
      <c r="R28" s="55">
        <f t="shared" si="0"/>
        <v>6.9791666666666405E-2</v>
      </c>
      <c r="S28" s="56">
        <f t="shared" si="7"/>
        <v>4.2013888888888601E-2</v>
      </c>
      <c r="T28" s="624"/>
      <c r="V28" s="62"/>
      <c r="W28" s="63">
        <v>24</v>
      </c>
      <c r="X28" s="52">
        <f t="shared" si="1"/>
        <v>7.4652777777778206E-2</v>
      </c>
      <c r="Y28" s="56">
        <f t="shared" si="8"/>
        <v>6.0763888888889298E-2</v>
      </c>
      <c r="Z28" s="199"/>
      <c r="AB28" s="62"/>
      <c r="AC28" s="63">
        <v>24</v>
      </c>
      <c r="AD28" s="52">
        <f t="shared" si="2"/>
        <v>7.4652777777778206E-2</v>
      </c>
      <c r="AE28" s="56">
        <f t="shared" si="9"/>
        <v>6.0763888888889298E-2</v>
      </c>
      <c r="AF28" s="199"/>
    </row>
    <row r="29" spans="1:32" ht="14.65" customHeight="1" x14ac:dyDescent="0.25">
      <c r="A29" s="8" t="s">
        <v>76</v>
      </c>
      <c r="B29" s="36">
        <f>H28</f>
        <v>1.0416666666666699E-3</v>
      </c>
      <c r="C29" s="244"/>
      <c r="G29" s="267" t="s">
        <v>77</v>
      </c>
      <c r="H29" s="252">
        <v>1.38888888888889E-2</v>
      </c>
      <c r="I29" s="4"/>
      <c r="K29" s="4">
        <v>260</v>
      </c>
      <c r="L29" s="15">
        <f t="shared" si="3"/>
        <v>0.11111111111111099</v>
      </c>
      <c r="P29" s="93" t="s">
        <v>78</v>
      </c>
      <c r="Q29" s="73">
        <v>26</v>
      </c>
      <c r="R29" s="74">
        <f t="shared" si="0"/>
        <v>7.1874999999999703E-2</v>
      </c>
      <c r="S29" s="75">
        <f t="shared" ref="S29:S38" si="10">S28+$T$29</f>
        <v>4.4097222222221899E-2</v>
      </c>
      <c r="T29" s="634">
        <v>2.0833333333333298E-3</v>
      </c>
      <c r="V29" s="62"/>
      <c r="W29" s="63">
        <v>25</v>
      </c>
      <c r="X29" s="52">
        <f t="shared" si="1"/>
        <v>7.7777777777778195E-2</v>
      </c>
      <c r="Y29" s="56">
        <f t="shared" si="8"/>
        <v>6.38888888888893E-2</v>
      </c>
      <c r="Z29" s="200"/>
      <c r="AB29" s="62"/>
      <c r="AC29" s="63">
        <v>25</v>
      </c>
      <c r="AD29" s="52">
        <f t="shared" si="2"/>
        <v>7.7777777777778195E-2</v>
      </c>
      <c r="AE29" s="56">
        <f t="shared" si="9"/>
        <v>6.38888888888893E-2</v>
      </c>
      <c r="AF29" s="200"/>
    </row>
    <row r="30" spans="1:32" ht="14.65" customHeight="1" x14ac:dyDescent="0.25">
      <c r="A30" s="5" t="s">
        <v>79</v>
      </c>
      <c r="B30" s="21" t="e">
        <f>B29*E5</f>
        <v>#DIV/0!</v>
      </c>
      <c r="C30" s="244"/>
      <c r="F30" s="169"/>
      <c r="G30" s="267" t="s">
        <v>80</v>
      </c>
      <c r="H30" s="38">
        <v>1.38888888888889E-2</v>
      </c>
      <c r="I30" s="38">
        <v>1.38888888888889E-2</v>
      </c>
      <c r="K30" s="4">
        <v>270</v>
      </c>
      <c r="L30" s="15">
        <f t="shared" si="3"/>
        <v>0.114583333333333</v>
      </c>
      <c r="P30" s="93"/>
      <c r="Q30" s="73">
        <v>27</v>
      </c>
      <c r="R30" s="74">
        <f t="shared" si="0"/>
        <v>7.3958333333333001E-2</v>
      </c>
      <c r="S30" s="75">
        <f t="shared" si="10"/>
        <v>4.6180555555555197E-2</v>
      </c>
      <c r="T30" s="623"/>
      <c r="V30" s="72" t="s">
        <v>81</v>
      </c>
      <c r="W30" s="73">
        <v>26</v>
      </c>
      <c r="X30" s="52">
        <f t="shared" si="1"/>
        <v>8.0902777777778198E-2</v>
      </c>
      <c r="Y30" s="75">
        <f t="shared" ref="Y30:Y39" si="11">Y29+$Z$30</f>
        <v>6.7013888888889303E-2</v>
      </c>
      <c r="Z30" s="194">
        <v>3.1250000000000002E-3</v>
      </c>
      <c r="AB30" s="72" t="s">
        <v>81</v>
      </c>
      <c r="AC30" s="73">
        <v>26</v>
      </c>
      <c r="AD30" s="52">
        <f t="shared" si="2"/>
        <v>8.0902777777778198E-2</v>
      </c>
      <c r="AE30" s="75">
        <f t="shared" ref="AE30:AE39" si="12">AE29+$AF$30</f>
        <v>6.7013888888889303E-2</v>
      </c>
      <c r="AF30" s="194">
        <v>3.1250000000000002E-3</v>
      </c>
    </row>
    <row r="31" spans="1:32" ht="14.65" customHeight="1" x14ac:dyDescent="0.25">
      <c r="A31" s="4" t="s">
        <v>82</v>
      </c>
      <c r="B31" s="37">
        <f>H30</f>
        <v>1.38888888888889E-2</v>
      </c>
      <c r="C31" s="244"/>
      <c r="G31" s="267" t="s">
        <v>55</v>
      </c>
      <c r="H31" s="51" t="s">
        <v>66</v>
      </c>
      <c r="I31" s="4"/>
      <c r="K31" s="4">
        <v>280</v>
      </c>
      <c r="L31" s="15">
        <f t="shared" si="3"/>
        <v>0.118055555555555</v>
      </c>
      <c r="P31" s="93"/>
      <c r="Q31" s="73">
        <v>28</v>
      </c>
      <c r="R31" s="74">
        <f t="shared" si="0"/>
        <v>7.6041666666666299E-2</v>
      </c>
      <c r="S31" s="75">
        <f t="shared" si="10"/>
        <v>4.8263888888888502E-2</v>
      </c>
      <c r="T31" s="623"/>
      <c r="V31" s="72"/>
      <c r="W31" s="73">
        <v>27</v>
      </c>
      <c r="X31" s="52">
        <f t="shared" si="1"/>
        <v>8.4027777777778201E-2</v>
      </c>
      <c r="Y31" s="75">
        <f t="shared" si="11"/>
        <v>7.0138888888889306E-2</v>
      </c>
      <c r="Z31" s="195"/>
      <c r="AB31" s="72"/>
      <c r="AC31" s="73">
        <v>27</v>
      </c>
      <c r="AD31" s="52">
        <f t="shared" si="2"/>
        <v>8.4027777777778201E-2</v>
      </c>
      <c r="AE31" s="75">
        <f t="shared" si="12"/>
        <v>7.0138888888889306E-2</v>
      </c>
      <c r="AF31" s="195"/>
    </row>
    <row r="32" spans="1:32" ht="21" customHeight="1" x14ac:dyDescent="0.35">
      <c r="A32" s="4" t="s">
        <v>83</v>
      </c>
      <c r="B32" s="15">
        <f>H43</f>
        <v>3.4722222222222202E-4</v>
      </c>
      <c r="C32" s="244"/>
      <c r="G32" s="268" t="s">
        <v>84</v>
      </c>
      <c r="H32" s="38">
        <v>1.1574074074074101E-5</v>
      </c>
      <c r="I32" s="4"/>
      <c r="K32" s="4">
        <v>290</v>
      </c>
      <c r="L32" s="15">
        <f t="shared" si="3"/>
        <v>0.121527777777778</v>
      </c>
      <c r="P32" s="93"/>
      <c r="Q32" s="73">
        <v>29</v>
      </c>
      <c r="R32" s="74">
        <f t="shared" si="0"/>
        <v>7.8124999999999598E-2</v>
      </c>
      <c r="S32" s="75">
        <f t="shared" si="10"/>
        <v>5.03472222222218E-2</v>
      </c>
      <c r="T32" s="623"/>
      <c r="V32" s="72"/>
      <c r="W32" s="73">
        <v>28</v>
      </c>
      <c r="X32" s="52">
        <f t="shared" si="1"/>
        <v>8.7152777777778204E-2</v>
      </c>
      <c r="Y32" s="75">
        <f t="shared" si="11"/>
        <v>7.3263888888889295E-2</v>
      </c>
      <c r="Z32" s="195"/>
      <c r="AB32" s="72"/>
      <c r="AC32" s="73">
        <v>28</v>
      </c>
      <c r="AD32" s="52">
        <f t="shared" si="2"/>
        <v>8.7152777777778204E-2</v>
      </c>
      <c r="AE32" s="75">
        <f t="shared" si="12"/>
        <v>7.3263888888889295E-2</v>
      </c>
      <c r="AF32" s="195"/>
    </row>
    <row r="33" spans="1:32" ht="14.65" customHeight="1" x14ac:dyDescent="0.25">
      <c r="A33" s="4" t="s">
        <v>85</v>
      </c>
      <c r="B33" s="15" t="e">
        <f>B32*E5</f>
        <v>#DIV/0!</v>
      </c>
      <c r="C33" s="244"/>
      <c r="G33" s="267" t="s">
        <v>86</v>
      </c>
      <c r="H33" s="51">
        <v>1.38888888888889E-3</v>
      </c>
      <c r="I33" s="4"/>
      <c r="K33" s="4">
        <v>300</v>
      </c>
      <c r="L33" s="15">
        <f t="shared" si="3"/>
        <v>0.125</v>
      </c>
      <c r="P33" s="93"/>
      <c r="Q33" s="73">
        <v>30</v>
      </c>
      <c r="R33" s="74">
        <f t="shared" si="0"/>
        <v>8.0208333333332896E-2</v>
      </c>
      <c r="S33" s="75">
        <f t="shared" si="10"/>
        <v>5.2430555555555099E-2</v>
      </c>
      <c r="T33" s="623"/>
      <c r="V33" s="72"/>
      <c r="W33" s="73">
        <v>29</v>
      </c>
      <c r="X33" s="52">
        <f t="shared" si="1"/>
        <v>9.0277777777778206E-2</v>
      </c>
      <c r="Y33" s="75">
        <f t="shared" si="11"/>
        <v>7.6388888888889298E-2</v>
      </c>
      <c r="Z33" s="195"/>
      <c r="AB33" s="72"/>
      <c r="AC33" s="73">
        <v>29</v>
      </c>
      <c r="AD33" s="52">
        <f t="shared" si="2"/>
        <v>9.0277777777778206E-2</v>
      </c>
      <c r="AE33" s="75">
        <f t="shared" si="12"/>
        <v>7.6388888888889298E-2</v>
      </c>
      <c r="AF33" s="195"/>
    </row>
    <row r="34" spans="1:32" ht="14.65" customHeight="1" x14ac:dyDescent="0.25">
      <c r="A34" s="4" t="s">
        <v>87</v>
      </c>
      <c r="B34" s="37" t="e">
        <f>B30+B31+B33</f>
        <v>#DIV/0!</v>
      </c>
      <c r="C34" s="244"/>
      <c r="G34" s="269" t="s">
        <v>88</v>
      </c>
      <c r="H34" s="4">
        <f>E11*E3</f>
        <v>0</v>
      </c>
      <c r="I34" s="4"/>
      <c r="K34" s="4">
        <v>310</v>
      </c>
      <c r="L34" s="15">
        <f t="shared" si="3"/>
        <v>0.12847222222222199</v>
      </c>
      <c r="P34" s="93"/>
      <c r="Q34" s="73">
        <v>31</v>
      </c>
      <c r="R34" s="74">
        <f t="shared" si="0"/>
        <v>8.2291666666666194E-2</v>
      </c>
      <c r="S34" s="75">
        <f t="shared" si="10"/>
        <v>5.4513888888888397E-2</v>
      </c>
      <c r="T34" s="623"/>
      <c r="V34" s="72"/>
      <c r="W34" s="73">
        <v>30</v>
      </c>
      <c r="X34" s="52">
        <f t="shared" si="1"/>
        <v>9.3402777777778195E-2</v>
      </c>
      <c r="Y34" s="75">
        <f t="shared" si="11"/>
        <v>7.95138888888893E-2</v>
      </c>
      <c r="Z34" s="195"/>
      <c r="AB34" s="72"/>
      <c r="AC34" s="73">
        <v>30</v>
      </c>
      <c r="AD34" s="52">
        <f t="shared" si="2"/>
        <v>9.3402777777778195E-2</v>
      </c>
      <c r="AE34" s="75">
        <f t="shared" si="12"/>
        <v>7.95138888888893E-2</v>
      </c>
      <c r="AF34" s="195"/>
    </row>
    <row r="35" spans="1:32" ht="21" customHeight="1" x14ac:dyDescent="0.35">
      <c r="A35" s="31" t="s">
        <v>89</v>
      </c>
      <c r="B35" s="9">
        <f>E7</f>
        <v>0</v>
      </c>
      <c r="C35" s="244"/>
      <c r="G35" s="268" t="s">
        <v>90</v>
      </c>
      <c r="H35" s="38">
        <f>final!F31</f>
        <v>2.31481481481481E-5</v>
      </c>
      <c r="I35" s="38">
        <v>3.4722222222222202E-5</v>
      </c>
      <c r="K35" s="4">
        <v>320</v>
      </c>
      <c r="L35" s="15">
        <f t="shared" si="3"/>
        <v>0.131944444444444</v>
      </c>
      <c r="P35" s="93"/>
      <c r="Q35" s="73">
        <v>32</v>
      </c>
      <c r="R35" s="74">
        <f t="shared" si="0"/>
        <v>8.4374999999999506E-2</v>
      </c>
      <c r="S35" s="75">
        <f t="shared" si="10"/>
        <v>5.6597222222221702E-2</v>
      </c>
      <c r="T35" s="623"/>
      <c r="V35" s="72"/>
      <c r="W35" s="73">
        <v>31</v>
      </c>
      <c r="X35" s="52">
        <f t="shared" si="1"/>
        <v>9.6527777777778198E-2</v>
      </c>
      <c r="Y35" s="75">
        <f t="shared" si="11"/>
        <v>8.2638888888889303E-2</v>
      </c>
      <c r="Z35" s="195"/>
      <c r="AB35" s="72"/>
      <c r="AC35" s="73">
        <v>31</v>
      </c>
      <c r="AD35" s="52">
        <f t="shared" si="2"/>
        <v>9.6527777777778198E-2</v>
      </c>
      <c r="AE35" s="75">
        <f t="shared" si="12"/>
        <v>8.2638888888889303E-2</v>
      </c>
      <c r="AF35" s="195"/>
    </row>
    <row r="36" spans="1:32" ht="14.65" customHeight="1" x14ac:dyDescent="0.25">
      <c r="A36" s="32" t="s">
        <v>91</v>
      </c>
      <c r="B36" s="16" t="str">
        <f>IF(B35&gt;0,B34+0,"0")</f>
        <v>0</v>
      </c>
      <c r="C36" s="244"/>
      <c r="G36" s="267" t="s">
        <v>59</v>
      </c>
      <c r="H36" s="51" t="s">
        <v>66</v>
      </c>
      <c r="I36" s="4"/>
      <c r="K36" s="4">
        <v>330</v>
      </c>
      <c r="L36" s="15">
        <f t="shared" si="3"/>
        <v>0.13541666666666699</v>
      </c>
      <c r="P36" s="93"/>
      <c r="Q36" s="73">
        <v>33</v>
      </c>
      <c r="R36" s="74">
        <f t="shared" si="0"/>
        <v>8.6458333333332804E-2</v>
      </c>
      <c r="S36" s="75">
        <f t="shared" si="10"/>
        <v>5.8680555555555E-2</v>
      </c>
      <c r="T36" s="623"/>
      <c r="V36" s="72"/>
      <c r="W36" s="73">
        <v>32</v>
      </c>
      <c r="X36" s="52">
        <f t="shared" si="1"/>
        <v>9.9652777777778201E-2</v>
      </c>
      <c r="Y36" s="75">
        <f t="shared" si="11"/>
        <v>8.5763888888889306E-2</v>
      </c>
      <c r="Z36" s="195"/>
      <c r="AB36" s="72"/>
      <c r="AC36" s="73">
        <v>32</v>
      </c>
      <c r="AD36" s="52">
        <f t="shared" si="2"/>
        <v>9.9652777777778201E-2</v>
      </c>
      <c r="AE36" s="75">
        <f t="shared" si="12"/>
        <v>8.5763888888889306E-2</v>
      </c>
      <c r="AF36" s="195"/>
    </row>
    <row r="37" spans="1:32" ht="14.65" customHeight="1" x14ac:dyDescent="0.25">
      <c r="A37" s="32" t="s">
        <v>92</v>
      </c>
      <c r="B37" s="16" t="str">
        <f>IF(B35&gt;0,B31*2,"0")</f>
        <v>0</v>
      </c>
      <c r="C37" s="244"/>
      <c r="G37" s="269" t="s">
        <v>93</v>
      </c>
      <c r="H37" s="4">
        <f>E13*E3</f>
        <v>0</v>
      </c>
      <c r="I37" s="4"/>
      <c r="K37" s="4">
        <v>340</v>
      </c>
      <c r="L37" s="15">
        <f t="shared" si="3"/>
        <v>0.13888888888888901</v>
      </c>
      <c r="P37" s="93"/>
      <c r="Q37" s="73">
        <v>34</v>
      </c>
      <c r="R37" s="74">
        <f t="shared" ref="R37:R68" si="13">$R$4+S37</f>
        <v>8.8541666666666102E-2</v>
      </c>
      <c r="S37" s="75">
        <f t="shared" si="10"/>
        <v>6.0763888888888298E-2</v>
      </c>
      <c r="T37" s="623"/>
      <c r="V37" s="72"/>
      <c r="W37" s="73">
        <v>33</v>
      </c>
      <c r="X37" s="52">
        <f t="shared" si="1"/>
        <v>0.102777777777778</v>
      </c>
      <c r="Y37" s="75">
        <f t="shared" si="11"/>
        <v>8.8888888888889295E-2</v>
      </c>
      <c r="Z37" s="195"/>
      <c r="AB37" s="72"/>
      <c r="AC37" s="73">
        <v>33</v>
      </c>
      <c r="AD37" s="52">
        <f t="shared" si="2"/>
        <v>0.102777777777778</v>
      </c>
      <c r="AE37" s="75">
        <f t="shared" si="12"/>
        <v>8.8888888888889295E-2</v>
      </c>
      <c r="AF37" s="195"/>
    </row>
    <row r="38" spans="1:32" ht="21" customHeight="1" x14ac:dyDescent="0.35">
      <c r="A38" s="32" t="s">
        <v>94</v>
      </c>
      <c r="B38" s="16">
        <f>B36+B37</f>
        <v>0</v>
      </c>
      <c r="C38" s="244"/>
      <c r="G38" s="268" t="s">
        <v>95</v>
      </c>
      <c r="I38" s="4"/>
      <c r="K38" s="4">
        <v>350</v>
      </c>
      <c r="L38" s="15">
        <f t="shared" si="3"/>
        <v>0.14236111111111099</v>
      </c>
      <c r="P38" s="93"/>
      <c r="Q38" s="73">
        <v>35</v>
      </c>
      <c r="R38" s="74">
        <f t="shared" si="13"/>
        <v>9.06249999999994E-2</v>
      </c>
      <c r="S38" s="75">
        <f t="shared" si="10"/>
        <v>6.2847222222221596E-2</v>
      </c>
      <c r="T38" s="624"/>
      <c r="V38" s="72"/>
      <c r="W38" s="73">
        <v>34</v>
      </c>
      <c r="X38" s="52">
        <f t="shared" ref="X38:X69" si="14">$X$5+Y38</f>
        <v>0.105902777777778</v>
      </c>
      <c r="Y38" s="75">
        <f t="shared" si="11"/>
        <v>9.2013888888889298E-2</v>
      </c>
      <c r="Z38" s="195"/>
      <c r="AB38" s="72"/>
      <c r="AC38" s="73">
        <v>34</v>
      </c>
      <c r="AD38" s="52">
        <f t="shared" ref="AD38:AD69" si="15">$AD$5+AE38</f>
        <v>0.105902777777778</v>
      </c>
      <c r="AE38" s="75">
        <f t="shared" si="12"/>
        <v>9.2013888888889298E-2</v>
      </c>
      <c r="AF38" s="195"/>
    </row>
    <row r="39" spans="1:32" x14ac:dyDescent="0.25">
      <c r="A39" s="3" t="s">
        <v>96</v>
      </c>
      <c r="B39" s="15" t="e">
        <f>(B38+B34)/E4</f>
        <v>#DIV/0!</v>
      </c>
      <c r="C39" s="244"/>
      <c r="G39" s="270" t="s">
        <v>97</v>
      </c>
      <c r="H39" s="38">
        <v>5.20833333333333E-4</v>
      </c>
      <c r="I39" s="37">
        <v>1.7361111111111101E-4</v>
      </c>
      <c r="K39" s="4">
        <v>360</v>
      </c>
      <c r="L39" s="15">
        <f t="shared" si="3"/>
        <v>0.14583333333333301</v>
      </c>
      <c r="P39" s="94" t="s">
        <v>98</v>
      </c>
      <c r="Q39" s="77">
        <v>36</v>
      </c>
      <c r="R39" s="78">
        <f t="shared" si="13"/>
        <v>9.3055555555555003E-2</v>
      </c>
      <c r="S39" s="79">
        <f t="shared" ref="S39:S46" si="16">S38+$T$39</f>
        <v>6.5277777777777199E-2</v>
      </c>
      <c r="T39" s="95">
        <v>2.4305555555555599E-3</v>
      </c>
      <c r="V39" s="72"/>
      <c r="W39" s="73">
        <v>35</v>
      </c>
      <c r="X39" s="52">
        <f t="shared" si="14"/>
        <v>0.109027777777778</v>
      </c>
      <c r="Y39" s="75">
        <f t="shared" si="11"/>
        <v>9.51388888888893E-2</v>
      </c>
      <c r="Z39" s="196"/>
      <c r="AB39" s="72"/>
      <c r="AC39" s="73">
        <v>35</v>
      </c>
      <c r="AD39" s="52">
        <f t="shared" si="15"/>
        <v>0.109027777777778</v>
      </c>
      <c r="AE39" s="75">
        <f t="shared" si="12"/>
        <v>9.51388888888893E-2</v>
      </c>
      <c r="AF39" s="196"/>
    </row>
    <row r="40" spans="1:32" x14ac:dyDescent="0.25">
      <c r="A40" s="3" t="s">
        <v>99</v>
      </c>
      <c r="B40" s="15" t="e">
        <f>(B38+B34)/E5</f>
        <v>#DIV/0!</v>
      </c>
      <c r="C40" s="380">
        <f>B42*24</f>
        <v>0</v>
      </c>
      <c r="G40" s="273" t="s">
        <v>100</v>
      </c>
      <c r="H40" s="274" t="s">
        <v>101</v>
      </c>
      <c r="I40" s="72">
        <f>IF(E14&gt;1, H58, 0)</f>
        <v>0</v>
      </c>
      <c r="K40" s="4">
        <v>370</v>
      </c>
      <c r="L40" s="15">
        <f t="shared" si="3"/>
        <v>0.149305555555555</v>
      </c>
      <c r="P40" s="94"/>
      <c r="Q40" s="77">
        <v>37</v>
      </c>
      <c r="R40" s="78">
        <f t="shared" si="13"/>
        <v>9.5486111111110605E-2</v>
      </c>
      <c r="S40" s="79">
        <f t="shared" si="16"/>
        <v>6.7708333333332801E-2</v>
      </c>
      <c r="T40" s="96"/>
      <c r="V40" s="76" t="s">
        <v>102</v>
      </c>
      <c r="W40" s="77">
        <v>36</v>
      </c>
      <c r="X40" s="52">
        <f t="shared" si="14"/>
        <v>0.112152777777778</v>
      </c>
      <c r="Y40" s="79">
        <f t="shared" ref="Y40:Y47" si="17">Y39+$Z$40</f>
        <v>9.8263888888889303E-2</v>
      </c>
      <c r="Z40" s="87">
        <v>3.1250000000000002E-3</v>
      </c>
      <c r="AB40" s="76" t="s">
        <v>102</v>
      </c>
      <c r="AC40" s="77">
        <v>36</v>
      </c>
      <c r="AD40" s="52">
        <f t="shared" si="15"/>
        <v>0.112152777777778</v>
      </c>
      <c r="AE40" s="79">
        <f t="shared" ref="AE40:AE47" si="18">AE39+$AF$40</f>
        <v>9.8263888888889303E-2</v>
      </c>
      <c r="AF40" s="87">
        <v>3.1250000000000002E-3</v>
      </c>
    </row>
    <row r="41" spans="1:32" ht="21.4" customHeight="1" thickBot="1" x14ac:dyDescent="0.4">
      <c r="A41" s="10" t="s">
        <v>103</v>
      </c>
      <c r="B41" s="325" t="e">
        <f>B34+B38</f>
        <v>#DIV/0!</v>
      </c>
      <c r="C41" s="381" t="s">
        <v>37</v>
      </c>
      <c r="G41" s="276" t="s">
        <v>104</v>
      </c>
      <c r="H41" s="72" t="s">
        <v>66</v>
      </c>
      <c r="I41" s="72"/>
      <c r="K41" s="4">
        <v>380</v>
      </c>
      <c r="L41" s="15">
        <f t="shared" ref="L41:L72" si="19">$L$6+(((K41-$K$6)/10)*$M$2)</f>
        <v>0.15277777777777801</v>
      </c>
      <c r="P41" s="94"/>
      <c r="Q41" s="77">
        <v>38</v>
      </c>
      <c r="R41" s="78">
        <f t="shared" si="13"/>
        <v>9.7916666666666194E-2</v>
      </c>
      <c r="S41" s="79">
        <f t="shared" si="16"/>
        <v>7.0138888888888404E-2</v>
      </c>
      <c r="T41" s="96"/>
      <c r="V41" s="76"/>
      <c r="W41" s="77">
        <v>37</v>
      </c>
      <c r="X41" s="52">
        <f t="shared" si="14"/>
        <v>0.11527777777777801</v>
      </c>
      <c r="Y41" s="79">
        <f t="shared" si="17"/>
        <v>0.101388888888889</v>
      </c>
      <c r="Z41" s="88"/>
      <c r="AB41" s="76"/>
      <c r="AC41" s="77">
        <v>37</v>
      </c>
      <c r="AD41" s="52">
        <f t="shared" si="15"/>
        <v>0.11527777777777801</v>
      </c>
      <c r="AE41" s="79">
        <f t="shared" si="18"/>
        <v>0.101388888888889</v>
      </c>
      <c r="AF41" s="88"/>
    </row>
    <row r="42" spans="1:32" ht="21.4" customHeight="1" thickBot="1" x14ac:dyDescent="0.4">
      <c r="A42" s="10" t="s">
        <v>105</v>
      </c>
      <c r="B42" s="17">
        <f>IF(E9&gt;0,B41,0)</f>
        <v>0</v>
      </c>
      <c r="C42" s="382">
        <f>C40/7</f>
        <v>0</v>
      </c>
      <c r="G42" s="276" t="s">
        <v>106</v>
      </c>
      <c r="H42" s="72" t="s">
        <v>66</v>
      </c>
      <c r="I42" s="74" t="e">
        <f>B139</f>
        <v>#DIV/0!</v>
      </c>
      <c r="K42" s="4">
        <v>390</v>
      </c>
      <c r="L42" s="15">
        <f t="shared" si="19"/>
        <v>0.15625</v>
      </c>
      <c r="P42" s="94"/>
      <c r="Q42" s="77">
        <v>39</v>
      </c>
      <c r="R42" s="78">
        <f t="shared" si="13"/>
        <v>0.100347222222222</v>
      </c>
      <c r="S42" s="79">
        <f t="shared" si="16"/>
        <v>7.2569444444444006E-2</v>
      </c>
      <c r="T42" s="96"/>
      <c r="V42" s="76"/>
      <c r="W42" s="77">
        <v>38</v>
      </c>
      <c r="X42" s="52">
        <f t="shared" si="14"/>
        <v>0.118402777777778</v>
      </c>
      <c r="Y42" s="79">
        <f t="shared" si="17"/>
        <v>0.104513888888889</v>
      </c>
      <c r="Z42" s="88"/>
      <c r="AB42" s="76"/>
      <c r="AC42" s="77">
        <v>38</v>
      </c>
      <c r="AD42" s="52">
        <f t="shared" si="15"/>
        <v>0.118402777777778</v>
      </c>
      <c r="AE42" s="79">
        <f t="shared" si="18"/>
        <v>0.104513888888889</v>
      </c>
      <c r="AF42" s="88"/>
    </row>
    <row r="43" spans="1:32" ht="21" customHeight="1" x14ac:dyDescent="0.35">
      <c r="A43" s="30" t="s">
        <v>107</v>
      </c>
      <c r="B43" s="30">
        <v>8.1597222222222196E-2</v>
      </c>
      <c r="C43" s="34" t="s">
        <v>108</v>
      </c>
      <c r="G43" s="276" t="s">
        <v>109</v>
      </c>
      <c r="H43" s="275">
        <v>3.4722222222222202E-4</v>
      </c>
      <c r="I43" s="72"/>
      <c r="K43" s="4">
        <v>400</v>
      </c>
      <c r="L43" s="15">
        <f t="shared" si="19"/>
        <v>0.15972222222222199</v>
      </c>
      <c r="P43" s="94"/>
      <c r="Q43" s="77">
        <v>40</v>
      </c>
      <c r="R43" s="78">
        <f t="shared" si="13"/>
        <v>0.102777777777777</v>
      </c>
      <c r="S43" s="79">
        <f t="shared" si="16"/>
        <v>7.4999999999999595E-2</v>
      </c>
      <c r="T43" s="96"/>
      <c r="V43" s="76"/>
      <c r="W43" s="77">
        <v>39</v>
      </c>
      <c r="X43" s="52">
        <f t="shared" si="14"/>
        <v>0.121527777777778</v>
      </c>
      <c r="Y43" s="79">
        <f t="shared" si="17"/>
        <v>0.10763888888888901</v>
      </c>
      <c r="Z43" s="88"/>
      <c r="AB43" s="76"/>
      <c r="AC43" s="77">
        <v>39</v>
      </c>
      <c r="AD43" s="52">
        <f t="shared" si="15"/>
        <v>0.121527777777778</v>
      </c>
      <c r="AE43" s="79">
        <f t="shared" si="18"/>
        <v>0.10763888888888901</v>
      </c>
      <c r="AF43" s="88"/>
    </row>
    <row r="44" spans="1:32" ht="21" customHeight="1" x14ac:dyDescent="0.35">
      <c r="A44" s="327" t="s">
        <v>110</v>
      </c>
      <c r="B44" s="38">
        <f>H32</f>
        <v>1.1574074074074101E-5</v>
      </c>
      <c r="C44" s="244" t="s">
        <v>111</v>
      </c>
      <c r="G44" s="277" t="s">
        <v>112</v>
      </c>
      <c r="H44" s="4"/>
      <c r="I44" s="4"/>
      <c r="K44" s="4">
        <v>410</v>
      </c>
      <c r="L44" s="15">
        <f t="shared" si="19"/>
        <v>0.163194444444444</v>
      </c>
      <c r="P44" s="94"/>
      <c r="Q44" s="77">
        <v>41</v>
      </c>
      <c r="R44" s="78">
        <f t="shared" si="13"/>
        <v>0.105208333333333</v>
      </c>
      <c r="S44" s="79">
        <f t="shared" si="16"/>
        <v>7.7430555555555197E-2</v>
      </c>
      <c r="T44" s="96"/>
      <c r="V44" s="76"/>
      <c r="W44" s="77">
        <v>40</v>
      </c>
      <c r="X44" s="52">
        <f t="shared" si="14"/>
        <v>0.124652777777778</v>
      </c>
      <c r="Y44" s="79">
        <f t="shared" si="17"/>
        <v>0.11076388888888899</v>
      </c>
      <c r="Z44" s="88"/>
      <c r="AB44" s="76"/>
      <c r="AC44" s="77">
        <v>40</v>
      </c>
      <c r="AD44" s="52">
        <f t="shared" si="15"/>
        <v>0.124652777777778</v>
      </c>
      <c r="AE44" s="79">
        <f t="shared" si="18"/>
        <v>0.11076388888888899</v>
      </c>
      <c r="AF44" s="88"/>
    </row>
    <row r="45" spans="1:32" x14ac:dyDescent="0.25">
      <c r="A45" s="4" t="s">
        <v>113</v>
      </c>
      <c r="B45" s="15">
        <f>((B44/final!F30)*(H34))</f>
        <v>0</v>
      </c>
      <c r="C45" s="244"/>
      <c r="G45" s="269" t="s">
        <v>114</v>
      </c>
      <c r="H45" s="4">
        <f>E3*E15</f>
        <v>0</v>
      </c>
      <c r="I45" s="4"/>
      <c r="K45" s="4">
        <v>420</v>
      </c>
      <c r="L45" s="15">
        <f t="shared" si="19"/>
        <v>0.16666666666666699</v>
      </c>
      <c r="P45" s="94"/>
      <c r="Q45" s="77">
        <v>42</v>
      </c>
      <c r="R45" s="78">
        <f t="shared" si="13"/>
        <v>0.10763888888888901</v>
      </c>
      <c r="S45" s="79">
        <f t="shared" si="16"/>
        <v>7.98611111111108E-2</v>
      </c>
      <c r="T45" s="96"/>
      <c r="V45" s="76"/>
      <c r="W45" s="77">
        <v>41</v>
      </c>
      <c r="X45" s="52">
        <f t="shared" si="14"/>
        <v>0.12777777777777799</v>
      </c>
      <c r="Y45" s="79">
        <f t="shared" si="17"/>
        <v>0.113888888888889</v>
      </c>
      <c r="Z45" s="88"/>
      <c r="AB45" s="76"/>
      <c r="AC45" s="77">
        <v>41</v>
      </c>
      <c r="AD45" s="52">
        <f t="shared" si="15"/>
        <v>0.12777777777777799</v>
      </c>
      <c r="AE45" s="79">
        <f t="shared" si="18"/>
        <v>0.113888888888889</v>
      </c>
      <c r="AF45" s="88"/>
    </row>
    <row r="46" spans="1:32" x14ac:dyDescent="0.25">
      <c r="A46" s="4" t="s">
        <v>109</v>
      </c>
      <c r="B46" s="15" t="e">
        <f>H43*E5</f>
        <v>#DIV/0!</v>
      </c>
      <c r="C46" s="244"/>
      <c r="G46" s="270" t="s">
        <v>115</v>
      </c>
      <c r="H46" s="29">
        <f>E16*E4</f>
        <v>0</v>
      </c>
      <c r="I46" s="4"/>
      <c r="K46" s="4">
        <v>430</v>
      </c>
      <c r="L46" s="15">
        <f t="shared" si="19"/>
        <v>0.17013888888888901</v>
      </c>
      <c r="P46" s="94"/>
      <c r="Q46" s="77">
        <v>43</v>
      </c>
      <c r="R46" s="78">
        <f t="shared" si="13"/>
        <v>0.110069444444444</v>
      </c>
      <c r="S46" s="79">
        <f t="shared" si="16"/>
        <v>8.2291666666666402E-2</v>
      </c>
      <c r="T46" s="96"/>
      <c r="V46" s="76"/>
      <c r="W46" s="77">
        <v>42</v>
      </c>
      <c r="X46" s="52">
        <f t="shared" si="14"/>
        <v>0.13090277777777801</v>
      </c>
      <c r="Y46" s="79">
        <f t="shared" si="17"/>
        <v>0.117013888888889</v>
      </c>
      <c r="Z46" s="88"/>
      <c r="AB46" s="76"/>
      <c r="AC46" s="77">
        <v>42</v>
      </c>
      <c r="AD46" s="52">
        <f t="shared" si="15"/>
        <v>0.13090277777777801</v>
      </c>
      <c r="AE46" s="79">
        <f t="shared" si="18"/>
        <v>0.117013888888889</v>
      </c>
      <c r="AF46" s="88"/>
    </row>
    <row r="47" spans="1:32" ht="14.65" customHeight="1" x14ac:dyDescent="0.25">
      <c r="A47" s="4" t="s">
        <v>116</v>
      </c>
      <c r="B47" s="15" t="e">
        <f>B45*E5</f>
        <v>#DIV/0!</v>
      </c>
      <c r="C47" s="384"/>
      <c r="G47" s="267" t="s">
        <v>117</v>
      </c>
      <c r="H47" s="309">
        <v>5.78703703703704E-4</v>
      </c>
      <c r="I47" s="38">
        <v>4.6296296296296298E-4</v>
      </c>
      <c r="K47" s="4">
        <v>440</v>
      </c>
      <c r="L47" s="15">
        <f t="shared" si="19"/>
        <v>0.17361111111111099</v>
      </c>
      <c r="P47" s="97" t="s">
        <v>118</v>
      </c>
      <c r="Q47" s="61">
        <v>44</v>
      </c>
      <c r="R47" s="28">
        <f t="shared" si="13"/>
        <v>0.112847222222222</v>
      </c>
      <c r="S47" s="54">
        <f>S46+$T$47</f>
        <v>8.5069444444444198E-2</v>
      </c>
      <c r="T47" s="625">
        <v>2.7777777777777801E-3</v>
      </c>
      <c r="V47" s="76"/>
      <c r="W47" s="77">
        <v>43</v>
      </c>
      <c r="X47" s="52">
        <f t="shared" si="14"/>
        <v>0.134027777777778</v>
      </c>
      <c r="Y47" s="79">
        <f t="shared" si="17"/>
        <v>0.120138888888889</v>
      </c>
      <c r="Z47" s="88"/>
      <c r="AB47" s="76"/>
      <c r="AC47" s="77">
        <v>43</v>
      </c>
      <c r="AD47" s="52">
        <f t="shared" si="15"/>
        <v>0.134027777777778</v>
      </c>
      <c r="AE47" s="79">
        <f t="shared" si="18"/>
        <v>0.120138888888889</v>
      </c>
      <c r="AF47" s="88"/>
    </row>
    <row r="48" spans="1:32" ht="14.65" customHeight="1" x14ac:dyDescent="0.25">
      <c r="A48" s="4" t="s">
        <v>119</v>
      </c>
      <c r="B48" s="15" t="e">
        <f>(B45*E5)+B46</f>
        <v>#DIV/0!</v>
      </c>
      <c r="C48" s="244"/>
      <c r="G48" s="267" t="s">
        <v>120</v>
      </c>
      <c r="H48" s="309">
        <v>8.1018518518518503E-5</v>
      </c>
      <c r="I48" s="37">
        <v>1.15740740740741E-4</v>
      </c>
      <c r="K48" s="4">
        <v>450</v>
      </c>
      <c r="L48" s="15">
        <f t="shared" si="19"/>
        <v>0.17708333333333301</v>
      </c>
      <c r="P48" s="97"/>
      <c r="Q48" s="61">
        <v>45</v>
      </c>
      <c r="R48" s="28">
        <f t="shared" si="13"/>
        <v>0.11527777777777801</v>
      </c>
      <c r="S48" s="54">
        <f t="shared" ref="S48:S53" si="20">S47+$T$39</f>
        <v>8.74999999999998E-2</v>
      </c>
      <c r="T48" s="623"/>
      <c r="V48" s="60" t="s">
        <v>121</v>
      </c>
      <c r="W48" s="61">
        <v>44</v>
      </c>
      <c r="X48" s="52">
        <f t="shared" si="14"/>
        <v>0.13819444444444501</v>
      </c>
      <c r="Y48" s="54">
        <f t="shared" ref="Y48:Y64" si="21">Y47+$Z$48</f>
        <v>0.124305555555556</v>
      </c>
      <c r="Z48" s="197">
        <v>4.1666666666666701E-3</v>
      </c>
      <c r="AB48" s="60" t="s">
        <v>121</v>
      </c>
      <c r="AC48" s="61">
        <v>44</v>
      </c>
      <c r="AD48" s="52">
        <f t="shared" si="15"/>
        <v>0.13819444444444501</v>
      </c>
      <c r="AE48" s="54">
        <f t="shared" ref="AE48:AE64" si="22">AE47+$AF$48</f>
        <v>0.124305555555556</v>
      </c>
      <c r="AF48" s="197">
        <v>4.1666666666666701E-3</v>
      </c>
    </row>
    <row r="49" spans="1:32" ht="14.65" customHeight="1" x14ac:dyDescent="0.25">
      <c r="A49" s="4" t="s">
        <v>122</v>
      </c>
      <c r="B49" s="38">
        <f>$H$57</f>
        <v>1.38888888888889E-2</v>
      </c>
      <c r="C49" s="244"/>
      <c r="G49" s="267" t="s">
        <v>123</v>
      </c>
      <c r="H49" s="309">
        <v>2.3148148148148201E-5</v>
      </c>
      <c r="I49" s="15">
        <v>3.4722222222222202E-5</v>
      </c>
      <c r="K49" s="4">
        <v>460</v>
      </c>
      <c r="L49" s="15">
        <f t="shared" si="19"/>
        <v>0.180555555555555</v>
      </c>
      <c r="P49" s="97"/>
      <c r="Q49" s="61">
        <v>46</v>
      </c>
      <c r="R49" s="28">
        <f t="shared" si="13"/>
        <v>0.117708333333333</v>
      </c>
      <c r="S49" s="54">
        <f t="shared" si="20"/>
        <v>8.9930555555555403E-2</v>
      </c>
      <c r="T49" s="623"/>
      <c r="V49" s="60"/>
      <c r="W49" s="61">
        <v>45</v>
      </c>
      <c r="X49" s="52">
        <f t="shared" si="14"/>
        <v>0.14236111111111199</v>
      </c>
      <c r="Y49" s="54">
        <f t="shared" si="21"/>
        <v>0.12847222222222299</v>
      </c>
      <c r="Z49" s="197"/>
      <c r="AB49" s="60"/>
      <c r="AC49" s="61">
        <v>45</v>
      </c>
      <c r="AD49" s="52">
        <f t="shared" si="15"/>
        <v>0.14236111111111199</v>
      </c>
      <c r="AE49" s="54">
        <f t="shared" si="22"/>
        <v>0.12847222222222299</v>
      </c>
      <c r="AF49" s="197"/>
    </row>
    <row r="50" spans="1:32" ht="21" customHeight="1" x14ac:dyDescent="0.35">
      <c r="A50" s="4" t="s">
        <v>124</v>
      </c>
      <c r="B50" s="15" t="e">
        <f>B49+B48</f>
        <v>#DIV/0!</v>
      </c>
      <c r="C50" s="244"/>
      <c r="G50" s="268" t="s">
        <v>125</v>
      </c>
      <c r="H50" s="309">
        <v>3.4722222222222199E-3</v>
      </c>
      <c r="I50" s="37">
        <v>6.9444444444444404E-4</v>
      </c>
      <c r="K50" s="4">
        <v>470</v>
      </c>
      <c r="L50" s="15">
        <f t="shared" si="19"/>
        <v>0.18402777777777801</v>
      </c>
      <c r="P50" s="97"/>
      <c r="Q50" s="61">
        <v>47</v>
      </c>
      <c r="R50" s="28">
        <f t="shared" si="13"/>
        <v>0.120138888888889</v>
      </c>
      <c r="S50" s="54">
        <f t="shared" si="20"/>
        <v>9.2361111111111005E-2</v>
      </c>
      <c r="T50" s="623"/>
      <c r="V50" s="60"/>
      <c r="W50" s="61">
        <v>46</v>
      </c>
      <c r="X50" s="52">
        <f t="shared" si="14"/>
        <v>0.14652777777777901</v>
      </c>
      <c r="Y50" s="54">
        <f t="shared" si="21"/>
        <v>0.13263888888889</v>
      </c>
      <c r="Z50" s="197"/>
      <c r="AB50" s="60"/>
      <c r="AC50" s="61">
        <v>46</v>
      </c>
      <c r="AD50" s="52">
        <f t="shared" si="15"/>
        <v>0.14652777777777901</v>
      </c>
      <c r="AE50" s="54">
        <f t="shared" si="22"/>
        <v>0.13263888888889</v>
      </c>
      <c r="AF50" s="197"/>
    </row>
    <row r="51" spans="1:32" ht="21" customHeight="1" x14ac:dyDescent="0.35">
      <c r="A51" s="265" t="s">
        <v>126</v>
      </c>
      <c r="B51" s="161">
        <f>E7</f>
        <v>0</v>
      </c>
      <c r="C51" s="385"/>
      <c r="G51" s="268" t="s">
        <v>127</v>
      </c>
      <c r="H51" s="265"/>
      <c r="I51" s="4"/>
      <c r="K51" s="4">
        <v>480</v>
      </c>
      <c r="L51" s="15">
        <f t="shared" si="19"/>
        <v>0.1875</v>
      </c>
      <c r="P51" s="97"/>
      <c r="Q51" s="61">
        <v>48</v>
      </c>
      <c r="R51" s="28">
        <f t="shared" si="13"/>
        <v>0.122569444444444</v>
      </c>
      <c r="S51" s="54">
        <f t="shared" si="20"/>
        <v>9.4791666666666594E-2</v>
      </c>
      <c r="T51" s="623"/>
      <c r="V51" s="60"/>
      <c r="W51" s="61">
        <v>47</v>
      </c>
      <c r="X51" s="52">
        <f t="shared" si="14"/>
        <v>0.15069444444444599</v>
      </c>
      <c r="Y51" s="54">
        <f t="shared" si="21"/>
        <v>0.13680555555555701</v>
      </c>
      <c r="Z51" s="197"/>
      <c r="AB51" s="60"/>
      <c r="AC51" s="61">
        <v>47</v>
      </c>
      <c r="AD51" s="52">
        <f t="shared" si="15"/>
        <v>0.15069444444444599</v>
      </c>
      <c r="AE51" s="54">
        <f t="shared" si="22"/>
        <v>0.13680555555555701</v>
      </c>
      <c r="AF51" s="197"/>
    </row>
    <row r="52" spans="1:32" ht="14.65" customHeight="1" x14ac:dyDescent="0.25">
      <c r="A52" s="3" t="s">
        <v>128</v>
      </c>
      <c r="B52" s="15" t="str">
        <f>IF(B51&gt;0,B48+0,"0")</f>
        <v>0</v>
      </c>
      <c r="C52" s="244"/>
      <c r="G52" s="267" t="s">
        <v>129</v>
      </c>
      <c r="H52" s="309">
        <v>4.6296296296296298E-4</v>
      </c>
      <c r="I52" s="263">
        <v>6.9444444444444404E-4</v>
      </c>
      <c r="K52" s="4">
        <v>490</v>
      </c>
      <c r="L52" s="15">
        <f t="shared" si="19"/>
        <v>0.19097222222222199</v>
      </c>
      <c r="P52" s="97"/>
      <c r="Q52" s="61">
        <v>49</v>
      </c>
      <c r="R52" s="28">
        <f t="shared" si="13"/>
        <v>0.125</v>
      </c>
      <c r="S52" s="54">
        <f t="shared" si="20"/>
        <v>9.7222222222222196E-2</v>
      </c>
      <c r="T52" s="623"/>
      <c r="V52" s="60"/>
      <c r="W52" s="61">
        <v>48</v>
      </c>
      <c r="X52" s="52">
        <f t="shared" si="14"/>
        <v>0.154861111111113</v>
      </c>
      <c r="Y52" s="54">
        <f t="shared" si="21"/>
        <v>0.140972222222224</v>
      </c>
      <c r="Z52" s="197"/>
      <c r="AB52" s="60"/>
      <c r="AC52" s="61">
        <v>48</v>
      </c>
      <c r="AD52" s="52">
        <f t="shared" si="15"/>
        <v>0.154861111111113</v>
      </c>
      <c r="AE52" s="54">
        <f t="shared" si="22"/>
        <v>0.140972222222224</v>
      </c>
      <c r="AF52" s="197"/>
    </row>
    <row r="53" spans="1:32" ht="21" customHeight="1" x14ac:dyDescent="0.35">
      <c r="A53" s="3" t="s">
        <v>130</v>
      </c>
      <c r="B53" s="15">
        <f>B51*B49</f>
        <v>0</v>
      </c>
      <c r="C53" s="244"/>
      <c r="G53" s="268" t="s">
        <v>131</v>
      </c>
      <c r="H53" s="265"/>
      <c r="I53" s="4"/>
      <c r="K53" s="4">
        <v>500</v>
      </c>
      <c r="L53" s="15">
        <f t="shared" si="19"/>
        <v>0.194444444444444</v>
      </c>
      <c r="P53" s="97"/>
      <c r="Q53" s="61">
        <v>50</v>
      </c>
      <c r="R53" s="28">
        <f t="shared" si="13"/>
        <v>0.12743055555555599</v>
      </c>
      <c r="S53" s="54">
        <f t="shared" si="20"/>
        <v>9.9652777777777798E-2</v>
      </c>
      <c r="T53" s="623"/>
      <c r="V53" s="60"/>
      <c r="W53" s="61">
        <v>49</v>
      </c>
      <c r="X53" s="52">
        <f t="shared" si="14"/>
        <v>0.15902777777777999</v>
      </c>
      <c r="Y53" s="54">
        <f t="shared" si="21"/>
        <v>0.14513888888889101</v>
      </c>
      <c r="Z53" s="197"/>
      <c r="AB53" s="60"/>
      <c r="AC53" s="61">
        <v>49</v>
      </c>
      <c r="AD53" s="52">
        <f t="shared" si="15"/>
        <v>0.15902777777777999</v>
      </c>
      <c r="AE53" s="54">
        <f t="shared" si="22"/>
        <v>0.14513888888889101</v>
      </c>
      <c r="AF53" s="197"/>
    </row>
    <row r="54" spans="1:32" ht="14.65" customHeight="1" x14ac:dyDescent="0.25">
      <c r="A54" s="3" t="s">
        <v>132</v>
      </c>
      <c r="B54" s="15">
        <f>B52+B53</f>
        <v>0</v>
      </c>
      <c r="C54" s="386"/>
      <c r="G54" s="267" t="s">
        <v>133</v>
      </c>
      <c r="H54" s="309">
        <v>6.9444444444444404E-4</v>
      </c>
      <c r="I54" s="37">
        <v>6.9444444444444404E-4</v>
      </c>
      <c r="K54" s="4">
        <v>510</v>
      </c>
      <c r="L54" s="15">
        <f t="shared" si="19"/>
        <v>0.19791666666666699</v>
      </c>
      <c r="P54" s="97"/>
      <c r="Q54" s="61">
        <v>51</v>
      </c>
      <c r="R54" s="28">
        <f t="shared" si="13"/>
        <v>0.13020833333333401</v>
      </c>
      <c r="S54" s="54">
        <f t="shared" ref="S54:S63" si="23">S53+$T$47</f>
        <v>0.102430555555556</v>
      </c>
      <c r="T54" s="623"/>
      <c r="V54" s="60"/>
      <c r="W54" s="61">
        <v>50</v>
      </c>
      <c r="X54" s="52">
        <f t="shared" si="14"/>
        <v>0.163194444444447</v>
      </c>
      <c r="Y54" s="54">
        <f t="shared" si="21"/>
        <v>0.14930555555555799</v>
      </c>
      <c r="Z54" s="197"/>
      <c r="AB54" s="60"/>
      <c r="AC54" s="61">
        <v>50</v>
      </c>
      <c r="AD54" s="52">
        <f t="shared" si="15"/>
        <v>0.163194444444447</v>
      </c>
      <c r="AE54" s="54">
        <f t="shared" si="22"/>
        <v>0.14930555555555799</v>
      </c>
      <c r="AF54" s="197"/>
    </row>
    <row r="55" spans="1:32" ht="21" customHeight="1" x14ac:dyDescent="0.35">
      <c r="A55" s="4" t="s">
        <v>134</v>
      </c>
      <c r="B55" s="15" t="e">
        <f>(B50+B54)/E5</f>
        <v>#DIV/0!</v>
      </c>
      <c r="C55" s="380">
        <f>B57*24</f>
        <v>0</v>
      </c>
      <c r="G55" s="268" t="s">
        <v>135</v>
      </c>
      <c r="H55" s="309">
        <v>6.9444444444444404E-4</v>
      </c>
      <c r="I55" s="37">
        <v>0</v>
      </c>
      <c r="K55" s="4">
        <v>520</v>
      </c>
      <c r="L55" s="15">
        <f t="shared" si="19"/>
        <v>0.20138888888888901</v>
      </c>
      <c r="P55" s="97"/>
      <c r="Q55" s="61">
        <v>52</v>
      </c>
      <c r="R55" s="28">
        <f t="shared" si="13"/>
        <v>0.132986111111112</v>
      </c>
      <c r="S55" s="54">
        <f t="shared" si="23"/>
        <v>0.105208333333334</v>
      </c>
      <c r="T55" s="623"/>
      <c r="V55" s="60"/>
      <c r="W55" s="61">
        <v>51</v>
      </c>
      <c r="X55" s="52">
        <f t="shared" si="14"/>
        <v>0.16736111111111401</v>
      </c>
      <c r="Y55" s="54">
        <f t="shared" si="21"/>
        <v>0.15347222222222501</v>
      </c>
      <c r="Z55" s="197"/>
      <c r="AB55" s="60"/>
      <c r="AC55" s="61">
        <v>51</v>
      </c>
      <c r="AD55" s="52">
        <f t="shared" si="15"/>
        <v>0.16736111111111401</v>
      </c>
      <c r="AE55" s="54">
        <f t="shared" si="22"/>
        <v>0.15347222222222501</v>
      </c>
      <c r="AF55" s="197"/>
    </row>
    <row r="56" spans="1:32" ht="23.65" customHeight="1" x14ac:dyDescent="0.35">
      <c r="A56" s="4" t="s">
        <v>136</v>
      </c>
      <c r="B56" s="37" t="e">
        <f>B50+B54</f>
        <v>#DIV/0!</v>
      </c>
      <c r="C56" s="381" t="s">
        <v>37</v>
      </c>
      <c r="E56" s="254"/>
      <c r="G56" s="268" t="s">
        <v>137</v>
      </c>
      <c r="H56" s="309">
        <v>0</v>
      </c>
      <c r="I56" s="4">
        <v>0</v>
      </c>
      <c r="K56" s="4">
        <v>530</v>
      </c>
      <c r="L56" s="15">
        <f t="shared" si="19"/>
        <v>0.20486111111111099</v>
      </c>
      <c r="P56" s="97"/>
      <c r="Q56" s="61">
        <v>53</v>
      </c>
      <c r="R56" s="28">
        <f t="shared" si="13"/>
        <v>0.13576388888888999</v>
      </c>
      <c r="S56" s="54">
        <f t="shared" si="23"/>
        <v>0.107986111111112</v>
      </c>
      <c r="T56" s="623"/>
      <c r="V56" s="60"/>
      <c r="W56" s="61">
        <v>52</v>
      </c>
      <c r="X56" s="52">
        <f t="shared" si="14"/>
        <v>0.171527777777781</v>
      </c>
      <c r="Y56" s="54">
        <f t="shared" si="21"/>
        <v>0.15763888888889199</v>
      </c>
      <c r="Z56" s="197"/>
      <c r="AB56" s="60"/>
      <c r="AC56" s="61">
        <v>52</v>
      </c>
      <c r="AD56" s="52">
        <f t="shared" si="15"/>
        <v>0.171527777777781</v>
      </c>
      <c r="AE56" s="54">
        <f t="shared" si="22"/>
        <v>0.15763888888889199</v>
      </c>
      <c r="AF56" s="197"/>
    </row>
    <row r="57" spans="1:32" ht="14.65" customHeight="1" x14ac:dyDescent="0.25">
      <c r="A57" s="3" t="s">
        <v>138</v>
      </c>
      <c r="B57" s="28">
        <f>IF(E11&gt;0,B56,0)</f>
        <v>0</v>
      </c>
      <c r="C57" s="382">
        <f>C55/7</f>
        <v>0</v>
      </c>
      <c r="G57" s="267" t="s">
        <v>139</v>
      </c>
      <c r="H57" s="38">
        <v>1.38888888888889E-2</v>
      </c>
      <c r="I57" s="38">
        <v>2.0833333333333301E-2</v>
      </c>
      <c r="K57" s="4">
        <v>540</v>
      </c>
      <c r="L57" s="15">
        <f t="shared" si="19"/>
        <v>0.20833333333333301</v>
      </c>
      <c r="P57" s="97"/>
      <c r="Q57" s="61">
        <v>54</v>
      </c>
      <c r="R57" s="28">
        <f t="shared" si="13"/>
        <v>0.13854166666666801</v>
      </c>
      <c r="S57" s="54">
        <f t="shared" si="23"/>
        <v>0.11076388888888999</v>
      </c>
      <c r="T57" s="623"/>
      <c r="V57" s="60"/>
      <c r="W57" s="61">
        <v>53</v>
      </c>
      <c r="X57" s="52">
        <f t="shared" si="14"/>
        <v>0.17569444444444801</v>
      </c>
      <c r="Y57" s="54">
        <f t="shared" si="21"/>
        <v>0.16180555555555901</v>
      </c>
      <c r="Z57" s="197"/>
      <c r="AB57" s="60"/>
      <c r="AC57" s="61">
        <v>53</v>
      </c>
      <c r="AD57" s="52">
        <f t="shared" si="15"/>
        <v>0.17569444444444801</v>
      </c>
      <c r="AE57" s="54">
        <f t="shared" si="22"/>
        <v>0.16180555555555901</v>
      </c>
      <c r="AF57" s="197"/>
    </row>
    <row r="58" spans="1:32" ht="14.65" customHeight="1" x14ac:dyDescent="0.25">
      <c r="A58" s="30"/>
      <c r="B58" s="30"/>
      <c r="C58" s="244"/>
      <c r="G58" s="267" t="s">
        <v>140</v>
      </c>
      <c r="H58" s="38">
        <v>1.38888888888889E-2</v>
      </c>
      <c r="I58" s="37">
        <v>1.0416666666666701E-2</v>
      </c>
      <c r="K58" s="4">
        <v>550</v>
      </c>
      <c r="L58" s="15">
        <f t="shared" si="19"/>
        <v>0.211805555555555</v>
      </c>
      <c r="P58" s="97"/>
      <c r="Q58" s="61">
        <v>55</v>
      </c>
      <c r="R58" s="28">
        <f t="shared" si="13"/>
        <v>0.141319444444446</v>
      </c>
      <c r="S58" s="54">
        <f t="shared" si="23"/>
        <v>0.113541666666668</v>
      </c>
      <c r="T58" s="623"/>
      <c r="V58" s="60"/>
      <c r="W58" s="61">
        <v>54</v>
      </c>
      <c r="X58" s="52">
        <f t="shared" si="14"/>
        <v>0.179861111111115</v>
      </c>
      <c r="Y58" s="54">
        <f t="shared" si="21"/>
        <v>0.16597222222222599</v>
      </c>
      <c r="Z58" s="197"/>
      <c r="AB58" s="60"/>
      <c r="AC58" s="61">
        <v>54</v>
      </c>
      <c r="AD58" s="52">
        <f t="shared" si="15"/>
        <v>0.179861111111115</v>
      </c>
      <c r="AE58" s="54">
        <f t="shared" si="22"/>
        <v>0.16597222222222599</v>
      </c>
      <c r="AF58" s="197"/>
    </row>
    <row r="59" spans="1:32" ht="14.65" customHeight="1" x14ac:dyDescent="0.25">
      <c r="A59" s="327" t="s">
        <v>141</v>
      </c>
      <c r="B59" s="38">
        <f>H35</f>
        <v>2.31481481481481E-5</v>
      </c>
      <c r="C59" s="244"/>
      <c r="G59" s="271" t="s">
        <v>142</v>
      </c>
      <c r="H59" s="248"/>
      <c r="I59" s="248"/>
      <c r="K59" s="4">
        <v>560</v>
      </c>
      <c r="L59" s="15">
        <f t="shared" si="19"/>
        <v>0.21527777777777801</v>
      </c>
      <c r="P59" s="97"/>
      <c r="Q59" s="61">
        <v>56</v>
      </c>
      <c r="R59" s="28">
        <f t="shared" si="13"/>
        <v>0.14409722222222399</v>
      </c>
      <c r="S59" s="54">
        <f t="shared" si="23"/>
        <v>0.116319444444446</v>
      </c>
      <c r="T59" s="623"/>
      <c r="V59" s="60"/>
      <c r="W59" s="61">
        <v>55</v>
      </c>
      <c r="X59" s="52">
        <f t="shared" si="14"/>
        <v>0.18402777777778201</v>
      </c>
      <c r="Y59" s="54">
        <f t="shared" si="21"/>
        <v>0.170138888888893</v>
      </c>
      <c r="Z59" s="197"/>
      <c r="AB59" s="60"/>
      <c r="AC59" s="61">
        <v>55</v>
      </c>
      <c r="AD59" s="52">
        <f t="shared" si="15"/>
        <v>0.18402777777778201</v>
      </c>
      <c r="AE59" s="54">
        <f t="shared" si="22"/>
        <v>0.170138888888893</v>
      </c>
      <c r="AF59" s="197"/>
    </row>
    <row r="60" spans="1:32" ht="14.65" customHeight="1" x14ac:dyDescent="0.25">
      <c r="A60" s="4" t="s">
        <v>113</v>
      </c>
      <c r="B60" s="15">
        <f>((B59)*(H37))</f>
        <v>0</v>
      </c>
      <c r="C60" s="244"/>
      <c r="G60" s="272" t="s">
        <v>143</v>
      </c>
      <c r="H60" s="249">
        <v>0</v>
      </c>
      <c r="I60" s="248"/>
      <c r="K60" s="4">
        <v>570</v>
      </c>
      <c r="L60" s="15">
        <f t="shared" si="19"/>
        <v>0.21875</v>
      </c>
      <c r="P60" s="97"/>
      <c r="Q60" s="61">
        <v>57</v>
      </c>
      <c r="R60" s="28">
        <f t="shared" si="13"/>
        <v>0.146875000000002</v>
      </c>
      <c r="S60" s="54">
        <f t="shared" si="23"/>
        <v>0.11909722222222401</v>
      </c>
      <c r="T60" s="623"/>
      <c r="V60" s="60"/>
      <c r="W60" s="61">
        <v>56</v>
      </c>
      <c r="X60" s="52">
        <f t="shared" si="14"/>
        <v>0.18819444444444899</v>
      </c>
      <c r="Y60" s="54">
        <f t="shared" si="21"/>
        <v>0.17430555555555999</v>
      </c>
      <c r="Z60" s="197"/>
      <c r="AB60" s="60"/>
      <c r="AC60" s="61">
        <v>56</v>
      </c>
      <c r="AD60" s="52">
        <f t="shared" si="15"/>
        <v>0.18819444444444899</v>
      </c>
      <c r="AE60" s="54">
        <f t="shared" si="22"/>
        <v>0.17430555555555999</v>
      </c>
      <c r="AF60" s="197"/>
    </row>
    <row r="61" spans="1:32" ht="14.65" customHeight="1" x14ac:dyDescent="0.25">
      <c r="A61" s="4" t="s">
        <v>109</v>
      </c>
      <c r="B61" s="15" t="e">
        <f>H43*E5</f>
        <v>#DIV/0!</v>
      </c>
      <c r="C61" s="244"/>
      <c r="D61" s="255"/>
      <c r="G61" s="272" t="s">
        <v>144</v>
      </c>
      <c r="H61" s="250">
        <v>3.4722222222222202E-4</v>
      </c>
      <c r="I61" s="251">
        <v>3.4722222222222202E-4</v>
      </c>
      <c r="K61" s="4">
        <v>580</v>
      </c>
      <c r="L61" s="15">
        <f t="shared" si="19"/>
        <v>0.22222222222222199</v>
      </c>
      <c r="P61" s="97"/>
      <c r="Q61" s="61">
        <v>58</v>
      </c>
      <c r="R61" s="28">
        <f t="shared" si="13"/>
        <v>0.14965277777777999</v>
      </c>
      <c r="S61" s="54">
        <f t="shared" si="23"/>
        <v>0.121875000000002</v>
      </c>
      <c r="T61" s="623"/>
      <c r="V61" s="60"/>
      <c r="W61" s="61">
        <v>57</v>
      </c>
      <c r="X61" s="52">
        <f t="shared" si="14"/>
        <v>0.19236111111111601</v>
      </c>
      <c r="Y61" s="54">
        <f t="shared" si="21"/>
        <v>0.178472222222227</v>
      </c>
      <c r="Z61" s="197"/>
      <c r="AB61" s="60"/>
      <c r="AC61" s="61">
        <v>57</v>
      </c>
      <c r="AD61" s="52">
        <f t="shared" si="15"/>
        <v>0.19236111111111601</v>
      </c>
      <c r="AE61" s="54">
        <f t="shared" si="22"/>
        <v>0.178472222222227</v>
      </c>
      <c r="AF61" s="197"/>
    </row>
    <row r="62" spans="1:32" ht="14.65" customHeight="1" x14ac:dyDescent="0.25">
      <c r="A62" s="4" t="s">
        <v>116</v>
      </c>
      <c r="B62" s="15" t="e">
        <f>B60*E5</f>
        <v>#DIV/0!</v>
      </c>
      <c r="C62" s="244"/>
      <c r="G62" s="272" t="s">
        <v>145</v>
      </c>
      <c r="H62" s="250">
        <v>8.1018518518518503E-5</v>
      </c>
      <c r="I62" s="251">
        <v>8.1018518518518503E-5</v>
      </c>
      <c r="K62" s="4">
        <v>590</v>
      </c>
      <c r="L62" s="15">
        <f t="shared" si="19"/>
        <v>0.225694444444444</v>
      </c>
      <c r="P62" s="97"/>
      <c r="Q62" s="61">
        <v>59</v>
      </c>
      <c r="R62" s="28">
        <f t="shared" si="13"/>
        <v>0.15243055555555801</v>
      </c>
      <c r="S62" s="54">
        <f t="shared" si="23"/>
        <v>0.12465277777778</v>
      </c>
      <c r="T62" s="623"/>
      <c r="V62" s="60"/>
      <c r="W62" s="61">
        <v>58</v>
      </c>
      <c r="X62" s="52">
        <f t="shared" si="14"/>
        <v>0.19652777777778299</v>
      </c>
      <c r="Y62" s="54">
        <f t="shared" si="21"/>
        <v>0.18263888888889401</v>
      </c>
      <c r="Z62" s="197"/>
      <c r="AB62" s="60"/>
      <c r="AC62" s="61">
        <v>58</v>
      </c>
      <c r="AD62" s="52">
        <f t="shared" si="15"/>
        <v>0.19652777777778299</v>
      </c>
      <c r="AE62" s="54">
        <f t="shared" si="22"/>
        <v>0.18263888888889401</v>
      </c>
      <c r="AF62" s="197"/>
    </row>
    <row r="63" spans="1:32" ht="14.65" customHeight="1" x14ac:dyDescent="0.25">
      <c r="A63" s="4" t="s">
        <v>119</v>
      </c>
      <c r="B63" s="15" t="e">
        <f>(B60*E5)+B61</f>
        <v>#DIV/0!</v>
      </c>
      <c r="C63" s="387"/>
      <c r="G63" s="272" t="s">
        <v>146</v>
      </c>
      <c r="H63" s="250">
        <v>0</v>
      </c>
      <c r="I63" s="251">
        <v>6.9444444444444404E-4</v>
      </c>
      <c r="K63" s="4">
        <v>600</v>
      </c>
      <c r="L63" s="15">
        <f t="shared" si="19"/>
        <v>0.22916666666666699</v>
      </c>
      <c r="P63" s="97"/>
      <c r="Q63" s="61">
        <v>60</v>
      </c>
      <c r="R63" s="28">
        <f t="shared" si="13"/>
        <v>0.155208333333336</v>
      </c>
      <c r="S63" s="54">
        <f t="shared" si="23"/>
        <v>0.12743055555555799</v>
      </c>
      <c r="T63" s="624"/>
      <c r="V63" s="60"/>
      <c r="W63" s="61">
        <v>59</v>
      </c>
      <c r="X63" s="52">
        <f t="shared" si="14"/>
        <v>0.20069444444445</v>
      </c>
      <c r="Y63" s="54">
        <f t="shared" si="21"/>
        <v>0.186805555555561</v>
      </c>
      <c r="Z63" s="197"/>
      <c r="AB63" s="60"/>
      <c r="AC63" s="61">
        <v>59</v>
      </c>
      <c r="AD63" s="52">
        <f t="shared" si="15"/>
        <v>0.20069444444445</v>
      </c>
      <c r="AE63" s="54">
        <f t="shared" si="22"/>
        <v>0.186805555555561</v>
      </c>
      <c r="AF63" s="197"/>
    </row>
    <row r="64" spans="1:32" ht="14.65" customHeight="1" x14ac:dyDescent="0.25">
      <c r="A64" s="4" t="s">
        <v>122</v>
      </c>
      <c r="B64" s="38">
        <f>$H$57</f>
        <v>1.38888888888889E-2</v>
      </c>
      <c r="C64" s="387"/>
      <c r="K64" s="4">
        <v>610</v>
      </c>
      <c r="L64" s="15">
        <f t="shared" si="19"/>
        <v>0.23263888888888901</v>
      </c>
      <c r="P64" s="98" t="s">
        <v>147</v>
      </c>
      <c r="Q64" s="82">
        <v>61</v>
      </c>
      <c r="R64" s="83">
        <f t="shared" si="13"/>
        <v>0.15833333333333599</v>
      </c>
      <c r="S64" s="84">
        <f t="shared" ref="S64:S73" si="24">S63+$T$64</f>
        <v>0.13055555555555801</v>
      </c>
      <c r="T64" s="642">
        <v>3.1250000000000002E-3</v>
      </c>
      <c r="V64" s="60"/>
      <c r="W64" s="61">
        <v>60</v>
      </c>
      <c r="X64" s="52">
        <f t="shared" si="14"/>
        <v>0.20486111111111699</v>
      </c>
      <c r="Y64" s="54">
        <f t="shared" si="21"/>
        <v>0.19097222222222801</v>
      </c>
      <c r="Z64" s="197"/>
      <c r="AB64" s="60"/>
      <c r="AC64" s="61">
        <v>60</v>
      </c>
      <c r="AD64" s="52">
        <f t="shared" si="15"/>
        <v>0.20486111111111699</v>
      </c>
      <c r="AE64" s="54">
        <f t="shared" si="22"/>
        <v>0.19097222222222801</v>
      </c>
      <c r="AF64" s="197"/>
    </row>
    <row r="65" spans="1:32" ht="14.65" customHeight="1" x14ac:dyDescent="0.25">
      <c r="A65" s="3" t="s">
        <v>124</v>
      </c>
      <c r="B65" s="37" t="e">
        <f>B64+B63</f>
        <v>#DIV/0!</v>
      </c>
      <c r="C65" s="387"/>
      <c r="G65" s="46"/>
      <c r="H65" s="256"/>
      <c r="K65" s="4">
        <v>620</v>
      </c>
      <c r="L65" s="15">
        <f t="shared" si="19"/>
        <v>0.23611111111111099</v>
      </c>
      <c r="P65" s="98"/>
      <c r="Q65" s="82">
        <v>62</v>
      </c>
      <c r="R65" s="83">
        <f t="shared" si="13"/>
        <v>0.16145833333333601</v>
      </c>
      <c r="S65" s="84">
        <f t="shared" si="24"/>
        <v>0.13368055555555799</v>
      </c>
      <c r="T65" s="623"/>
      <c r="V65" s="81" t="s">
        <v>148</v>
      </c>
      <c r="W65" s="82">
        <v>61</v>
      </c>
      <c r="X65" s="52">
        <f t="shared" si="14"/>
        <v>0.209027777777784</v>
      </c>
      <c r="Y65" s="84">
        <f t="shared" ref="Y65:Y74" si="25">Y64+$Z$65</f>
        <v>0.195138888888895</v>
      </c>
      <c r="Z65" s="188">
        <v>4.1666666666666701E-3</v>
      </c>
      <c r="AB65" s="81" t="s">
        <v>148</v>
      </c>
      <c r="AC65" s="82">
        <v>61</v>
      </c>
      <c r="AD65" s="52">
        <f t="shared" si="15"/>
        <v>0.209027777777784</v>
      </c>
      <c r="AE65" s="84">
        <f t="shared" ref="AE65:AE74" si="26">AE64+$AF$65</f>
        <v>0.195138888888895</v>
      </c>
      <c r="AF65" s="188">
        <v>4.1666666666666701E-3</v>
      </c>
    </row>
    <row r="66" spans="1:32" ht="14.65" customHeight="1" x14ac:dyDescent="0.25">
      <c r="A66" s="265" t="s">
        <v>126</v>
      </c>
      <c r="B66" s="265">
        <f>E7</f>
        <v>0</v>
      </c>
      <c r="C66" s="387"/>
      <c r="D66" s="47"/>
      <c r="E66" s="47"/>
      <c r="F66" s="47"/>
      <c r="K66" s="4">
        <v>630</v>
      </c>
      <c r="L66" s="15">
        <f t="shared" si="19"/>
        <v>0.23958333333333301</v>
      </c>
      <c r="P66" s="98"/>
      <c r="Q66" s="82">
        <v>63</v>
      </c>
      <c r="R66" s="83">
        <f t="shared" si="13"/>
        <v>0.164583333333336</v>
      </c>
      <c r="S66" s="84">
        <f t="shared" si="24"/>
        <v>0.13680555555555801</v>
      </c>
      <c r="T66" s="623"/>
      <c r="V66" s="81"/>
      <c r="W66" s="82">
        <v>62</v>
      </c>
      <c r="X66" s="52">
        <f t="shared" si="14"/>
        <v>0.21319444444445099</v>
      </c>
      <c r="Y66" s="84">
        <f t="shared" si="25"/>
        <v>0.19930555555556201</v>
      </c>
      <c r="Z66" s="189"/>
      <c r="AB66" s="81"/>
      <c r="AC66" s="82">
        <v>62</v>
      </c>
      <c r="AD66" s="52">
        <f t="shared" si="15"/>
        <v>0.21319444444445099</v>
      </c>
      <c r="AE66" s="84">
        <f t="shared" si="26"/>
        <v>0.19930555555556201</v>
      </c>
      <c r="AF66" s="189"/>
    </row>
    <row r="67" spans="1:32" ht="14.65" customHeight="1" x14ac:dyDescent="0.25">
      <c r="A67" s="3" t="s">
        <v>128</v>
      </c>
      <c r="B67" s="37" t="str">
        <f>IF(B66&gt;0,B63+0,"0")</f>
        <v>0</v>
      </c>
      <c r="C67" s="387" t="s">
        <v>149</v>
      </c>
      <c r="D67" s="47"/>
      <c r="E67" s="47"/>
      <c r="F67" s="47"/>
      <c r="K67" s="4">
        <v>640</v>
      </c>
      <c r="L67" s="15">
        <f t="shared" si="19"/>
        <v>0.243055555555555</v>
      </c>
      <c r="P67" s="98"/>
      <c r="Q67" s="82">
        <v>64</v>
      </c>
      <c r="R67" s="83">
        <f t="shared" si="13"/>
        <v>0.16770833333333601</v>
      </c>
      <c r="S67" s="84">
        <f t="shared" si="24"/>
        <v>0.139930555555558</v>
      </c>
      <c r="T67" s="623"/>
      <c r="V67" s="81"/>
      <c r="W67" s="82">
        <v>63</v>
      </c>
      <c r="X67" s="52">
        <f t="shared" si="14"/>
        <v>0.217361111111118</v>
      </c>
      <c r="Y67" s="84">
        <f t="shared" si="25"/>
        <v>0.20347222222222899</v>
      </c>
      <c r="Z67" s="189"/>
      <c r="AB67" s="81"/>
      <c r="AC67" s="82">
        <v>63</v>
      </c>
      <c r="AD67" s="52">
        <f t="shared" si="15"/>
        <v>0.217361111111118</v>
      </c>
      <c r="AE67" s="84">
        <f t="shared" si="26"/>
        <v>0.20347222222222899</v>
      </c>
      <c r="AF67" s="189"/>
    </row>
    <row r="68" spans="1:32" ht="14.65" customHeight="1" x14ac:dyDescent="0.25">
      <c r="A68" s="3" t="s">
        <v>130</v>
      </c>
      <c r="B68" s="37">
        <f>B66*B64</f>
        <v>0</v>
      </c>
      <c r="C68" s="387"/>
      <c r="K68" s="4">
        <v>650</v>
      </c>
      <c r="L68" s="15">
        <f t="shared" si="19"/>
        <v>0.24652777777777801</v>
      </c>
      <c r="P68" s="98"/>
      <c r="Q68" s="82">
        <v>65</v>
      </c>
      <c r="R68" s="83">
        <f t="shared" si="13"/>
        <v>0.170833333333336</v>
      </c>
      <c r="S68" s="84">
        <f t="shared" si="24"/>
        <v>0.14305555555555799</v>
      </c>
      <c r="T68" s="623"/>
      <c r="V68" s="81"/>
      <c r="W68" s="82">
        <v>64</v>
      </c>
      <c r="X68" s="52">
        <f t="shared" si="14"/>
        <v>0.22152777777778501</v>
      </c>
      <c r="Y68" s="84">
        <f t="shared" si="25"/>
        <v>0.20763888888889601</v>
      </c>
      <c r="Z68" s="189"/>
      <c r="AB68" s="81"/>
      <c r="AC68" s="82">
        <v>64</v>
      </c>
      <c r="AD68" s="52">
        <f t="shared" si="15"/>
        <v>0.22152777777778501</v>
      </c>
      <c r="AE68" s="84">
        <f t="shared" si="26"/>
        <v>0.20763888888889601</v>
      </c>
      <c r="AF68" s="189"/>
    </row>
    <row r="69" spans="1:32" ht="14.65" customHeight="1" x14ac:dyDescent="0.25">
      <c r="A69" s="3" t="s">
        <v>132</v>
      </c>
      <c r="B69" s="37">
        <f>B67+B68</f>
        <v>0</v>
      </c>
      <c r="C69" s="387"/>
      <c r="K69" s="4">
        <v>660</v>
      </c>
      <c r="L69" s="15">
        <f t="shared" si="19"/>
        <v>0.25</v>
      </c>
      <c r="P69" s="98"/>
      <c r="Q69" s="82">
        <v>66</v>
      </c>
      <c r="R69" s="83">
        <f t="shared" ref="R69:R100" si="27">$R$4+S69</f>
        <v>0.17395833333333599</v>
      </c>
      <c r="S69" s="84">
        <f t="shared" si="24"/>
        <v>0.14618055555555801</v>
      </c>
      <c r="T69" s="623"/>
      <c r="V69" s="81"/>
      <c r="W69" s="82">
        <v>65</v>
      </c>
      <c r="X69" s="52">
        <f t="shared" si="14"/>
        <v>0.225694444444452</v>
      </c>
      <c r="Y69" s="84">
        <f t="shared" si="25"/>
        <v>0.21180555555556299</v>
      </c>
      <c r="Z69" s="189"/>
      <c r="AB69" s="81"/>
      <c r="AC69" s="82">
        <v>65</v>
      </c>
      <c r="AD69" s="52">
        <f t="shared" si="15"/>
        <v>0.225694444444452</v>
      </c>
      <c r="AE69" s="84">
        <f t="shared" si="26"/>
        <v>0.21180555555556299</v>
      </c>
      <c r="AF69" s="189"/>
    </row>
    <row r="70" spans="1:32" ht="14.65" customHeight="1" x14ac:dyDescent="0.25">
      <c r="A70" s="3" t="s">
        <v>134</v>
      </c>
      <c r="B70" s="37" t="e">
        <f>(B65+B69)/E5</f>
        <v>#DIV/0!</v>
      </c>
      <c r="C70" s="380">
        <f>B72*24</f>
        <v>0</v>
      </c>
      <c r="G70" s="46"/>
      <c r="K70" s="4">
        <v>670</v>
      </c>
      <c r="L70" s="15">
        <f t="shared" si="19"/>
        <v>0.25347222222222199</v>
      </c>
      <c r="P70" s="98"/>
      <c r="Q70" s="82">
        <v>67</v>
      </c>
      <c r="R70" s="83">
        <f t="shared" si="27"/>
        <v>0.17708333333333601</v>
      </c>
      <c r="S70" s="84">
        <f t="shared" si="24"/>
        <v>0.14930555555555799</v>
      </c>
      <c r="T70" s="623"/>
      <c r="V70" s="81"/>
      <c r="W70" s="82">
        <v>66</v>
      </c>
      <c r="X70" s="52">
        <f t="shared" ref="X70:X101" si="28">$X$5+Y70</f>
        <v>0.22986111111111901</v>
      </c>
      <c r="Y70" s="84">
        <f t="shared" si="25"/>
        <v>0.21597222222223</v>
      </c>
      <c r="Z70" s="189"/>
      <c r="AB70" s="81"/>
      <c r="AC70" s="82">
        <v>66</v>
      </c>
      <c r="AD70" s="52">
        <f t="shared" ref="AD70:AD101" si="29">$AD$5+AE70</f>
        <v>0.22986111111111901</v>
      </c>
      <c r="AE70" s="84">
        <f t="shared" si="26"/>
        <v>0.21597222222223</v>
      </c>
      <c r="AF70" s="189"/>
    </row>
    <row r="71" spans="1:32" ht="14.65" customHeight="1" x14ac:dyDescent="0.25">
      <c r="A71" s="4" t="s">
        <v>150</v>
      </c>
      <c r="B71" s="37" t="e">
        <f>B65+B69</f>
        <v>#DIV/0!</v>
      </c>
      <c r="C71" s="381" t="s">
        <v>37</v>
      </c>
      <c r="G71" s="46"/>
      <c r="K71" s="4">
        <v>680</v>
      </c>
      <c r="L71" s="15">
        <f t="shared" si="19"/>
        <v>0.25694444444444398</v>
      </c>
      <c r="P71" s="98"/>
      <c r="Q71" s="82">
        <v>68</v>
      </c>
      <c r="R71" s="83">
        <f t="shared" si="27"/>
        <v>0.180208333333336</v>
      </c>
      <c r="S71" s="84">
        <f t="shared" si="24"/>
        <v>0.15243055555555801</v>
      </c>
      <c r="T71" s="623"/>
      <c r="V71" s="81"/>
      <c r="W71" s="82">
        <v>67</v>
      </c>
      <c r="X71" s="52">
        <f t="shared" si="28"/>
        <v>0.23402777777778599</v>
      </c>
      <c r="Y71" s="84">
        <f t="shared" si="25"/>
        <v>0.22013888888889699</v>
      </c>
      <c r="Z71" s="189"/>
      <c r="AB71" s="81"/>
      <c r="AC71" s="82">
        <v>67</v>
      </c>
      <c r="AD71" s="52">
        <f t="shared" si="29"/>
        <v>0.23402777777778599</v>
      </c>
      <c r="AE71" s="84">
        <f t="shared" si="26"/>
        <v>0.22013888888889699</v>
      </c>
      <c r="AF71" s="189"/>
    </row>
    <row r="72" spans="1:32" ht="14.65" customHeight="1" x14ac:dyDescent="0.25">
      <c r="A72" s="3" t="s">
        <v>138</v>
      </c>
      <c r="B72" s="28">
        <f>IF(E13&gt;0,B71,0)</f>
        <v>0</v>
      </c>
      <c r="C72" s="382">
        <f>C70/7</f>
        <v>0</v>
      </c>
      <c r="K72" s="4">
        <v>690</v>
      </c>
      <c r="L72" s="15">
        <f t="shared" si="19"/>
        <v>0.26041666666666702</v>
      </c>
      <c r="P72" s="98"/>
      <c r="Q72" s="82">
        <v>69</v>
      </c>
      <c r="R72" s="83">
        <f t="shared" si="27"/>
        <v>0.18333333333333601</v>
      </c>
      <c r="S72" s="84">
        <f t="shared" si="24"/>
        <v>0.155555555555558</v>
      </c>
      <c r="T72" s="623"/>
      <c r="V72" s="81"/>
      <c r="W72" s="82">
        <v>68</v>
      </c>
      <c r="X72" s="52">
        <f t="shared" si="28"/>
        <v>0.23819444444445301</v>
      </c>
      <c r="Y72" s="84">
        <f t="shared" si="25"/>
        <v>0.224305555555564</v>
      </c>
      <c r="Z72" s="189"/>
      <c r="AB72" s="81"/>
      <c r="AC72" s="82">
        <v>68</v>
      </c>
      <c r="AD72" s="52">
        <f t="shared" si="29"/>
        <v>0.23819444444445301</v>
      </c>
      <c r="AE72" s="84">
        <f t="shared" si="26"/>
        <v>0.224305555555564</v>
      </c>
      <c r="AF72" s="189"/>
    </row>
    <row r="73" spans="1:32" ht="15" customHeight="1" thickBot="1" x14ac:dyDescent="0.3">
      <c r="A73" s="30"/>
      <c r="B73" s="30"/>
      <c r="C73" s="387"/>
      <c r="K73" s="4">
        <v>700</v>
      </c>
      <c r="L73" s="15">
        <f t="shared" ref="L73:L104" si="30">$L$6+(((K73-$K$6)/10)*$M$2)</f>
        <v>0.26388888888888901</v>
      </c>
      <c r="P73" s="98"/>
      <c r="Q73" s="82">
        <v>70</v>
      </c>
      <c r="R73" s="83">
        <f t="shared" si="27"/>
        <v>0.186458333333336</v>
      </c>
      <c r="S73" s="84">
        <f t="shared" si="24"/>
        <v>0.15868055555555799</v>
      </c>
      <c r="T73" s="624"/>
      <c r="V73" s="81"/>
      <c r="W73" s="82">
        <v>69</v>
      </c>
      <c r="X73" s="52">
        <f t="shared" si="28"/>
        <v>0.24236111111111999</v>
      </c>
      <c r="Y73" s="84">
        <f t="shared" si="25"/>
        <v>0.22847222222223099</v>
      </c>
      <c r="Z73" s="189"/>
      <c r="AB73" s="81"/>
      <c r="AC73" s="82">
        <v>69</v>
      </c>
      <c r="AD73" s="52">
        <f t="shared" si="29"/>
        <v>0.24236111111111999</v>
      </c>
      <c r="AE73" s="84">
        <f t="shared" si="26"/>
        <v>0.22847222222223099</v>
      </c>
      <c r="AF73" s="189"/>
    </row>
    <row r="74" spans="1:32" ht="14.65" customHeight="1" x14ac:dyDescent="0.25">
      <c r="A74" s="8" t="s">
        <v>97</v>
      </c>
      <c r="B74" s="36">
        <f>H39</f>
        <v>5.20833333333333E-4</v>
      </c>
      <c r="C74" s="387"/>
      <c r="K74" s="4">
        <v>710</v>
      </c>
      <c r="L74" s="15">
        <f t="shared" si="30"/>
        <v>0.26736111111111099</v>
      </c>
      <c r="P74" s="99" t="s">
        <v>151</v>
      </c>
      <c r="Q74" s="65">
        <v>71</v>
      </c>
      <c r="R74" s="57">
        <f t="shared" si="27"/>
        <v>0.18993055555555799</v>
      </c>
      <c r="S74" s="58">
        <f>S73+$T$74</f>
        <v>0.16215277777778001</v>
      </c>
      <c r="T74" s="635">
        <v>3.4722222222222199E-3</v>
      </c>
      <c r="V74" s="81"/>
      <c r="W74" s="82">
        <v>70</v>
      </c>
      <c r="X74" s="52">
        <f t="shared" si="28"/>
        <v>0.246527777777787</v>
      </c>
      <c r="Y74" s="84">
        <f t="shared" si="25"/>
        <v>0.232638888888898</v>
      </c>
      <c r="Z74" s="190"/>
      <c r="AB74" s="81"/>
      <c r="AC74" s="82">
        <v>70</v>
      </c>
      <c r="AD74" s="52">
        <f t="shared" si="29"/>
        <v>0.246527777777787</v>
      </c>
      <c r="AE74" s="84">
        <f t="shared" si="26"/>
        <v>0.232638888888898</v>
      </c>
      <c r="AF74" s="190"/>
    </row>
    <row r="75" spans="1:32" ht="14.65" customHeight="1" x14ac:dyDescent="0.25">
      <c r="A75" s="5" t="s">
        <v>152</v>
      </c>
      <c r="B75" s="4">
        <f>E14*E4</f>
        <v>0</v>
      </c>
      <c r="C75" s="387"/>
      <c r="K75" s="4">
        <v>720</v>
      </c>
      <c r="L75" s="15">
        <f t="shared" si="30"/>
        <v>0.27083333333333298</v>
      </c>
      <c r="P75" s="99"/>
      <c r="Q75" s="65">
        <v>72</v>
      </c>
      <c r="R75" s="57">
        <f t="shared" si="27"/>
        <v>0.19305555555555801</v>
      </c>
      <c r="S75" s="58">
        <f t="shared" ref="S75:S83" si="31">S74+$T$64</f>
        <v>0.16527777777777999</v>
      </c>
      <c r="T75" s="623"/>
      <c r="V75" s="64" t="s">
        <v>153</v>
      </c>
      <c r="W75" s="65">
        <v>71</v>
      </c>
      <c r="X75" s="52">
        <f t="shared" si="28"/>
        <v>0.25138888888889799</v>
      </c>
      <c r="Y75" s="58">
        <f t="shared" ref="Y75:Y84" si="32">Y74+$Z$75</f>
        <v>0.23750000000000901</v>
      </c>
      <c r="Z75" s="191">
        <v>4.8611111111111103E-3</v>
      </c>
      <c r="AB75" s="64" t="s">
        <v>153</v>
      </c>
      <c r="AC75" s="65">
        <v>71</v>
      </c>
      <c r="AD75" s="52">
        <f t="shared" si="29"/>
        <v>0.25138888888889799</v>
      </c>
      <c r="AE75" s="58">
        <f t="shared" ref="AE75:AE84" si="33">AE74+$AF$75</f>
        <v>0.23750000000000901</v>
      </c>
      <c r="AF75" s="191">
        <v>4.8611111111111103E-3</v>
      </c>
    </row>
    <row r="76" spans="1:32" ht="14.65" customHeight="1" x14ac:dyDescent="0.25">
      <c r="A76" s="4" t="s">
        <v>154</v>
      </c>
      <c r="B76" s="116">
        <f>H58</f>
        <v>1.38888888888889E-2</v>
      </c>
      <c r="C76" s="244"/>
      <c r="K76" s="4">
        <v>730</v>
      </c>
      <c r="L76" s="15">
        <f t="shared" si="30"/>
        <v>0.27430555555555503</v>
      </c>
      <c r="P76" s="99"/>
      <c r="Q76" s="65">
        <v>73</v>
      </c>
      <c r="R76" s="57">
        <f t="shared" si="27"/>
        <v>0.19618055555555799</v>
      </c>
      <c r="S76" s="58">
        <f t="shared" si="31"/>
        <v>0.16840277777778001</v>
      </c>
      <c r="T76" s="623"/>
      <c r="V76" s="64"/>
      <c r="W76" s="65">
        <v>72</v>
      </c>
      <c r="X76" s="52">
        <f t="shared" si="28"/>
        <v>0.25625000000000903</v>
      </c>
      <c r="Y76" s="58">
        <f t="shared" si="32"/>
        <v>0.24236111111111999</v>
      </c>
      <c r="Z76" s="192"/>
      <c r="AB76" s="64"/>
      <c r="AC76" s="65">
        <v>72</v>
      </c>
      <c r="AD76" s="52">
        <f t="shared" si="29"/>
        <v>0.25625000000000903</v>
      </c>
      <c r="AE76" s="58">
        <f t="shared" si="33"/>
        <v>0.24236111111111999</v>
      </c>
      <c r="AF76" s="192"/>
    </row>
    <row r="77" spans="1:32" ht="14.65" customHeight="1" x14ac:dyDescent="0.25">
      <c r="A77" s="5" t="s">
        <v>155</v>
      </c>
      <c r="B77" s="16" t="e">
        <f>(B74*B75)/E4</f>
        <v>#DIV/0!</v>
      </c>
      <c r="C77" s="380">
        <f>B79*24</f>
        <v>0</v>
      </c>
      <c r="K77" s="4">
        <v>740</v>
      </c>
      <c r="L77" s="15">
        <f t="shared" si="30"/>
        <v>0.27777777777777801</v>
      </c>
      <c r="P77" s="99"/>
      <c r="Q77" s="65">
        <v>74</v>
      </c>
      <c r="R77" s="57">
        <f t="shared" si="27"/>
        <v>0.19930555555555801</v>
      </c>
      <c r="S77" s="58">
        <f t="shared" si="31"/>
        <v>0.17152777777778</v>
      </c>
      <c r="T77" s="623"/>
      <c r="V77" s="64"/>
      <c r="W77" s="65">
        <v>73</v>
      </c>
      <c r="X77" s="52">
        <f t="shared" si="28"/>
        <v>0.26111111111112001</v>
      </c>
      <c r="Y77" s="58">
        <f t="shared" si="32"/>
        <v>0.247222222222231</v>
      </c>
      <c r="Z77" s="192"/>
      <c r="AB77" s="64"/>
      <c r="AC77" s="65">
        <v>73</v>
      </c>
      <c r="AD77" s="52">
        <f t="shared" si="29"/>
        <v>0.26111111111112001</v>
      </c>
      <c r="AE77" s="58">
        <f t="shared" si="33"/>
        <v>0.247222222222231</v>
      </c>
      <c r="AF77" s="192"/>
    </row>
    <row r="78" spans="1:32" ht="15" customHeight="1" thickBot="1" x14ac:dyDescent="0.3">
      <c r="A78" s="41" t="s">
        <v>156</v>
      </c>
      <c r="B78" s="326">
        <f>(B74*B75)+B76</f>
        <v>1.38888888888889E-2</v>
      </c>
      <c r="C78" s="381" t="s">
        <v>37</v>
      </c>
      <c r="K78" s="4">
        <v>750</v>
      </c>
      <c r="L78" s="15">
        <f t="shared" si="30"/>
        <v>0.28125</v>
      </c>
      <c r="P78" s="99"/>
      <c r="Q78" s="65">
        <v>75</v>
      </c>
      <c r="R78" s="57">
        <f t="shared" si="27"/>
        <v>0.202430555555558</v>
      </c>
      <c r="S78" s="58">
        <f t="shared" si="31"/>
        <v>0.17465277777777999</v>
      </c>
      <c r="T78" s="623"/>
      <c r="V78" s="64"/>
      <c r="W78" s="65">
        <v>74</v>
      </c>
      <c r="X78" s="52">
        <f t="shared" si="28"/>
        <v>0.26597222222223099</v>
      </c>
      <c r="Y78" s="58">
        <f t="shared" si="32"/>
        <v>0.25208333333334199</v>
      </c>
      <c r="Z78" s="192"/>
      <c r="AB78" s="64"/>
      <c r="AC78" s="65">
        <v>74</v>
      </c>
      <c r="AD78" s="52">
        <f t="shared" si="29"/>
        <v>0.26597222222223099</v>
      </c>
      <c r="AE78" s="58">
        <f t="shared" si="33"/>
        <v>0.25208333333334199</v>
      </c>
      <c r="AF78" s="192"/>
    </row>
    <row r="79" spans="1:32" ht="14.65" customHeight="1" x14ac:dyDescent="0.25">
      <c r="A79" s="331" t="s">
        <v>157</v>
      </c>
      <c r="B79" s="28">
        <f>IF(E14&gt;0,B78,0)</f>
        <v>0</v>
      </c>
      <c r="C79" s="382">
        <f>C77/7</f>
        <v>0</v>
      </c>
      <c r="K79" s="4">
        <v>760</v>
      </c>
      <c r="L79" s="15">
        <f t="shared" si="30"/>
        <v>0.28472222222222199</v>
      </c>
      <c r="P79" s="99"/>
      <c r="Q79" s="65">
        <v>76</v>
      </c>
      <c r="R79" s="57">
        <f t="shared" si="27"/>
        <v>0.20555555555555799</v>
      </c>
      <c r="S79" s="58">
        <f t="shared" si="31"/>
        <v>0.17777777777778001</v>
      </c>
      <c r="T79" s="623"/>
      <c r="V79" s="64"/>
      <c r="W79" s="65">
        <v>75</v>
      </c>
      <c r="X79" s="52">
        <f t="shared" si="28"/>
        <v>0.27083333333334197</v>
      </c>
      <c r="Y79" s="58">
        <f t="shared" si="32"/>
        <v>0.25694444444445302</v>
      </c>
      <c r="Z79" s="192"/>
      <c r="AB79" s="64"/>
      <c r="AC79" s="65">
        <v>75</v>
      </c>
      <c r="AD79" s="52">
        <f t="shared" si="29"/>
        <v>0.27083333333334197</v>
      </c>
      <c r="AE79" s="58">
        <f t="shared" si="33"/>
        <v>0.25694444444445302</v>
      </c>
      <c r="AF79" s="192"/>
    </row>
    <row r="80" spans="1:32" ht="15" customHeight="1" thickBot="1" x14ac:dyDescent="0.3">
      <c r="A80" s="30"/>
      <c r="B80" s="33"/>
      <c r="C80" s="242"/>
      <c r="K80" s="4">
        <v>770</v>
      </c>
      <c r="L80" s="15">
        <f t="shared" si="30"/>
        <v>0.28819444444444398</v>
      </c>
      <c r="P80" s="99"/>
      <c r="Q80" s="65">
        <v>77</v>
      </c>
      <c r="R80" s="57">
        <f t="shared" si="27"/>
        <v>0.20868055555555801</v>
      </c>
      <c r="S80" s="58">
        <f t="shared" si="31"/>
        <v>0.18090277777777999</v>
      </c>
      <c r="T80" s="623"/>
      <c r="V80" s="64"/>
      <c r="W80" s="65">
        <v>76</v>
      </c>
      <c r="X80" s="52">
        <f t="shared" si="28"/>
        <v>0.27569444444445301</v>
      </c>
      <c r="Y80" s="58">
        <f t="shared" si="32"/>
        <v>0.26180555555556401</v>
      </c>
      <c r="Z80" s="192"/>
      <c r="AB80" s="64"/>
      <c r="AC80" s="65">
        <v>76</v>
      </c>
      <c r="AD80" s="52">
        <f t="shared" si="29"/>
        <v>0.27569444444445301</v>
      </c>
      <c r="AE80" s="58">
        <f t="shared" si="33"/>
        <v>0.26180555555556401</v>
      </c>
      <c r="AF80" s="192"/>
    </row>
    <row r="81" spans="1:32" ht="14.65" customHeight="1" x14ac:dyDescent="0.25">
      <c r="A81" s="8" t="s">
        <v>12</v>
      </c>
      <c r="B81" s="20" t="e">
        <f>INDEX(L3:L415,MATCH(E5,K3:K415,1))</f>
        <v>#DIV/0!</v>
      </c>
      <c r="C81" s="244"/>
      <c r="K81" s="4">
        <v>780</v>
      </c>
      <c r="L81" s="15">
        <f t="shared" si="30"/>
        <v>0.29166666666666602</v>
      </c>
      <c r="P81" s="99"/>
      <c r="Q81" s="65">
        <v>78</v>
      </c>
      <c r="R81" s="57">
        <f t="shared" si="27"/>
        <v>0.21180555555555799</v>
      </c>
      <c r="S81" s="58">
        <f t="shared" si="31"/>
        <v>0.18402777777778001</v>
      </c>
      <c r="T81" s="623"/>
      <c r="V81" s="64"/>
      <c r="W81" s="65">
        <v>77</v>
      </c>
      <c r="X81" s="52">
        <f t="shared" si="28"/>
        <v>0.280555555555564</v>
      </c>
      <c r="Y81" s="58">
        <f t="shared" si="32"/>
        <v>0.26666666666667499</v>
      </c>
      <c r="Z81" s="192"/>
      <c r="AB81" s="64"/>
      <c r="AC81" s="65">
        <v>77</v>
      </c>
      <c r="AD81" s="52">
        <f t="shared" si="29"/>
        <v>0.280555555555564</v>
      </c>
      <c r="AE81" s="58">
        <f t="shared" si="33"/>
        <v>0.26666666666667499</v>
      </c>
      <c r="AF81" s="192"/>
    </row>
    <row r="82" spans="1:32" ht="14.65" customHeight="1" x14ac:dyDescent="0.25">
      <c r="A82" s="5" t="s">
        <v>158</v>
      </c>
      <c r="B82" s="16" t="e">
        <f>(B81)</f>
        <v>#DIV/0!</v>
      </c>
      <c r="C82" s="244"/>
      <c r="K82" s="4">
        <v>790</v>
      </c>
      <c r="L82" s="15">
        <f t="shared" si="30"/>
        <v>0.29513888888888901</v>
      </c>
      <c r="P82" s="99"/>
      <c r="Q82" s="65">
        <v>79</v>
      </c>
      <c r="R82" s="57">
        <f t="shared" si="27"/>
        <v>0.21493055555555801</v>
      </c>
      <c r="S82" s="58">
        <f t="shared" si="31"/>
        <v>0.18715277777778</v>
      </c>
      <c r="T82" s="623"/>
      <c r="V82" s="64"/>
      <c r="W82" s="65">
        <v>78</v>
      </c>
      <c r="X82" s="52">
        <f t="shared" si="28"/>
        <v>0.28541666666667498</v>
      </c>
      <c r="Y82" s="58">
        <f t="shared" si="32"/>
        <v>0.27152777777778597</v>
      </c>
      <c r="Z82" s="192"/>
      <c r="AB82" s="64"/>
      <c r="AC82" s="65">
        <v>78</v>
      </c>
      <c r="AD82" s="52">
        <f t="shared" si="29"/>
        <v>0.28541666666667498</v>
      </c>
      <c r="AE82" s="58">
        <f t="shared" si="33"/>
        <v>0.27152777777778597</v>
      </c>
      <c r="AF82" s="192"/>
    </row>
    <row r="83" spans="1:32" ht="14.65" customHeight="1" x14ac:dyDescent="0.25">
      <c r="A83" s="7" t="s">
        <v>126</v>
      </c>
      <c r="B83" s="6">
        <f>E7</f>
        <v>0</v>
      </c>
      <c r="C83" s="244"/>
      <c r="K83" s="4">
        <v>800</v>
      </c>
      <c r="L83" s="15">
        <f t="shared" si="30"/>
        <v>0.29861111111111099</v>
      </c>
      <c r="P83" s="99"/>
      <c r="Q83" s="65">
        <v>80</v>
      </c>
      <c r="R83" s="57">
        <f t="shared" si="27"/>
        <v>0.218055555555558</v>
      </c>
      <c r="S83" s="58">
        <f t="shared" si="31"/>
        <v>0.19027777777777999</v>
      </c>
      <c r="T83" s="624"/>
      <c r="V83" s="64"/>
      <c r="W83" s="65">
        <v>79</v>
      </c>
      <c r="X83" s="52">
        <f t="shared" si="28"/>
        <v>0.29027777777778602</v>
      </c>
      <c r="Y83" s="58">
        <f t="shared" si="32"/>
        <v>0.27638888888889701</v>
      </c>
      <c r="Z83" s="192"/>
      <c r="AB83" s="64"/>
      <c r="AC83" s="65">
        <v>79</v>
      </c>
      <c r="AD83" s="52">
        <f t="shared" si="29"/>
        <v>0.29027777777778602</v>
      </c>
      <c r="AE83" s="58">
        <f t="shared" si="33"/>
        <v>0.27638888888889701</v>
      </c>
      <c r="AF83" s="192"/>
    </row>
    <row r="84" spans="1:32" ht="14.65" customHeight="1" x14ac:dyDescent="0.25">
      <c r="A84" s="5" t="s">
        <v>159</v>
      </c>
      <c r="B84" s="16" t="e">
        <f>B82*B83</f>
        <v>#DIV/0!</v>
      </c>
      <c r="C84" s="244"/>
      <c r="K84" s="4">
        <v>810</v>
      </c>
      <c r="L84" s="15">
        <f t="shared" si="30"/>
        <v>0.30208333333333298</v>
      </c>
      <c r="P84" s="100" t="s">
        <v>160</v>
      </c>
      <c r="Q84" s="67">
        <v>81</v>
      </c>
      <c r="R84" s="80">
        <f t="shared" si="27"/>
        <v>0.22291666666666901</v>
      </c>
      <c r="S84" s="85">
        <f t="shared" ref="S84:S102" si="34">S83+$T$84</f>
        <v>0.195138888888891</v>
      </c>
      <c r="T84" s="630">
        <v>4.8611111111111103E-3</v>
      </c>
      <c r="V84" s="64"/>
      <c r="W84" s="65">
        <v>80</v>
      </c>
      <c r="X84" s="52">
        <f t="shared" si="28"/>
        <v>0.295138888888897</v>
      </c>
      <c r="Y84" s="58">
        <f t="shared" si="32"/>
        <v>0.28125000000000799</v>
      </c>
      <c r="Z84" s="193"/>
      <c r="AB84" s="64"/>
      <c r="AC84" s="65">
        <v>80</v>
      </c>
      <c r="AD84" s="52">
        <f t="shared" si="29"/>
        <v>0.295138888888897</v>
      </c>
      <c r="AE84" s="58">
        <f t="shared" si="33"/>
        <v>0.28125000000000799</v>
      </c>
      <c r="AF84" s="193"/>
    </row>
    <row r="85" spans="1:32" ht="14.65" customHeight="1" x14ac:dyDescent="0.25">
      <c r="A85" s="5" t="s">
        <v>161</v>
      </c>
      <c r="B85" s="16" t="e">
        <f>(B84)</f>
        <v>#DIV/0!</v>
      </c>
      <c r="C85" s="244"/>
      <c r="K85" s="4">
        <v>820</v>
      </c>
      <c r="L85" s="15">
        <f t="shared" si="30"/>
        <v>0.30555555555555503</v>
      </c>
      <c r="P85" s="100"/>
      <c r="Q85" s="67">
        <v>82</v>
      </c>
      <c r="R85" s="80">
        <f t="shared" si="27"/>
        <v>0.22777777777777999</v>
      </c>
      <c r="S85" s="85">
        <f t="shared" si="34"/>
        <v>0.20000000000000201</v>
      </c>
      <c r="T85" s="623"/>
      <c r="V85" s="66" t="s">
        <v>162</v>
      </c>
      <c r="W85" s="67">
        <v>81</v>
      </c>
      <c r="X85" s="52">
        <f t="shared" si="28"/>
        <v>0.30000000000000798</v>
      </c>
      <c r="Y85" s="85">
        <f t="shared" ref="Y85:Y103" si="35">Y84+$Z$85</f>
        <v>0.28611111111111898</v>
      </c>
      <c r="Z85" s="185">
        <v>4.8611111111111103E-3</v>
      </c>
      <c r="AB85" s="66" t="s">
        <v>162</v>
      </c>
      <c r="AC85" s="67">
        <v>81</v>
      </c>
      <c r="AD85" s="52">
        <f t="shared" si="29"/>
        <v>0.30000000000000798</v>
      </c>
      <c r="AE85" s="85">
        <f t="shared" ref="AE85:AE103" si="36">AE84+$AF$85</f>
        <v>0.28611111111111898</v>
      </c>
      <c r="AF85" s="185">
        <v>4.8611111111111103E-3</v>
      </c>
    </row>
    <row r="86" spans="1:32" ht="14.65" customHeight="1" x14ac:dyDescent="0.25">
      <c r="A86" s="23" t="s">
        <v>163</v>
      </c>
      <c r="B86" s="334" t="e">
        <f>(B85+B82)/E5</f>
        <v>#DIV/0!</v>
      </c>
      <c r="C86" s="380">
        <f>B88*24</f>
        <v>0</v>
      </c>
      <c r="K86" s="4">
        <v>830</v>
      </c>
      <c r="L86" s="15">
        <f t="shared" si="30"/>
        <v>0.30902777777777801</v>
      </c>
      <c r="P86" s="100"/>
      <c r="Q86" s="67">
        <v>83</v>
      </c>
      <c r="R86" s="80">
        <f t="shared" si="27"/>
        <v>0.232638888888891</v>
      </c>
      <c r="S86" s="85">
        <f t="shared" si="34"/>
        <v>0.20486111111111299</v>
      </c>
      <c r="T86" s="623"/>
      <c r="V86" s="66"/>
      <c r="W86" s="67">
        <v>82</v>
      </c>
      <c r="X86" s="52">
        <f t="shared" si="28"/>
        <v>0.30486111111111902</v>
      </c>
      <c r="Y86" s="85">
        <f t="shared" si="35"/>
        <v>0.29097222222223001</v>
      </c>
      <c r="Z86" s="186"/>
      <c r="AB86" s="66"/>
      <c r="AC86" s="67">
        <v>82</v>
      </c>
      <c r="AD86" s="52">
        <f t="shared" si="29"/>
        <v>0.30486111111111902</v>
      </c>
      <c r="AE86" s="85">
        <f t="shared" si="36"/>
        <v>0.29097222222223001</v>
      </c>
      <c r="AF86" s="186"/>
    </row>
    <row r="87" spans="1:32" ht="15" customHeight="1" thickBot="1" x14ac:dyDescent="0.3">
      <c r="A87" s="10" t="s">
        <v>164</v>
      </c>
      <c r="B87" s="325" t="e">
        <f>B82+B85</f>
        <v>#DIV/0!</v>
      </c>
      <c r="C87" s="381" t="s">
        <v>37</v>
      </c>
      <c r="K87" s="4">
        <v>840</v>
      </c>
      <c r="L87" s="15">
        <f t="shared" si="30"/>
        <v>0.3125</v>
      </c>
      <c r="P87" s="100"/>
      <c r="Q87" s="67">
        <v>84</v>
      </c>
      <c r="R87" s="80">
        <f t="shared" si="27"/>
        <v>0.23750000000000199</v>
      </c>
      <c r="S87" s="85">
        <f t="shared" si="34"/>
        <v>0.209722222222224</v>
      </c>
      <c r="T87" s="623"/>
      <c r="V87" s="66"/>
      <c r="W87" s="67">
        <v>83</v>
      </c>
      <c r="X87" s="52">
        <f t="shared" si="28"/>
        <v>0.30972222222223</v>
      </c>
      <c r="Y87" s="85">
        <f t="shared" si="35"/>
        <v>0.295833333333341</v>
      </c>
      <c r="Z87" s="186"/>
      <c r="AB87" s="66"/>
      <c r="AC87" s="67">
        <v>83</v>
      </c>
      <c r="AD87" s="52">
        <f t="shared" si="29"/>
        <v>0.30972222222223</v>
      </c>
      <c r="AE87" s="85">
        <f t="shared" si="36"/>
        <v>0.295833333333341</v>
      </c>
      <c r="AF87" s="186"/>
    </row>
    <row r="88" spans="1:32" ht="15" customHeight="1" thickBot="1" x14ac:dyDescent="0.3">
      <c r="A88" s="24" t="s">
        <v>165</v>
      </c>
      <c r="B88" s="17">
        <f>IF(E9&gt;0,B87,0)</f>
        <v>0</v>
      </c>
      <c r="C88" s="382">
        <f>C86/7</f>
        <v>0</v>
      </c>
      <c r="K88" s="4">
        <v>850</v>
      </c>
      <c r="L88" s="15">
        <f t="shared" si="30"/>
        <v>0.31597222222222199</v>
      </c>
      <c r="P88" s="100"/>
      <c r="Q88" s="67">
        <v>85</v>
      </c>
      <c r="R88" s="80">
        <f t="shared" si="27"/>
        <v>0.242361111111113</v>
      </c>
      <c r="S88" s="85">
        <f t="shared" si="34"/>
        <v>0.21458333333333501</v>
      </c>
      <c r="T88" s="623"/>
      <c r="V88" s="66"/>
      <c r="W88" s="67">
        <v>84</v>
      </c>
      <c r="X88" s="52">
        <f t="shared" si="28"/>
        <v>0.31458333333334099</v>
      </c>
      <c r="Y88" s="85">
        <f t="shared" si="35"/>
        <v>0.30069444444445198</v>
      </c>
      <c r="Z88" s="186"/>
      <c r="AB88" s="66"/>
      <c r="AC88" s="67">
        <v>84</v>
      </c>
      <c r="AD88" s="52">
        <f t="shared" si="29"/>
        <v>0.31458333333334099</v>
      </c>
      <c r="AE88" s="85">
        <f t="shared" si="36"/>
        <v>0.30069444444445198</v>
      </c>
      <c r="AF88" s="186"/>
    </row>
    <row r="89" spans="1:32" ht="14.65" customHeight="1" x14ac:dyDescent="0.25">
      <c r="A89" s="30"/>
      <c r="B89" s="33"/>
      <c r="C89" s="380">
        <f>B91*24</f>
        <v>0.33</v>
      </c>
      <c r="H89" s="42"/>
      <c r="K89" s="4">
        <v>860</v>
      </c>
      <c r="L89" s="15">
        <f t="shared" si="30"/>
        <v>0.31944444444444398</v>
      </c>
      <c r="P89" s="100"/>
      <c r="Q89" s="67">
        <v>86</v>
      </c>
      <c r="R89" s="80">
        <f t="shared" si="27"/>
        <v>0.24722222222222401</v>
      </c>
      <c r="S89" s="85">
        <f t="shared" si="34"/>
        <v>0.219444444444446</v>
      </c>
      <c r="T89" s="623"/>
      <c r="V89" s="66"/>
      <c r="W89" s="67">
        <v>85</v>
      </c>
      <c r="X89" s="52">
        <f t="shared" si="28"/>
        <v>0.31944444444445202</v>
      </c>
      <c r="Y89" s="85">
        <f t="shared" si="35"/>
        <v>0.30555555555556302</v>
      </c>
      <c r="Z89" s="186"/>
      <c r="AB89" s="66"/>
      <c r="AC89" s="67">
        <v>85</v>
      </c>
      <c r="AD89" s="52">
        <f t="shared" si="29"/>
        <v>0.31944444444445202</v>
      </c>
      <c r="AE89" s="85">
        <f t="shared" si="36"/>
        <v>0.30555555555556302</v>
      </c>
      <c r="AF89" s="186"/>
    </row>
    <row r="90" spans="1:32" ht="14.65" customHeight="1" x14ac:dyDescent="0.25">
      <c r="A90" s="330" t="s">
        <v>166</v>
      </c>
      <c r="B90" s="335" t="e">
        <f>B91/E5</f>
        <v>#DIV/0!</v>
      </c>
      <c r="C90" s="381" t="s">
        <v>37</v>
      </c>
      <c r="H90" s="43"/>
      <c r="K90" s="4">
        <v>870</v>
      </c>
      <c r="L90" s="15">
        <f t="shared" si="30"/>
        <v>0.32291666666666602</v>
      </c>
      <c r="P90" s="100"/>
      <c r="Q90" s="67">
        <v>87</v>
      </c>
      <c r="R90" s="80">
        <f t="shared" si="27"/>
        <v>0.25208333333333499</v>
      </c>
      <c r="S90" s="85">
        <f t="shared" si="34"/>
        <v>0.22430555555555701</v>
      </c>
      <c r="T90" s="623"/>
      <c r="V90" s="66"/>
      <c r="W90" s="67">
        <v>86</v>
      </c>
      <c r="X90" s="52">
        <f t="shared" si="28"/>
        <v>0.32430555555556301</v>
      </c>
      <c r="Y90" s="85">
        <f t="shared" si="35"/>
        <v>0.310416666666674</v>
      </c>
      <c r="Z90" s="186"/>
      <c r="AB90" s="66"/>
      <c r="AC90" s="67">
        <v>86</v>
      </c>
      <c r="AD90" s="52">
        <f t="shared" si="29"/>
        <v>0.32430555555556301</v>
      </c>
      <c r="AE90" s="85">
        <f t="shared" si="36"/>
        <v>0.310416666666674</v>
      </c>
      <c r="AF90" s="186"/>
    </row>
    <row r="91" spans="1:32" ht="15" customHeight="1" thickBot="1" x14ac:dyDescent="0.3">
      <c r="A91" s="314" t="s">
        <v>167</v>
      </c>
      <c r="B91" s="336">
        <f>B42+B57+B72+B78+B88</f>
        <v>1.38888888888889E-2</v>
      </c>
      <c r="C91" s="382">
        <f>C89/7</f>
        <v>0.05</v>
      </c>
      <c r="K91" s="4">
        <v>880</v>
      </c>
      <c r="L91" s="15">
        <f t="shared" si="30"/>
        <v>0.32638888888888901</v>
      </c>
      <c r="P91" s="100"/>
      <c r="Q91" s="67">
        <v>88</v>
      </c>
      <c r="R91" s="80">
        <f t="shared" si="27"/>
        <v>0.25694444444444597</v>
      </c>
      <c r="S91" s="85">
        <f t="shared" si="34"/>
        <v>0.22916666666666799</v>
      </c>
      <c r="T91" s="623"/>
      <c r="V91" s="66"/>
      <c r="W91" s="67">
        <v>87</v>
      </c>
      <c r="X91" s="52">
        <f t="shared" si="28"/>
        <v>0.32916666666667399</v>
      </c>
      <c r="Y91" s="85">
        <f t="shared" si="35"/>
        <v>0.31527777777778498</v>
      </c>
      <c r="Z91" s="186"/>
      <c r="AB91" s="66"/>
      <c r="AC91" s="67">
        <v>87</v>
      </c>
      <c r="AD91" s="52">
        <f t="shared" si="29"/>
        <v>0.32916666666667399</v>
      </c>
      <c r="AE91" s="85">
        <f t="shared" si="36"/>
        <v>0.31527777777778498</v>
      </c>
      <c r="AF91" s="186"/>
    </row>
    <row r="92" spans="1:32" ht="15" customHeight="1" thickBot="1" x14ac:dyDescent="0.3">
      <c r="A92" s="30"/>
      <c r="B92" s="30"/>
      <c r="C92" s="388"/>
      <c r="H92" s="45"/>
      <c r="K92" s="4">
        <v>890</v>
      </c>
      <c r="L92" s="15">
        <f t="shared" si="30"/>
        <v>0.32986111111111099</v>
      </c>
      <c r="P92" s="100"/>
      <c r="Q92" s="67">
        <v>89</v>
      </c>
      <c r="R92" s="80">
        <f t="shared" si="27"/>
        <v>0.26180555555555701</v>
      </c>
      <c r="S92" s="85">
        <f t="shared" si="34"/>
        <v>0.234027777777779</v>
      </c>
      <c r="T92" s="623"/>
      <c r="V92" s="66"/>
      <c r="W92" s="67">
        <v>88</v>
      </c>
      <c r="X92" s="52">
        <f t="shared" si="28"/>
        <v>0.33402777777778497</v>
      </c>
      <c r="Y92" s="85">
        <f t="shared" si="35"/>
        <v>0.32013888888889602</v>
      </c>
      <c r="Z92" s="186"/>
      <c r="AB92" s="66"/>
      <c r="AC92" s="67">
        <v>88</v>
      </c>
      <c r="AD92" s="52">
        <f t="shared" si="29"/>
        <v>0.33402777777778497</v>
      </c>
      <c r="AE92" s="85">
        <f t="shared" si="36"/>
        <v>0.32013888888889602</v>
      </c>
      <c r="AF92" s="186"/>
    </row>
    <row r="93" spans="1:32" ht="14.65" customHeight="1" x14ac:dyDescent="0.25">
      <c r="A93" s="362" t="s">
        <v>168</v>
      </c>
      <c r="B93" s="12">
        <f>H46</f>
        <v>0</v>
      </c>
      <c r="C93" s="389"/>
      <c r="K93" s="4">
        <v>1410</v>
      </c>
      <c r="L93" s="15">
        <f t="shared" si="30"/>
        <v>0.51041666666666596</v>
      </c>
      <c r="P93" s="100"/>
      <c r="Q93" s="67">
        <v>90</v>
      </c>
      <c r="R93" s="80">
        <f t="shared" si="27"/>
        <v>0.266666666666668</v>
      </c>
      <c r="S93" s="85">
        <f t="shared" si="34"/>
        <v>0.23888888888889001</v>
      </c>
      <c r="T93" s="623"/>
      <c r="V93" s="66"/>
      <c r="W93" s="67">
        <v>89</v>
      </c>
      <c r="X93" s="52">
        <f t="shared" si="28"/>
        <v>0.33888888888889601</v>
      </c>
      <c r="Y93" s="85">
        <f t="shared" si="35"/>
        <v>0.32500000000000701</v>
      </c>
      <c r="Z93" s="186"/>
      <c r="AB93" s="66"/>
      <c r="AC93" s="67">
        <v>89</v>
      </c>
      <c r="AD93" s="52">
        <f t="shared" si="29"/>
        <v>0.33888888888889601</v>
      </c>
      <c r="AE93" s="85">
        <f t="shared" si="36"/>
        <v>0.32500000000000701</v>
      </c>
      <c r="AF93" s="186"/>
    </row>
    <row r="94" spans="1:32" ht="14.65" customHeight="1" x14ac:dyDescent="0.25">
      <c r="A94" s="4" t="s">
        <v>120</v>
      </c>
      <c r="B94" s="38">
        <f>H48</f>
        <v>8.1018518518518503E-5</v>
      </c>
      <c r="C94" s="244"/>
      <c r="K94" s="4">
        <v>1420</v>
      </c>
      <c r="L94" s="15">
        <f t="shared" si="30"/>
        <v>0.51388888888888895</v>
      </c>
      <c r="P94" s="100"/>
      <c r="Q94" s="67">
        <v>91</v>
      </c>
      <c r="R94" s="80">
        <f t="shared" si="27"/>
        <v>0.27152777777777898</v>
      </c>
      <c r="S94" s="85">
        <f t="shared" si="34"/>
        <v>0.24375000000000099</v>
      </c>
      <c r="T94" s="623"/>
      <c r="V94" s="66"/>
      <c r="W94" s="67">
        <v>90</v>
      </c>
      <c r="X94" s="52">
        <f t="shared" si="28"/>
        <v>0.34375000000000699</v>
      </c>
      <c r="Y94" s="85">
        <f t="shared" si="35"/>
        <v>0.32986111111111799</v>
      </c>
      <c r="Z94" s="186"/>
      <c r="AB94" s="66"/>
      <c r="AC94" s="67">
        <v>90</v>
      </c>
      <c r="AD94" s="52">
        <f t="shared" si="29"/>
        <v>0.34375000000000699</v>
      </c>
      <c r="AE94" s="85">
        <f t="shared" si="36"/>
        <v>0.32986111111111799</v>
      </c>
      <c r="AF94" s="186"/>
    </row>
    <row r="95" spans="1:32" ht="14.65" customHeight="1" x14ac:dyDescent="0.25">
      <c r="A95" s="4" t="s">
        <v>169</v>
      </c>
      <c r="B95" s="15">
        <f>B93*B94</f>
        <v>0</v>
      </c>
      <c r="C95" s="244"/>
      <c r="D95" s="242"/>
      <c r="E95" s="242"/>
      <c r="F95" s="242"/>
      <c r="K95" s="4">
        <v>1430</v>
      </c>
      <c r="L95" s="15">
        <f t="shared" si="30"/>
        <v>0.51736111111111105</v>
      </c>
      <c r="P95" s="100"/>
      <c r="Q95" s="67">
        <v>92</v>
      </c>
      <c r="R95" s="80">
        <f t="shared" si="27"/>
        <v>0.27638888888889002</v>
      </c>
      <c r="S95" s="85">
        <f t="shared" si="34"/>
        <v>0.248611111111112</v>
      </c>
      <c r="T95" s="623"/>
      <c r="V95" s="66"/>
      <c r="W95" s="67">
        <v>91</v>
      </c>
      <c r="X95" s="52">
        <f t="shared" si="28"/>
        <v>0.34861111111111798</v>
      </c>
      <c r="Y95" s="85">
        <f t="shared" si="35"/>
        <v>0.33472222222222903</v>
      </c>
      <c r="Z95" s="186"/>
      <c r="AB95" s="66"/>
      <c r="AC95" s="67">
        <v>91</v>
      </c>
      <c r="AD95" s="52">
        <f t="shared" si="29"/>
        <v>0.34861111111111798</v>
      </c>
      <c r="AE95" s="85">
        <f t="shared" si="36"/>
        <v>0.33472222222222903</v>
      </c>
      <c r="AF95" s="186"/>
    </row>
    <row r="96" spans="1:32" ht="14.65" customHeight="1" x14ac:dyDescent="0.25">
      <c r="A96" s="4" t="s">
        <v>170</v>
      </c>
      <c r="B96" s="38">
        <f>H58</f>
        <v>1.38888888888889E-2</v>
      </c>
      <c r="C96" s="244"/>
      <c r="E96" s="47"/>
      <c r="F96" s="245"/>
      <c r="K96" s="4">
        <v>1440</v>
      </c>
      <c r="L96" s="15">
        <f t="shared" si="30"/>
        <v>0.52083333333333304</v>
      </c>
      <c r="P96" s="100"/>
      <c r="Q96" s="67">
        <v>93</v>
      </c>
      <c r="R96" s="80">
        <f t="shared" si="27"/>
        <v>0.281250000000001</v>
      </c>
      <c r="S96" s="85">
        <f t="shared" si="34"/>
        <v>0.25347222222222299</v>
      </c>
      <c r="T96" s="623"/>
      <c r="V96" s="66"/>
      <c r="W96" s="67">
        <v>92</v>
      </c>
      <c r="X96" s="52">
        <f t="shared" si="28"/>
        <v>0.35347222222222902</v>
      </c>
      <c r="Y96" s="85">
        <f t="shared" si="35"/>
        <v>0.33958333333334001</v>
      </c>
      <c r="Z96" s="186"/>
      <c r="AB96" s="66"/>
      <c r="AC96" s="67">
        <v>92</v>
      </c>
      <c r="AD96" s="52">
        <f t="shared" si="29"/>
        <v>0.35347222222222902</v>
      </c>
      <c r="AE96" s="85">
        <f t="shared" si="36"/>
        <v>0.33958333333334001</v>
      </c>
      <c r="AF96" s="186"/>
    </row>
    <row r="97" spans="1:32" ht="14.65" customHeight="1" x14ac:dyDescent="0.25">
      <c r="A97" s="4" t="s">
        <v>171</v>
      </c>
      <c r="B97" s="4">
        <f>H45</f>
        <v>0</v>
      </c>
      <c r="C97" s="244"/>
      <c r="F97" s="18"/>
      <c r="K97" s="4">
        <v>1450</v>
      </c>
      <c r="L97" s="15">
        <f t="shared" si="30"/>
        <v>0.52430555555555503</v>
      </c>
      <c r="P97" s="100"/>
      <c r="Q97" s="67">
        <v>94</v>
      </c>
      <c r="R97" s="80">
        <f t="shared" si="27"/>
        <v>0.28611111111111198</v>
      </c>
      <c r="S97" s="85">
        <f t="shared" si="34"/>
        <v>0.25833333333333403</v>
      </c>
      <c r="T97" s="623"/>
      <c r="V97" s="66"/>
      <c r="W97" s="67">
        <v>93</v>
      </c>
      <c r="X97" s="52">
        <f t="shared" si="28"/>
        <v>0.35833333333334</v>
      </c>
      <c r="Y97" s="85">
        <f t="shared" si="35"/>
        <v>0.34444444444445099</v>
      </c>
      <c r="Z97" s="186"/>
      <c r="AB97" s="66"/>
      <c r="AC97" s="67">
        <v>93</v>
      </c>
      <c r="AD97" s="52">
        <f t="shared" si="29"/>
        <v>0.35833333333334</v>
      </c>
      <c r="AE97" s="85">
        <f t="shared" si="36"/>
        <v>0.34444444444445099</v>
      </c>
      <c r="AF97" s="186"/>
    </row>
    <row r="98" spans="1:32" ht="14.65" customHeight="1" x14ac:dyDescent="0.25">
      <c r="A98" s="4" t="s">
        <v>172</v>
      </c>
      <c r="B98" s="116">
        <f>H47*E15</f>
        <v>0</v>
      </c>
      <c r="C98" s="244"/>
      <c r="F98" s="18"/>
      <c r="K98" s="4">
        <v>1460</v>
      </c>
      <c r="L98" s="15">
        <f t="shared" si="30"/>
        <v>0.52777777777777701</v>
      </c>
      <c r="P98" s="100"/>
      <c r="Q98" s="67">
        <v>95</v>
      </c>
      <c r="R98" s="80">
        <f t="shared" si="27"/>
        <v>0.29097222222222302</v>
      </c>
      <c r="S98" s="85">
        <f t="shared" si="34"/>
        <v>0.26319444444444501</v>
      </c>
      <c r="T98" s="623"/>
      <c r="V98" s="66"/>
      <c r="W98" s="67">
        <v>94</v>
      </c>
      <c r="X98" s="52">
        <f t="shared" si="28"/>
        <v>0.36319444444445098</v>
      </c>
      <c r="Y98" s="85">
        <f t="shared" si="35"/>
        <v>0.34930555555556198</v>
      </c>
      <c r="Z98" s="186"/>
      <c r="AB98" s="66"/>
      <c r="AC98" s="67">
        <v>94</v>
      </c>
      <c r="AD98" s="52">
        <f t="shared" si="29"/>
        <v>0.36319444444445098</v>
      </c>
      <c r="AE98" s="85">
        <f t="shared" si="36"/>
        <v>0.34930555555556198</v>
      </c>
      <c r="AF98" s="186"/>
    </row>
    <row r="99" spans="1:32" ht="14.65" customHeight="1" x14ac:dyDescent="0.25">
      <c r="A99" s="4" t="s">
        <v>173</v>
      </c>
      <c r="B99" s="15">
        <f>(H47*E15)*E4</f>
        <v>0</v>
      </c>
      <c r="C99" s="244"/>
      <c r="F99" s="18"/>
      <c r="K99" s="4">
        <v>1470</v>
      </c>
      <c r="L99" s="15">
        <f t="shared" si="30"/>
        <v>0.53125</v>
      </c>
      <c r="P99" s="100"/>
      <c r="Q99" s="67">
        <v>96</v>
      </c>
      <c r="R99" s="80">
        <f t="shared" si="27"/>
        <v>0.295833333333334</v>
      </c>
      <c r="S99" s="85">
        <f t="shared" si="34"/>
        <v>0.26805555555555599</v>
      </c>
      <c r="T99" s="623"/>
      <c r="V99" s="66"/>
      <c r="W99" s="67">
        <v>95</v>
      </c>
      <c r="X99" s="52">
        <f t="shared" si="28"/>
        <v>0.36805555555556202</v>
      </c>
      <c r="Y99" s="85">
        <f t="shared" si="35"/>
        <v>0.35416666666667301</v>
      </c>
      <c r="Z99" s="186"/>
      <c r="AB99" s="66"/>
      <c r="AC99" s="67">
        <v>95</v>
      </c>
      <c r="AD99" s="52">
        <f t="shared" si="29"/>
        <v>0.36805555555556202</v>
      </c>
      <c r="AE99" s="85">
        <f t="shared" si="36"/>
        <v>0.35416666666667301</v>
      </c>
      <c r="AF99" s="186"/>
    </row>
    <row r="100" spans="1:32" ht="14.65" customHeight="1" x14ac:dyDescent="0.25">
      <c r="A100" s="4"/>
      <c r="B100" s="4"/>
      <c r="C100" s="244"/>
      <c r="F100" s="18"/>
      <c r="K100" s="4">
        <v>1480</v>
      </c>
      <c r="L100" s="15">
        <f t="shared" si="30"/>
        <v>0.53472222222222199</v>
      </c>
      <c r="P100" s="100"/>
      <c r="Q100" s="67">
        <v>97</v>
      </c>
      <c r="R100" s="80">
        <f t="shared" si="27"/>
        <v>0.30069444444444499</v>
      </c>
      <c r="S100" s="85">
        <f t="shared" si="34"/>
        <v>0.27291666666666697</v>
      </c>
      <c r="T100" s="623"/>
      <c r="V100" s="66"/>
      <c r="W100" s="67">
        <v>96</v>
      </c>
      <c r="X100" s="52">
        <f t="shared" si="28"/>
        <v>0.372916666666673</v>
      </c>
      <c r="Y100" s="85">
        <f t="shared" si="35"/>
        <v>0.359027777777784</v>
      </c>
      <c r="Z100" s="186"/>
      <c r="AB100" s="66"/>
      <c r="AC100" s="67">
        <v>96</v>
      </c>
      <c r="AD100" s="52">
        <f t="shared" si="29"/>
        <v>0.372916666666673</v>
      </c>
      <c r="AE100" s="85">
        <f t="shared" si="36"/>
        <v>0.359027777777784</v>
      </c>
      <c r="AF100" s="186"/>
    </row>
    <row r="101" spans="1:32" ht="14.65" customHeight="1" x14ac:dyDescent="0.25">
      <c r="A101" s="4" t="s">
        <v>174</v>
      </c>
      <c r="B101" s="37" t="e">
        <f>B103/E4</f>
        <v>#DIV/0!</v>
      </c>
      <c r="C101" s="244"/>
      <c r="F101" s="18"/>
      <c r="K101" s="4">
        <v>1490</v>
      </c>
      <c r="L101" s="15">
        <f t="shared" si="30"/>
        <v>0.53819444444444398</v>
      </c>
      <c r="P101" s="100"/>
      <c r="Q101" s="67">
        <v>98</v>
      </c>
      <c r="R101" s="80">
        <f t="shared" ref="R101:R132" si="37">$R$4+S101</f>
        <v>0.30555555555555602</v>
      </c>
      <c r="S101" s="85">
        <f t="shared" si="34"/>
        <v>0.27777777777777801</v>
      </c>
      <c r="T101" s="623"/>
      <c r="V101" s="66"/>
      <c r="W101" s="67">
        <v>97</v>
      </c>
      <c r="X101" s="52">
        <f t="shared" si="28"/>
        <v>0.37777777777778399</v>
      </c>
      <c r="Y101" s="85">
        <f t="shared" si="35"/>
        <v>0.36388888888889498</v>
      </c>
      <c r="Z101" s="186"/>
      <c r="AB101" s="66"/>
      <c r="AC101" s="67">
        <v>97</v>
      </c>
      <c r="AD101" s="52">
        <f t="shared" si="29"/>
        <v>0.37777777777778399</v>
      </c>
      <c r="AE101" s="85">
        <f t="shared" si="36"/>
        <v>0.36388888888889498</v>
      </c>
      <c r="AF101" s="186"/>
    </row>
    <row r="102" spans="1:32" ht="15" customHeight="1" thickBot="1" x14ac:dyDescent="0.3">
      <c r="A102" s="4" t="s">
        <v>175</v>
      </c>
      <c r="B102" s="35" t="e">
        <f>B103/E5</f>
        <v>#DIV/0!</v>
      </c>
      <c r="C102" s="380">
        <f>B104*24</f>
        <v>0</v>
      </c>
      <c r="F102" s="246"/>
      <c r="K102" s="4">
        <v>1500</v>
      </c>
      <c r="L102" s="15">
        <f t="shared" si="30"/>
        <v>0.54166666666666596</v>
      </c>
      <c r="P102" s="100"/>
      <c r="Q102" s="67">
        <v>99</v>
      </c>
      <c r="R102" s="80">
        <f t="shared" si="37"/>
        <v>0.31041666666666701</v>
      </c>
      <c r="S102" s="85">
        <f t="shared" si="34"/>
        <v>0.28263888888888899</v>
      </c>
      <c r="T102" s="623"/>
      <c r="V102" s="66"/>
      <c r="W102" s="67">
        <v>98</v>
      </c>
      <c r="X102" s="52">
        <f t="shared" ref="X102:X133" si="38">$X$5+Y102</f>
        <v>0.38263888888889502</v>
      </c>
      <c r="Y102" s="85">
        <f t="shared" si="35"/>
        <v>0.36875000000000602</v>
      </c>
      <c r="Z102" s="186"/>
      <c r="AB102" s="66"/>
      <c r="AC102" s="67">
        <v>98</v>
      </c>
      <c r="AD102" s="52">
        <f t="shared" ref="AD102:AD133" si="39">$AD$5+AE102</f>
        <v>0.38263888888889502</v>
      </c>
      <c r="AE102" s="85">
        <f t="shared" si="36"/>
        <v>0.36875000000000602</v>
      </c>
      <c r="AF102" s="186"/>
    </row>
    <row r="103" spans="1:32" ht="15.75" thickBot="1" x14ac:dyDescent="0.3">
      <c r="A103" s="4" t="s">
        <v>176</v>
      </c>
      <c r="B103" s="328">
        <f>(B93*B94)+B96+B99</f>
        <v>1.38888888888889E-2</v>
      </c>
      <c r="C103" s="381" t="s">
        <v>37</v>
      </c>
      <c r="F103" s="18"/>
      <c r="K103" s="4">
        <v>1510</v>
      </c>
      <c r="L103" s="15">
        <f t="shared" si="30"/>
        <v>0.54513888888888895</v>
      </c>
      <c r="P103" s="91" t="s">
        <v>177</v>
      </c>
      <c r="Q103" s="69">
        <v>100</v>
      </c>
      <c r="R103" s="70">
        <f t="shared" si="37"/>
        <v>0.31736111111111098</v>
      </c>
      <c r="S103" s="392">
        <f>S102+$T$103</f>
        <v>0.28958333333333303</v>
      </c>
      <c r="T103" s="639">
        <v>6.9444444444444397E-3</v>
      </c>
      <c r="V103" s="66"/>
      <c r="W103" s="67">
        <v>99</v>
      </c>
      <c r="X103" s="52">
        <f t="shared" si="38"/>
        <v>0.38750000000000601</v>
      </c>
      <c r="Y103" s="85">
        <f t="shared" si="35"/>
        <v>0.373611111111117</v>
      </c>
      <c r="Z103" s="186"/>
      <c r="AB103" s="66"/>
      <c r="AC103" s="67">
        <v>99</v>
      </c>
      <c r="AD103" s="52">
        <f t="shared" si="39"/>
        <v>0.38750000000000601</v>
      </c>
      <c r="AE103" s="85">
        <f t="shared" si="36"/>
        <v>0.373611111111117</v>
      </c>
      <c r="AF103" s="186"/>
    </row>
    <row r="104" spans="1:32" ht="14.65" customHeight="1" x14ac:dyDescent="0.25">
      <c r="A104" s="329" t="s">
        <v>178</v>
      </c>
      <c r="B104" s="28">
        <f>IF(E15&gt;0,B103,0)</f>
        <v>0</v>
      </c>
      <c r="C104" s="382">
        <f>C102/7</f>
        <v>0</v>
      </c>
      <c r="F104" s="18"/>
      <c r="K104" s="4">
        <v>1520</v>
      </c>
      <c r="L104" s="15">
        <f t="shared" si="30"/>
        <v>0.54861111111111105</v>
      </c>
      <c r="P104" s="91"/>
      <c r="Q104" s="69">
        <v>101</v>
      </c>
      <c r="R104" s="70">
        <f t="shared" si="37"/>
        <v>0.32430555555555501</v>
      </c>
      <c r="S104" s="392">
        <f>S103+$T$103</f>
        <v>0.296527777777777</v>
      </c>
      <c r="T104" s="640"/>
      <c r="V104" s="68" t="s">
        <v>179</v>
      </c>
      <c r="W104" s="69">
        <v>100</v>
      </c>
      <c r="X104" s="52">
        <f t="shared" si="38"/>
        <v>0.39444444444444998</v>
      </c>
      <c r="Y104" s="71">
        <f t="shared" ref="Y104:Y135" si="40">Y103+$Z$104</f>
        <v>0.38055555555556098</v>
      </c>
      <c r="Z104" s="187">
        <v>6.9444444444444397E-3</v>
      </c>
      <c r="AB104" s="68" t="s">
        <v>179</v>
      </c>
      <c r="AC104" s="69">
        <v>100</v>
      </c>
      <c r="AD104" s="52">
        <f t="shared" si="39"/>
        <v>0.39444444444444998</v>
      </c>
      <c r="AE104" s="71">
        <f t="shared" ref="AE104:AE135" si="41">AE103+$AF$104</f>
        <v>0.38055555555556098</v>
      </c>
      <c r="AF104" s="187">
        <v>6.9444444444444397E-3</v>
      </c>
    </row>
    <row r="105" spans="1:32" ht="15" customHeight="1" thickBot="1" x14ac:dyDescent="0.3">
      <c r="A105" s="30"/>
      <c r="B105" s="30"/>
      <c r="C105" s="244"/>
      <c r="F105" s="18"/>
      <c r="K105" s="4">
        <v>1530</v>
      </c>
      <c r="L105" s="15">
        <f t="shared" ref="L105:L136" si="42">$L$6+(((K105-$K$6)/10)*$M$2)</f>
        <v>0.55208333333333304</v>
      </c>
      <c r="P105" s="91"/>
      <c r="Q105" s="69">
        <v>102</v>
      </c>
      <c r="R105" s="70">
        <f t="shared" si="37"/>
        <v>0.327430555555555</v>
      </c>
      <c r="S105" s="392">
        <f t="shared" ref="S105:S136" si="43">S104+$T$64</f>
        <v>0.29965277777777699</v>
      </c>
      <c r="T105" s="640"/>
      <c r="V105" s="68"/>
      <c r="W105" s="69">
        <v>101</v>
      </c>
      <c r="X105" s="52">
        <f t="shared" si="38"/>
        <v>0.40138888888889401</v>
      </c>
      <c r="Y105" s="71">
        <f t="shared" si="40"/>
        <v>0.38750000000000501</v>
      </c>
      <c r="Z105" s="187"/>
      <c r="AB105" s="68"/>
      <c r="AC105" s="69">
        <v>101</v>
      </c>
      <c r="AD105" s="52">
        <f t="shared" si="39"/>
        <v>0.40138888888889401</v>
      </c>
      <c r="AE105" s="71">
        <f t="shared" si="41"/>
        <v>0.38750000000000501</v>
      </c>
      <c r="AF105" s="187"/>
    </row>
    <row r="106" spans="1:32" ht="14.65" customHeight="1" x14ac:dyDescent="0.25">
      <c r="A106" s="8" t="s">
        <v>135</v>
      </c>
      <c r="B106" s="36">
        <f>H55</f>
        <v>6.9444444444444404E-4</v>
      </c>
      <c r="C106" s="244"/>
      <c r="F106" s="43"/>
      <c r="K106" s="4">
        <v>1540</v>
      </c>
      <c r="L106" s="15">
        <f t="shared" si="42"/>
        <v>0.55555555555555503</v>
      </c>
      <c r="P106" s="91"/>
      <c r="Q106" s="69">
        <v>103</v>
      </c>
      <c r="R106" s="70">
        <f t="shared" si="37"/>
        <v>0.33055555555555499</v>
      </c>
      <c r="S106" s="392">
        <f t="shared" si="43"/>
        <v>0.30277777777777698</v>
      </c>
      <c r="T106" s="640"/>
      <c r="V106" s="68"/>
      <c r="W106" s="69">
        <v>102</v>
      </c>
      <c r="X106" s="52">
        <f t="shared" si="38"/>
        <v>0.40833333333333799</v>
      </c>
      <c r="Y106" s="71">
        <f t="shared" si="40"/>
        <v>0.39444444444444898</v>
      </c>
      <c r="Z106" s="187"/>
      <c r="AB106" s="68"/>
      <c r="AC106" s="69">
        <v>102</v>
      </c>
      <c r="AD106" s="52">
        <f t="shared" si="39"/>
        <v>0.40833333333333799</v>
      </c>
      <c r="AE106" s="71">
        <f t="shared" si="41"/>
        <v>0.39444444444444898</v>
      </c>
      <c r="AF106" s="187"/>
    </row>
    <row r="107" spans="1:32" ht="15" customHeight="1" thickBot="1" x14ac:dyDescent="0.3">
      <c r="A107" s="41" t="s">
        <v>180</v>
      </c>
      <c r="B107" s="19">
        <f>B106*E4</f>
        <v>0</v>
      </c>
      <c r="C107" s="244"/>
      <c r="K107" s="4">
        <v>1550</v>
      </c>
      <c r="L107" s="15">
        <f t="shared" si="42"/>
        <v>0.55902777777777701</v>
      </c>
      <c r="P107" s="91"/>
      <c r="Q107" s="69">
        <v>104</v>
      </c>
      <c r="R107" s="70">
        <f t="shared" si="37"/>
        <v>0.33368055555555498</v>
      </c>
      <c r="S107" s="392">
        <f t="shared" si="43"/>
        <v>0.30590277777777702</v>
      </c>
      <c r="T107" s="640"/>
      <c r="V107" s="68"/>
      <c r="W107" s="69">
        <v>103</v>
      </c>
      <c r="X107" s="52">
        <f t="shared" si="38"/>
        <v>0.41527777777778202</v>
      </c>
      <c r="Y107" s="71">
        <f t="shared" si="40"/>
        <v>0.40138888888889301</v>
      </c>
      <c r="Z107" s="187"/>
      <c r="AB107" s="68"/>
      <c r="AC107" s="69">
        <v>103</v>
      </c>
      <c r="AD107" s="52">
        <f t="shared" si="39"/>
        <v>0.41527777777778202</v>
      </c>
      <c r="AE107" s="71">
        <f t="shared" si="41"/>
        <v>0.40138888888889301</v>
      </c>
      <c r="AF107" s="187"/>
    </row>
    <row r="108" spans="1:32" ht="14.65" customHeight="1" x14ac:dyDescent="0.25">
      <c r="A108" t="s">
        <v>137</v>
      </c>
      <c r="B108" s="262">
        <f>H56</f>
        <v>0</v>
      </c>
      <c r="C108" s="244"/>
      <c r="D108" s="244"/>
      <c r="E108" s="244"/>
      <c r="F108" s="43"/>
      <c r="K108" s="4">
        <v>1560</v>
      </c>
      <c r="L108" s="15">
        <f t="shared" si="42"/>
        <v>0.5625</v>
      </c>
      <c r="P108" s="91"/>
      <c r="Q108" s="69">
        <v>105</v>
      </c>
      <c r="R108" s="70">
        <f t="shared" si="37"/>
        <v>0.33680555555555503</v>
      </c>
      <c r="S108" s="392">
        <f t="shared" si="43"/>
        <v>0.30902777777777701</v>
      </c>
      <c r="T108" s="640"/>
      <c r="V108" s="68"/>
      <c r="W108" s="69">
        <v>104</v>
      </c>
      <c r="X108" s="52">
        <f t="shared" si="38"/>
        <v>0.422222222222226</v>
      </c>
      <c r="Y108" s="71">
        <f t="shared" si="40"/>
        <v>0.40833333333333699</v>
      </c>
      <c r="Z108" s="187"/>
      <c r="AB108" s="68"/>
      <c r="AC108" s="69">
        <v>104</v>
      </c>
      <c r="AD108" s="52">
        <f t="shared" si="39"/>
        <v>0.422222222222226</v>
      </c>
      <c r="AE108" s="71">
        <f t="shared" si="41"/>
        <v>0.40833333333333699</v>
      </c>
      <c r="AF108" s="187"/>
    </row>
    <row r="109" spans="1:32" ht="14.65" customHeight="1" x14ac:dyDescent="0.25">
      <c r="A109" s="30"/>
      <c r="B109" s="30"/>
      <c r="C109" s="244"/>
      <c r="E109" s="18"/>
      <c r="K109" s="4">
        <v>1570</v>
      </c>
      <c r="L109" s="15">
        <f t="shared" si="42"/>
        <v>0.56597222222222199</v>
      </c>
      <c r="P109" s="91"/>
      <c r="Q109" s="69">
        <v>106</v>
      </c>
      <c r="R109" s="70">
        <f t="shared" si="37"/>
        <v>0.33993055555555501</v>
      </c>
      <c r="S109" s="392">
        <f t="shared" si="43"/>
        <v>0.312152777777777</v>
      </c>
      <c r="T109" s="640"/>
      <c r="V109" s="68"/>
      <c r="W109" s="69">
        <v>105</v>
      </c>
      <c r="X109" s="52">
        <f t="shared" si="38"/>
        <v>0.42916666666667003</v>
      </c>
      <c r="Y109" s="71">
        <f t="shared" si="40"/>
        <v>0.41527777777778102</v>
      </c>
      <c r="Z109" s="187"/>
      <c r="AB109" s="68"/>
      <c r="AC109" s="69">
        <v>105</v>
      </c>
      <c r="AD109" s="52">
        <f t="shared" si="39"/>
        <v>0.42916666666667003</v>
      </c>
      <c r="AE109" s="71">
        <f t="shared" si="41"/>
        <v>0.41527777777778102</v>
      </c>
      <c r="AF109" s="187"/>
    </row>
    <row r="110" spans="1:32" ht="14.65" customHeight="1" x14ac:dyDescent="0.25">
      <c r="A110" s="123" t="s">
        <v>181</v>
      </c>
      <c r="B110" s="38">
        <f>H50</f>
        <v>3.4722222222222199E-3</v>
      </c>
      <c r="C110" s="380">
        <f>B112*24</f>
        <v>0</v>
      </c>
      <c r="E110" s="18"/>
      <c r="K110" s="4">
        <v>1580</v>
      </c>
      <c r="L110" s="15">
        <f t="shared" si="42"/>
        <v>0.56944444444444398</v>
      </c>
      <c r="P110" s="91"/>
      <c r="Q110" s="69">
        <v>107</v>
      </c>
      <c r="R110" s="70">
        <f t="shared" si="37"/>
        <v>0.343055555555555</v>
      </c>
      <c r="S110" s="392">
        <f t="shared" si="43"/>
        <v>0.31527777777777699</v>
      </c>
      <c r="T110" s="640"/>
      <c r="V110" s="68"/>
      <c r="W110" s="69">
        <v>106</v>
      </c>
      <c r="X110" s="52">
        <f t="shared" si="38"/>
        <v>0.436111111111114</v>
      </c>
      <c r="Y110" s="71">
        <f t="shared" si="40"/>
        <v>0.422222222222225</v>
      </c>
      <c r="Z110" s="187"/>
      <c r="AB110" s="68"/>
      <c r="AC110" s="69">
        <v>106</v>
      </c>
      <c r="AD110" s="52">
        <f t="shared" si="39"/>
        <v>0.436111111111114</v>
      </c>
      <c r="AE110" s="71">
        <f t="shared" si="41"/>
        <v>0.422222222222225</v>
      </c>
      <c r="AF110" s="187"/>
    </row>
    <row r="111" spans="1:32" ht="14.65" customHeight="1" x14ac:dyDescent="0.25">
      <c r="A111" s="4" t="s">
        <v>182</v>
      </c>
      <c r="B111" s="37" t="e">
        <f>(B110*E5)+H58</f>
        <v>#DIV/0!</v>
      </c>
      <c r="C111" s="381" t="s">
        <v>37</v>
      </c>
      <c r="E111" s="243"/>
      <c r="K111" s="4">
        <v>1590</v>
      </c>
      <c r="L111" s="15">
        <f t="shared" si="42"/>
        <v>0.57291666666666596</v>
      </c>
      <c r="P111" s="91"/>
      <c r="Q111" s="69">
        <v>108</v>
      </c>
      <c r="R111" s="70">
        <f t="shared" si="37"/>
        <v>0.34618055555555499</v>
      </c>
      <c r="S111" s="392">
        <f t="shared" si="43"/>
        <v>0.31840277777777698</v>
      </c>
      <c r="T111" s="640"/>
      <c r="V111" s="68"/>
      <c r="W111" s="69">
        <v>107</v>
      </c>
      <c r="X111" s="52">
        <f t="shared" si="38"/>
        <v>0.44305555555555798</v>
      </c>
      <c r="Y111" s="71">
        <f t="shared" si="40"/>
        <v>0.42916666666666903</v>
      </c>
      <c r="Z111" s="187"/>
      <c r="AB111" s="68"/>
      <c r="AC111" s="69">
        <v>107</v>
      </c>
      <c r="AD111" s="52">
        <f t="shared" si="39"/>
        <v>0.44305555555555798</v>
      </c>
      <c r="AE111" s="71">
        <f t="shared" si="41"/>
        <v>0.42916666666666903</v>
      </c>
      <c r="AF111" s="187"/>
    </row>
    <row r="112" spans="1:32" ht="14.65" customHeight="1" x14ac:dyDescent="0.25">
      <c r="A112" s="4" t="s">
        <v>183</v>
      </c>
      <c r="B112" s="28">
        <f>IF(E15&gt;0,B111,0)</f>
        <v>0</v>
      </c>
      <c r="C112" s="382">
        <f>C110/7</f>
        <v>0</v>
      </c>
      <c r="E112" s="18"/>
      <c r="K112" s="4">
        <v>1600</v>
      </c>
      <c r="L112" s="15">
        <f t="shared" si="42"/>
        <v>0.57638888888888895</v>
      </c>
      <c r="P112" s="91"/>
      <c r="Q112" s="69">
        <v>109</v>
      </c>
      <c r="R112" s="70">
        <f t="shared" si="37"/>
        <v>0.34930555555555498</v>
      </c>
      <c r="S112" s="392">
        <f t="shared" si="43"/>
        <v>0.32152777777777702</v>
      </c>
      <c r="T112" s="640"/>
      <c r="V112" s="68"/>
      <c r="W112" s="69">
        <v>108</v>
      </c>
      <c r="X112" s="52">
        <f t="shared" si="38"/>
        <v>0.45000000000000201</v>
      </c>
      <c r="Y112" s="71">
        <f t="shared" si="40"/>
        <v>0.436111111111113</v>
      </c>
      <c r="Z112" s="187"/>
      <c r="AB112" s="68"/>
      <c r="AC112" s="69">
        <v>108</v>
      </c>
      <c r="AD112" s="52">
        <f t="shared" si="39"/>
        <v>0.45000000000000201</v>
      </c>
      <c r="AE112" s="71">
        <f t="shared" si="41"/>
        <v>0.436111111111113</v>
      </c>
      <c r="AF112" s="187"/>
    </row>
    <row r="113" spans="1:32" ht="15" customHeight="1" thickBot="1" x14ac:dyDescent="0.3">
      <c r="A113" s="30"/>
      <c r="B113" s="30"/>
      <c r="C113" s="244"/>
      <c r="D113" s="46"/>
      <c r="E113" s="18"/>
      <c r="K113" s="4">
        <v>1610</v>
      </c>
      <c r="L113" s="15">
        <f t="shared" si="42"/>
        <v>0.57986111111111105</v>
      </c>
      <c r="P113" s="91"/>
      <c r="Q113" s="69">
        <v>110</v>
      </c>
      <c r="R113" s="70">
        <f t="shared" si="37"/>
        <v>0.35243055555555503</v>
      </c>
      <c r="S113" s="392">
        <f t="shared" si="43"/>
        <v>0.32465277777777701</v>
      </c>
      <c r="T113" s="640"/>
      <c r="V113" s="68"/>
      <c r="W113" s="69">
        <v>109</v>
      </c>
      <c r="X113" s="52">
        <f t="shared" si="38"/>
        <v>0.45694444444444599</v>
      </c>
      <c r="Y113" s="71">
        <f t="shared" si="40"/>
        <v>0.44305555555555698</v>
      </c>
      <c r="Z113" s="187"/>
      <c r="AB113" s="68"/>
      <c r="AC113" s="69">
        <v>109</v>
      </c>
      <c r="AD113" s="52">
        <f t="shared" si="39"/>
        <v>0.45694444444444599</v>
      </c>
      <c r="AE113" s="71">
        <f t="shared" si="41"/>
        <v>0.44305555555555698</v>
      </c>
      <c r="AF113" s="187"/>
    </row>
    <row r="114" spans="1:32" ht="15" customHeight="1" thickBot="1" x14ac:dyDescent="0.3">
      <c r="A114" s="2" t="s">
        <v>184</v>
      </c>
      <c r="B114" s="11"/>
      <c r="C114" s="244"/>
      <c r="E114" s="18"/>
      <c r="F114" s="46"/>
      <c r="K114" s="4">
        <v>1620</v>
      </c>
      <c r="L114" s="15">
        <f t="shared" si="42"/>
        <v>0.58333333333333304</v>
      </c>
      <c r="P114" s="91"/>
      <c r="Q114" s="69">
        <v>111</v>
      </c>
      <c r="R114" s="70">
        <f t="shared" si="37"/>
        <v>0.35555555555555501</v>
      </c>
      <c r="S114" s="392">
        <f t="shared" si="43"/>
        <v>0.327777777777777</v>
      </c>
      <c r="T114" s="640"/>
      <c r="V114" s="68"/>
      <c r="W114" s="69">
        <v>110</v>
      </c>
      <c r="X114" s="52">
        <f t="shared" si="38"/>
        <v>0.46388888888889002</v>
      </c>
      <c r="Y114" s="71">
        <f t="shared" si="40"/>
        <v>0.45000000000000101</v>
      </c>
      <c r="Z114" s="187"/>
      <c r="AB114" s="68"/>
      <c r="AC114" s="69">
        <v>110</v>
      </c>
      <c r="AD114" s="52">
        <f t="shared" si="39"/>
        <v>0.46388888888889002</v>
      </c>
      <c r="AE114" s="71">
        <f t="shared" si="41"/>
        <v>0.45000000000000101</v>
      </c>
      <c r="AF114" s="187"/>
    </row>
    <row r="115" spans="1:32" ht="14.65" customHeight="1" x14ac:dyDescent="0.25">
      <c r="A115" s="1" t="s">
        <v>185</v>
      </c>
      <c r="B115" s="26">
        <f>H60</f>
        <v>0</v>
      </c>
      <c r="C115" s="244"/>
      <c r="E115" s="18"/>
      <c r="K115" s="4">
        <v>1630</v>
      </c>
      <c r="L115" s="15">
        <f t="shared" si="42"/>
        <v>0.58680555555555503</v>
      </c>
      <c r="P115" s="91"/>
      <c r="Q115" s="69">
        <v>112</v>
      </c>
      <c r="R115" s="70">
        <f t="shared" si="37"/>
        <v>0.358680555555555</v>
      </c>
      <c r="S115" s="392">
        <f t="shared" si="43"/>
        <v>0.33090277777777699</v>
      </c>
      <c r="T115" s="640"/>
      <c r="V115" s="68"/>
      <c r="W115" s="69">
        <v>111</v>
      </c>
      <c r="X115" s="52">
        <f t="shared" si="38"/>
        <v>0.47083333333333399</v>
      </c>
      <c r="Y115" s="71">
        <f t="shared" si="40"/>
        <v>0.45694444444444499</v>
      </c>
      <c r="Z115" s="187"/>
      <c r="AB115" s="68"/>
      <c r="AC115" s="69">
        <v>111</v>
      </c>
      <c r="AD115" s="52">
        <f t="shared" si="39"/>
        <v>0.47083333333333399</v>
      </c>
      <c r="AE115" s="71">
        <f t="shared" si="41"/>
        <v>0.45694444444444499</v>
      </c>
      <c r="AF115" s="187"/>
    </row>
    <row r="116" spans="1:32" ht="14.65" customHeight="1" x14ac:dyDescent="0.25">
      <c r="A116" s="4" t="s">
        <v>144</v>
      </c>
      <c r="B116" s="38">
        <f>$H$61</f>
        <v>3.4722222222222202E-4</v>
      </c>
      <c r="C116" s="244"/>
      <c r="K116" s="4">
        <v>1640</v>
      </c>
      <c r="L116" s="15">
        <f t="shared" si="42"/>
        <v>0.59027777777777701</v>
      </c>
      <c r="P116" s="91"/>
      <c r="Q116" s="69">
        <v>113</v>
      </c>
      <c r="R116" s="70">
        <f t="shared" si="37"/>
        <v>0.36180555555555499</v>
      </c>
      <c r="S116" s="392">
        <f t="shared" si="43"/>
        <v>0.33402777777777698</v>
      </c>
      <c r="T116" s="640"/>
      <c r="V116" s="68"/>
      <c r="W116" s="69">
        <v>112</v>
      </c>
      <c r="X116" s="52">
        <f t="shared" si="38"/>
        <v>0.47777777777777802</v>
      </c>
      <c r="Y116" s="71">
        <f t="shared" si="40"/>
        <v>0.46388888888888902</v>
      </c>
      <c r="Z116" s="187"/>
      <c r="AB116" s="68"/>
      <c r="AC116" s="69">
        <v>112</v>
      </c>
      <c r="AD116" s="52">
        <f t="shared" si="39"/>
        <v>0.47777777777777802</v>
      </c>
      <c r="AE116" s="71">
        <f t="shared" si="41"/>
        <v>0.46388888888888902</v>
      </c>
      <c r="AF116" s="187"/>
    </row>
    <row r="117" spans="1:32" ht="14.65" customHeight="1" x14ac:dyDescent="0.25">
      <c r="A117" s="4" t="s">
        <v>186</v>
      </c>
      <c r="B117" s="15">
        <f>B115*B116</f>
        <v>0</v>
      </c>
      <c r="C117" s="244"/>
      <c r="K117" s="4">
        <v>1650</v>
      </c>
      <c r="L117" s="15">
        <f t="shared" si="42"/>
        <v>0.59375</v>
      </c>
      <c r="P117" s="91"/>
      <c r="Q117" s="69">
        <v>114</v>
      </c>
      <c r="R117" s="70">
        <f t="shared" si="37"/>
        <v>0.36493055555555498</v>
      </c>
      <c r="S117" s="392">
        <f t="shared" si="43"/>
        <v>0.33715277777777702</v>
      </c>
      <c r="T117" s="640"/>
      <c r="V117" s="68"/>
      <c r="W117" s="69">
        <v>113</v>
      </c>
      <c r="X117" s="52">
        <f t="shared" si="38"/>
        <v>0.484722222222222</v>
      </c>
      <c r="Y117" s="71">
        <f t="shared" si="40"/>
        <v>0.47083333333333299</v>
      </c>
      <c r="Z117" s="187"/>
      <c r="AB117" s="68"/>
      <c r="AC117" s="69">
        <v>113</v>
      </c>
      <c r="AD117" s="52">
        <f t="shared" si="39"/>
        <v>0.484722222222222</v>
      </c>
      <c r="AE117" s="71">
        <f t="shared" si="41"/>
        <v>0.47083333333333299</v>
      </c>
      <c r="AF117" s="187"/>
    </row>
    <row r="118" spans="1:32" ht="14.65" customHeight="1" x14ac:dyDescent="0.25">
      <c r="A118" s="4" t="s">
        <v>145</v>
      </c>
      <c r="B118" s="38">
        <f>$H$62</f>
        <v>8.1018518518518503E-5</v>
      </c>
      <c r="C118" s="244"/>
      <c r="D118" s="247"/>
      <c r="E118" s="18"/>
      <c r="F118" s="18"/>
      <c r="K118" s="4">
        <v>1660</v>
      </c>
      <c r="L118" s="15">
        <f t="shared" si="42"/>
        <v>0.59722222222222199</v>
      </c>
      <c r="P118" s="91"/>
      <c r="Q118" s="69">
        <v>115</v>
      </c>
      <c r="R118" s="70">
        <f t="shared" si="37"/>
        <v>0.36805555555555503</v>
      </c>
      <c r="S118" s="392">
        <f t="shared" si="43"/>
        <v>0.34027777777777701</v>
      </c>
      <c r="T118" s="640"/>
      <c r="V118" s="68"/>
      <c r="W118" s="69">
        <v>114</v>
      </c>
      <c r="X118" s="52">
        <f t="shared" si="38"/>
        <v>0.49166666666666597</v>
      </c>
      <c r="Y118" s="71">
        <f t="shared" si="40"/>
        <v>0.47777777777777702</v>
      </c>
      <c r="Z118" s="187"/>
      <c r="AB118" s="68"/>
      <c r="AC118" s="69">
        <v>114</v>
      </c>
      <c r="AD118" s="52">
        <f t="shared" si="39"/>
        <v>0.49166666666666597</v>
      </c>
      <c r="AE118" s="71">
        <f t="shared" si="41"/>
        <v>0.47777777777777702</v>
      </c>
      <c r="AF118" s="187"/>
    </row>
    <row r="119" spans="1:32" ht="14.65" customHeight="1" x14ac:dyDescent="0.25">
      <c r="A119" s="4" t="s">
        <v>187</v>
      </c>
      <c r="B119" s="29">
        <f>B115</f>
        <v>0</v>
      </c>
      <c r="C119" s="380">
        <f>B121*24</f>
        <v>0</v>
      </c>
      <c r="D119" s="247"/>
      <c r="E119" s="18"/>
      <c r="F119" s="18"/>
      <c r="K119" s="4">
        <v>1670</v>
      </c>
      <c r="L119" s="15">
        <f t="shared" si="42"/>
        <v>0.60069444444444398</v>
      </c>
      <c r="P119" s="91"/>
      <c r="Q119" s="69">
        <v>116</v>
      </c>
      <c r="R119" s="70">
        <f t="shared" si="37"/>
        <v>0.37118055555555501</v>
      </c>
      <c r="S119" s="392">
        <f t="shared" si="43"/>
        <v>0.343402777777777</v>
      </c>
      <c r="T119" s="640"/>
      <c r="V119" s="68"/>
      <c r="W119" s="69">
        <v>115</v>
      </c>
      <c r="X119" s="52">
        <f t="shared" si="38"/>
        <v>0.49861111111111001</v>
      </c>
      <c r="Y119" s="71">
        <f t="shared" si="40"/>
        <v>0.484722222222221</v>
      </c>
      <c r="Z119" s="187"/>
      <c r="AB119" s="68"/>
      <c r="AC119" s="69">
        <v>115</v>
      </c>
      <c r="AD119" s="52">
        <f t="shared" si="39"/>
        <v>0.49861111111111001</v>
      </c>
      <c r="AE119" s="71">
        <f t="shared" si="41"/>
        <v>0.484722222222221</v>
      </c>
      <c r="AF119" s="187"/>
    </row>
    <row r="120" spans="1:32" ht="14.65" customHeight="1" x14ac:dyDescent="0.25">
      <c r="A120" s="4" t="s">
        <v>188</v>
      </c>
      <c r="B120" s="15">
        <f>B118*B119</f>
        <v>0</v>
      </c>
      <c r="C120" s="381" t="s">
        <v>37</v>
      </c>
      <c r="E120" s="18"/>
      <c r="F120" s="18"/>
      <c r="K120" s="4">
        <v>1680</v>
      </c>
      <c r="L120" s="15">
        <f t="shared" si="42"/>
        <v>0.60416666666666596</v>
      </c>
      <c r="P120" s="91"/>
      <c r="Q120" s="69">
        <v>117</v>
      </c>
      <c r="R120" s="70">
        <f t="shared" si="37"/>
        <v>0.374305555555555</v>
      </c>
      <c r="S120" s="392">
        <f t="shared" si="43"/>
        <v>0.34652777777777699</v>
      </c>
      <c r="T120" s="640"/>
      <c r="V120" s="68"/>
      <c r="W120" s="69">
        <v>116</v>
      </c>
      <c r="X120" s="52">
        <f t="shared" si="38"/>
        <v>0.50555555555555398</v>
      </c>
      <c r="Y120" s="71">
        <f t="shared" si="40"/>
        <v>0.49166666666666498</v>
      </c>
      <c r="Z120" s="187"/>
      <c r="AB120" s="68"/>
      <c r="AC120" s="69">
        <v>116</v>
      </c>
      <c r="AD120" s="52">
        <f t="shared" si="39"/>
        <v>0.50555555555555398</v>
      </c>
      <c r="AE120" s="71">
        <f t="shared" si="41"/>
        <v>0.49166666666666498</v>
      </c>
      <c r="AF120" s="187"/>
    </row>
    <row r="121" spans="1:32" ht="14.65" customHeight="1" x14ac:dyDescent="0.25">
      <c r="A121" s="4" t="s">
        <v>189</v>
      </c>
      <c r="B121" s="28">
        <f>(B117*E4)+(B120*E4)</f>
        <v>0</v>
      </c>
      <c r="C121" s="382">
        <f>C119/7</f>
        <v>0</v>
      </c>
      <c r="E121" s="18"/>
      <c r="F121" s="18"/>
      <c r="K121" s="4">
        <v>1690</v>
      </c>
      <c r="L121" s="15">
        <f t="shared" si="42"/>
        <v>0.60763888888888895</v>
      </c>
      <c r="P121" s="91"/>
      <c r="Q121" s="69">
        <v>118</v>
      </c>
      <c r="R121" s="70">
        <f t="shared" si="37"/>
        <v>0.37743055555555499</v>
      </c>
      <c r="S121" s="392">
        <f t="shared" si="43"/>
        <v>0.34965277777777698</v>
      </c>
      <c r="T121" s="640"/>
      <c r="V121" s="68"/>
      <c r="W121" s="69">
        <v>117</v>
      </c>
      <c r="X121" s="52">
        <f t="shared" si="38"/>
        <v>0.51249999999999796</v>
      </c>
      <c r="Y121" s="71">
        <f t="shared" si="40"/>
        <v>0.49861111111110901</v>
      </c>
      <c r="Z121" s="187"/>
      <c r="AB121" s="68"/>
      <c r="AC121" s="69">
        <v>117</v>
      </c>
      <c r="AD121" s="52">
        <f t="shared" si="39"/>
        <v>0.51249999999999796</v>
      </c>
      <c r="AE121" s="71">
        <f t="shared" si="41"/>
        <v>0.49861111111110901</v>
      </c>
      <c r="AF121" s="187"/>
    </row>
    <row r="122" spans="1:32" ht="15" customHeight="1" thickBot="1" x14ac:dyDescent="0.3">
      <c r="A122" s="30"/>
      <c r="B122" s="30"/>
      <c r="C122" s="244"/>
      <c r="E122" s="18"/>
      <c r="F122" s="245"/>
      <c r="K122" s="4">
        <v>1700</v>
      </c>
      <c r="L122" s="15">
        <f t="shared" si="42"/>
        <v>0.61111111111111105</v>
      </c>
      <c r="P122" s="91"/>
      <c r="Q122" s="69">
        <v>119</v>
      </c>
      <c r="R122" s="70">
        <f t="shared" si="37"/>
        <v>0.38055555555555498</v>
      </c>
      <c r="S122" s="392">
        <f t="shared" si="43"/>
        <v>0.35277777777777702</v>
      </c>
      <c r="T122" s="640"/>
      <c r="V122" s="68"/>
      <c r="W122" s="69">
        <v>118</v>
      </c>
      <c r="X122" s="52">
        <f t="shared" si="38"/>
        <v>0.51944444444444204</v>
      </c>
      <c r="Y122" s="71">
        <f t="shared" si="40"/>
        <v>0.50555555555555298</v>
      </c>
      <c r="Z122" s="187"/>
      <c r="AB122" s="68"/>
      <c r="AC122" s="69">
        <v>118</v>
      </c>
      <c r="AD122" s="52">
        <f t="shared" si="39"/>
        <v>0.51944444444444204</v>
      </c>
      <c r="AE122" s="71">
        <f t="shared" si="41"/>
        <v>0.50555555555555298</v>
      </c>
      <c r="AF122" s="187"/>
    </row>
    <row r="123" spans="1:32" ht="15" customHeight="1" thickBot="1" x14ac:dyDescent="0.3">
      <c r="A123" s="27" t="s">
        <v>190</v>
      </c>
      <c r="B123" s="25"/>
      <c r="C123" s="244"/>
      <c r="E123" s="18"/>
      <c r="F123" s="18"/>
      <c r="K123" s="4">
        <v>1710</v>
      </c>
      <c r="L123" s="15">
        <f t="shared" si="42"/>
        <v>0.61458333333333304</v>
      </c>
      <c r="P123" s="91"/>
      <c r="Q123" s="69">
        <v>120</v>
      </c>
      <c r="R123" s="70">
        <f t="shared" si="37"/>
        <v>0.38368055555555503</v>
      </c>
      <c r="S123" s="392">
        <f t="shared" si="43"/>
        <v>0.35590277777777701</v>
      </c>
      <c r="T123" s="640"/>
      <c r="V123" s="68"/>
      <c r="W123" s="69">
        <v>119</v>
      </c>
      <c r="X123" s="52">
        <f t="shared" si="38"/>
        <v>0.52638888888888602</v>
      </c>
      <c r="Y123" s="71">
        <f t="shared" si="40"/>
        <v>0.51249999999999696</v>
      </c>
      <c r="Z123" s="187"/>
      <c r="AB123" s="68"/>
      <c r="AC123" s="69">
        <v>119</v>
      </c>
      <c r="AD123" s="52">
        <f t="shared" si="39"/>
        <v>0.52638888888888602</v>
      </c>
      <c r="AE123" s="71">
        <f t="shared" si="41"/>
        <v>0.51249999999999696</v>
      </c>
      <c r="AF123" s="187"/>
    </row>
    <row r="124" spans="1:32" ht="14.65" customHeight="1" x14ac:dyDescent="0.25">
      <c r="A124" s="23" t="s">
        <v>146</v>
      </c>
      <c r="B124" s="39">
        <f>H63</f>
        <v>0</v>
      </c>
      <c r="C124" s="380" t="e">
        <f>B126*24</f>
        <v>#DIV/0!</v>
      </c>
      <c r="E124" s="18"/>
      <c r="F124" s="18"/>
      <c r="K124" s="4">
        <v>1720</v>
      </c>
      <c r="L124" s="15">
        <f t="shared" si="42"/>
        <v>0.61805555555555503</v>
      </c>
      <c r="P124" s="91"/>
      <c r="Q124" s="69">
        <v>121</v>
      </c>
      <c r="R124" s="70">
        <f t="shared" si="37"/>
        <v>0.38680555555555501</v>
      </c>
      <c r="S124" s="392">
        <f t="shared" si="43"/>
        <v>0.359027777777777</v>
      </c>
      <c r="T124" s="640"/>
      <c r="V124" s="68"/>
      <c r="W124" s="69">
        <v>120</v>
      </c>
      <c r="X124" s="52">
        <f t="shared" si="38"/>
        <v>0.53333333333333</v>
      </c>
      <c r="Y124" s="71">
        <f t="shared" si="40"/>
        <v>0.51944444444444104</v>
      </c>
      <c r="Z124" s="187"/>
      <c r="AB124" s="68"/>
      <c r="AC124" s="69">
        <v>120</v>
      </c>
      <c r="AD124" s="52">
        <f t="shared" si="39"/>
        <v>0.53333333333333</v>
      </c>
      <c r="AE124" s="71">
        <f t="shared" si="41"/>
        <v>0.51944444444444104</v>
      </c>
      <c r="AF124" s="187"/>
    </row>
    <row r="125" spans="1:32" ht="14.65" customHeight="1" x14ac:dyDescent="0.25">
      <c r="A125" s="4" t="s">
        <v>191</v>
      </c>
      <c r="B125" s="37"/>
      <c r="C125" s="381" t="s">
        <v>37</v>
      </c>
      <c r="E125" s="246"/>
      <c r="K125" s="4">
        <v>1730</v>
      </c>
      <c r="L125" s="15">
        <f t="shared" si="42"/>
        <v>0.62152777777777701</v>
      </c>
      <c r="P125" s="91"/>
      <c r="Q125" s="69">
        <v>122</v>
      </c>
      <c r="R125" s="70">
        <f t="shared" si="37"/>
        <v>0.389930555555555</v>
      </c>
      <c r="S125" s="392">
        <f t="shared" si="43"/>
        <v>0.36215277777777699</v>
      </c>
      <c r="T125" s="640"/>
      <c r="V125" s="68"/>
      <c r="W125" s="69">
        <v>121</v>
      </c>
      <c r="X125" s="52">
        <f t="shared" si="38"/>
        <v>0.54027777777777397</v>
      </c>
      <c r="Y125" s="71">
        <f t="shared" si="40"/>
        <v>0.52638888888888502</v>
      </c>
      <c r="Z125" s="187"/>
      <c r="AB125" s="68"/>
      <c r="AC125" s="69">
        <v>121</v>
      </c>
      <c r="AD125" s="52">
        <f t="shared" si="39"/>
        <v>0.54027777777777397</v>
      </c>
      <c r="AE125" s="71">
        <f t="shared" si="41"/>
        <v>0.52638888888888502</v>
      </c>
      <c r="AF125" s="187"/>
    </row>
    <row r="126" spans="1:32" ht="14.65" customHeight="1" x14ac:dyDescent="0.25">
      <c r="A126" s="4" t="s">
        <v>192</v>
      </c>
      <c r="B126" s="28" t="e">
        <f>(B124*E5)+B125</f>
        <v>#DIV/0!</v>
      </c>
      <c r="C126" s="382" t="e">
        <f>C124/7</f>
        <v>#DIV/0!</v>
      </c>
      <c r="E126" s="18"/>
      <c r="K126" s="4">
        <v>1740</v>
      </c>
      <c r="L126" s="15">
        <f t="shared" si="42"/>
        <v>0.625</v>
      </c>
      <c r="P126" s="91"/>
      <c r="Q126" s="69">
        <v>123</v>
      </c>
      <c r="R126" s="70">
        <f t="shared" si="37"/>
        <v>0.39305555555555499</v>
      </c>
      <c r="S126" s="392">
        <f t="shared" si="43"/>
        <v>0.36527777777777698</v>
      </c>
      <c r="T126" s="640"/>
      <c r="V126" s="68"/>
      <c r="W126" s="69">
        <v>122</v>
      </c>
      <c r="X126" s="52">
        <f t="shared" si="38"/>
        <v>0.54722222222221795</v>
      </c>
      <c r="Y126" s="71">
        <f t="shared" si="40"/>
        <v>0.533333333333329</v>
      </c>
      <c r="Z126" s="187"/>
      <c r="AB126" s="68"/>
      <c r="AC126" s="69">
        <v>122</v>
      </c>
      <c r="AD126" s="52">
        <f t="shared" si="39"/>
        <v>0.54722222222221795</v>
      </c>
      <c r="AE126" s="71">
        <f t="shared" si="41"/>
        <v>0.533333333333329</v>
      </c>
      <c r="AF126" s="187"/>
    </row>
    <row r="127" spans="1:32" ht="15" customHeight="1" thickBot="1" x14ac:dyDescent="0.3">
      <c r="A127" s="30"/>
      <c r="B127" s="30"/>
      <c r="C127" s="244"/>
      <c r="K127" s="4">
        <v>1750</v>
      </c>
      <c r="L127" s="15">
        <f t="shared" si="42"/>
        <v>0.62847222222222199</v>
      </c>
      <c r="P127" s="91"/>
      <c r="Q127" s="69">
        <v>124</v>
      </c>
      <c r="R127" s="70">
        <f t="shared" si="37"/>
        <v>0.39618055555555498</v>
      </c>
      <c r="S127" s="392">
        <f t="shared" si="43"/>
        <v>0.36840277777777702</v>
      </c>
      <c r="T127" s="640"/>
      <c r="V127" s="68"/>
      <c r="W127" s="69">
        <v>123</v>
      </c>
      <c r="X127" s="52">
        <f t="shared" si="38"/>
        <v>0.55416666666666203</v>
      </c>
      <c r="Y127" s="71">
        <f t="shared" si="40"/>
        <v>0.54027777777777297</v>
      </c>
      <c r="Z127" s="187"/>
      <c r="AB127" s="68"/>
      <c r="AC127" s="69">
        <v>123</v>
      </c>
      <c r="AD127" s="52">
        <f t="shared" si="39"/>
        <v>0.55416666666666203</v>
      </c>
      <c r="AE127" s="71">
        <f t="shared" si="41"/>
        <v>0.54027777777777297</v>
      </c>
      <c r="AF127" s="187"/>
    </row>
    <row r="128" spans="1:32" ht="15" customHeight="1" thickBot="1" x14ac:dyDescent="0.3">
      <c r="A128" s="27" t="s">
        <v>127</v>
      </c>
      <c r="B128" s="25"/>
      <c r="C128" s="380">
        <f>B130*24</f>
        <v>0.33</v>
      </c>
      <c r="D128" s="42"/>
      <c r="E128" s="18"/>
      <c r="K128" s="4">
        <v>1760</v>
      </c>
      <c r="L128" s="15">
        <f t="shared" si="42"/>
        <v>0.63194444444444398</v>
      </c>
      <c r="P128" s="91"/>
      <c r="Q128" s="69">
        <v>125</v>
      </c>
      <c r="R128" s="70">
        <f t="shared" si="37"/>
        <v>0.39930555555555503</v>
      </c>
      <c r="S128" s="392">
        <f t="shared" si="43"/>
        <v>0.37152777777777701</v>
      </c>
      <c r="T128" s="640"/>
      <c r="V128" s="68"/>
      <c r="W128" s="69">
        <v>124</v>
      </c>
      <c r="X128" s="52">
        <f t="shared" si="38"/>
        <v>0.56111111111110601</v>
      </c>
      <c r="Y128" s="71">
        <f t="shared" si="40"/>
        <v>0.54722222222221695</v>
      </c>
      <c r="Z128" s="187"/>
      <c r="AB128" s="68"/>
      <c r="AC128" s="69">
        <v>124</v>
      </c>
      <c r="AD128" s="52">
        <f t="shared" si="39"/>
        <v>0.56111111111110601</v>
      </c>
      <c r="AE128" s="71">
        <f t="shared" si="41"/>
        <v>0.54722222222221695</v>
      </c>
      <c r="AF128" s="187"/>
    </row>
    <row r="129" spans="1:32" ht="14.65" customHeight="1" x14ac:dyDescent="0.25">
      <c r="A129" s="23" t="s">
        <v>129</v>
      </c>
      <c r="B129" s="39">
        <f>H52</f>
        <v>4.6296296296296298E-4</v>
      </c>
      <c r="C129" s="381" t="s">
        <v>37</v>
      </c>
      <c r="D129" s="42"/>
      <c r="E129" s="18"/>
      <c r="K129" s="4">
        <v>1770</v>
      </c>
      <c r="L129" s="15">
        <f t="shared" si="42"/>
        <v>0.63541666666666596</v>
      </c>
      <c r="P129" s="91"/>
      <c r="Q129" s="69">
        <v>126</v>
      </c>
      <c r="R129" s="70">
        <f t="shared" si="37"/>
        <v>0.40243055555555501</v>
      </c>
      <c r="S129" s="392">
        <f t="shared" si="43"/>
        <v>0.374652777777777</v>
      </c>
      <c r="T129" s="640"/>
      <c r="V129" s="68"/>
      <c r="W129" s="69">
        <v>125</v>
      </c>
      <c r="X129" s="52">
        <f t="shared" si="38"/>
        <v>0.56805555555554998</v>
      </c>
      <c r="Y129" s="71">
        <f t="shared" si="40"/>
        <v>0.55416666666666103</v>
      </c>
      <c r="Z129" s="187"/>
      <c r="AB129" s="68"/>
      <c r="AC129" s="69">
        <v>125</v>
      </c>
      <c r="AD129" s="52">
        <f t="shared" si="39"/>
        <v>0.56805555555554998</v>
      </c>
      <c r="AE129" s="71">
        <f t="shared" si="41"/>
        <v>0.55416666666666103</v>
      </c>
      <c r="AF129" s="187"/>
    </row>
    <row r="130" spans="1:32" ht="15" customHeight="1" thickBot="1" x14ac:dyDescent="0.3">
      <c r="A130" s="24" t="s">
        <v>193</v>
      </c>
      <c r="B130" s="19">
        <f>(B129*E4)+H58</f>
        <v>1.38888888888889E-2</v>
      </c>
      <c r="C130" s="382">
        <f>C128/7</f>
        <v>0.05</v>
      </c>
      <c r="K130" s="4">
        <v>1780</v>
      </c>
      <c r="L130" s="15">
        <f t="shared" si="42"/>
        <v>0.63888888888888895</v>
      </c>
      <c r="P130" s="91"/>
      <c r="Q130" s="69">
        <v>127</v>
      </c>
      <c r="R130" s="70">
        <f t="shared" si="37"/>
        <v>0.405555555555555</v>
      </c>
      <c r="S130" s="392">
        <f t="shared" si="43"/>
        <v>0.37777777777777699</v>
      </c>
      <c r="T130" s="640"/>
      <c r="V130" s="68"/>
      <c r="W130" s="69">
        <v>126</v>
      </c>
      <c r="X130" s="52">
        <f t="shared" si="38"/>
        <v>0.57499999999999396</v>
      </c>
      <c r="Y130" s="71">
        <f t="shared" si="40"/>
        <v>0.56111111111110501</v>
      </c>
      <c r="Z130" s="187"/>
      <c r="AB130" s="68"/>
      <c r="AC130" s="69">
        <v>126</v>
      </c>
      <c r="AD130" s="52">
        <f t="shared" si="39"/>
        <v>0.57499999999999396</v>
      </c>
      <c r="AE130" s="71">
        <f t="shared" si="41"/>
        <v>0.56111111111110501</v>
      </c>
      <c r="AF130" s="187"/>
    </row>
    <row r="131" spans="1:32" ht="14.65" customHeight="1" x14ac:dyDescent="0.25">
      <c r="A131" s="310" t="s">
        <v>194</v>
      </c>
      <c r="B131" s="315">
        <f>INDEX(J3:J16,MATCH(E6,I3:I16,1))</f>
        <v>0</v>
      </c>
      <c r="C131" s="390" t="s">
        <v>195</v>
      </c>
      <c r="K131" s="4">
        <v>1790</v>
      </c>
      <c r="L131" s="15">
        <f t="shared" si="42"/>
        <v>0.64236111111111105</v>
      </c>
      <c r="P131" s="91"/>
      <c r="Q131" s="69">
        <v>128</v>
      </c>
      <c r="R131" s="70">
        <f t="shared" si="37"/>
        <v>0.40868055555555499</v>
      </c>
      <c r="S131" s="392">
        <f t="shared" si="43"/>
        <v>0.38090277777777698</v>
      </c>
      <c r="T131" s="640"/>
      <c r="V131" s="68"/>
      <c r="W131" s="69">
        <v>127</v>
      </c>
      <c r="X131" s="52">
        <f t="shared" si="38"/>
        <v>0.58194444444443805</v>
      </c>
      <c r="Y131" s="71">
        <f t="shared" si="40"/>
        <v>0.56805555555554899</v>
      </c>
      <c r="Z131" s="187"/>
      <c r="AB131" s="68"/>
      <c r="AC131" s="69">
        <v>127</v>
      </c>
      <c r="AD131" s="52">
        <f t="shared" si="39"/>
        <v>0.58194444444443805</v>
      </c>
      <c r="AE131" s="71">
        <f t="shared" si="41"/>
        <v>0.56805555555554899</v>
      </c>
      <c r="AF131" s="187"/>
    </row>
    <row r="132" spans="1:32" ht="14.65" customHeight="1" x14ac:dyDescent="0.25">
      <c r="A132" s="23" t="s">
        <v>139</v>
      </c>
      <c r="B132" s="316">
        <f>H57</f>
        <v>1.38888888888889E-2</v>
      </c>
      <c r="C132" s="244"/>
      <c r="K132" s="4">
        <v>1800</v>
      </c>
      <c r="L132" s="15">
        <f t="shared" si="42"/>
        <v>0.64583333333333304</v>
      </c>
      <c r="P132" s="91"/>
      <c r="Q132" s="69">
        <v>129</v>
      </c>
      <c r="R132" s="70">
        <f t="shared" si="37"/>
        <v>0.41180555555555498</v>
      </c>
      <c r="S132" s="392">
        <f t="shared" si="43"/>
        <v>0.38402777777777702</v>
      </c>
      <c r="T132" s="640"/>
      <c r="V132" s="68"/>
      <c r="W132" s="69">
        <v>128</v>
      </c>
      <c r="X132" s="52">
        <f t="shared" si="38"/>
        <v>0.58888888888888202</v>
      </c>
      <c r="Y132" s="71">
        <f t="shared" si="40"/>
        <v>0.57499999999999296</v>
      </c>
      <c r="Z132" s="187"/>
      <c r="AB132" s="68"/>
      <c r="AC132" s="69">
        <v>128</v>
      </c>
      <c r="AD132" s="52">
        <f t="shared" si="39"/>
        <v>0.58888888888888202</v>
      </c>
      <c r="AE132" s="71">
        <f t="shared" si="41"/>
        <v>0.57499999999999296</v>
      </c>
      <c r="AF132" s="187"/>
    </row>
    <row r="133" spans="1:32" ht="14.65" customHeight="1" x14ac:dyDescent="0.25">
      <c r="A133" s="311" t="s">
        <v>196</v>
      </c>
      <c r="B133" s="317" t="e">
        <f>(B131*E5)+B132</f>
        <v>#DIV/0!</v>
      </c>
      <c r="C133" s="244"/>
      <c r="K133" s="4">
        <v>1810</v>
      </c>
      <c r="L133" s="15">
        <f t="shared" si="42"/>
        <v>0.64930555555555503</v>
      </c>
      <c r="P133" s="91"/>
      <c r="Q133" s="69">
        <v>130</v>
      </c>
      <c r="R133" s="70">
        <f t="shared" ref="R133:R164" si="44">$R$4+S133</f>
        <v>0.41493055555555503</v>
      </c>
      <c r="S133" s="392">
        <f t="shared" si="43"/>
        <v>0.38715277777777701</v>
      </c>
      <c r="T133" s="640"/>
      <c r="V133" s="68"/>
      <c r="W133" s="69">
        <v>129</v>
      </c>
      <c r="X133" s="52">
        <f t="shared" si="38"/>
        <v>0.595833333333326</v>
      </c>
      <c r="Y133" s="71">
        <f t="shared" si="40"/>
        <v>0.58194444444443705</v>
      </c>
      <c r="Z133" s="187"/>
      <c r="AB133" s="68"/>
      <c r="AC133" s="69">
        <v>129</v>
      </c>
      <c r="AD133" s="52">
        <f t="shared" si="39"/>
        <v>0.595833333333326</v>
      </c>
      <c r="AE133" s="71">
        <f t="shared" si="41"/>
        <v>0.58194444444443705</v>
      </c>
      <c r="AF133" s="187"/>
    </row>
    <row r="134" spans="1:32" ht="14.65" customHeight="1" x14ac:dyDescent="0.25">
      <c r="A134" s="312" t="s">
        <v>126</v>
      </c>
      <c r="B134" s="318">
        <f>(E7*0.5)</f>
        <v>0</v>
      </c>
      <c r="C134" s="244"/>
      <c r="K134" s="4">
        <v>1820</v>
      </c>
      <c r="L134" s="15">
        <f t="shared" si="42"/>
        <v>0.65277777777777701</v>
      </c>
      <c r="P134" s="91"/>
      <c r="Q134" s="69">
        <v>131</v>
      </c>
      <c r="R134" s="70">
        <f t="shared" si="44"/>
        <v>0.41805555555555501</v>
      </c>
      <c r="S134" s="392">
        <f t="shared" si="43"/>
        <v>0.390277777777777</v>
      </c>
      <c r="T134" s="640"/>
      <c r="V134" s="68"/>
      <c r="W134" s="69">
        <v>130</v>
      </c>
      <c r="X134" s="52">
        <f t="shared" ref="X134:X154" si="45">$X$5+Y134</f>
        <v>0.60277777777776997</v>
      </c>
      <c r="Y134" s="71">
        <f t="shared" si="40"/>
        <v>0.58888888888888102</v>
      </c>
      <c r="Z134" s="187"/>
      <c r="AB134" s="68"/>
      <c r="AC134" s="69">
        <v>130</v>
      </c>
      <c r="AD134" s="52">
        <f t="shared" ref="AD134:AD154" si="46">$AD$5+AE134</f>
        <v>0.60277777777776997</v>
      </c>
      <c r="AE134" s="71">
        <f t="shared" si="41"/>
        <v>0.58888888888888102</v>
      </c>
      <c r="AF134" s="187"/>
    </row>
    <row r="135" spans="1:32" ht="14.65" customHeight="1" x14ac:dyDescent="0.25">
      <c r="A135" s="311" t="s">
        <v>197</v>
      </c>
      <c r="B135" s="317">
        <f>B131*B134</f>
        <v>0</v>
      </c>
      <c r="C135" s="244"/>
      <c r="K135" s="4">
        <v>1830</v>
      </c>
      <c r="L135" s="15">
        <f t="shared" si="42"/>
        <v>0.65625</v>
      </c>
      <c r="P135" s="91"/>
      <c r="Q135" s="69">
        <v>132</v>
      </c>
      <c r="R135" s="70">
        <f t="shared" si="44"/>
        <v>0.421180555555555</v>
      </c>
      <c r="S135" s="392">
        <f t="shared" si="43"/>
        <v>0.39340277777777699</v>
      </c>
      <c r="T135" s="640"/>
      <c r="V135" s="68"/>
      <c r="W135" s="69">
        <v>131</v>
      </c>
      <c r="X135" s="52">
        <f t="shared" si="45"/>
        <v>0.60972222222221395</v>
      </c>
      <c r="Y135" s="71">
        <f t="shared" si="40"/>
        <v>0.595833333333325</v>
      </c>
      <c r="Z135" s="187"/>
      <c r="AB135" s="68"/>
      <c r="AC135" s="69">
        <v>131</v>
      </c>
      <c r="AD135" s="52">
        <f t="shared" si="46"/>
        <v>0.60972222222221395</v>
      </c>
      <c r="AE135" s="71">
        <f t="shared" si="41"/>
        <v>0.595833333333325</v>
      </c>
      <c r="AF135" s="187"/>
    </row>
    <row r="136" spans="1:32" ht="14.65" customHeight="1" x14ac:dyDescent="0.25">
      <c r="A136" s="23" t="s">
        <v>139</v>
      </c>
      <c r="B136" s="316">
        <f>H57*B134</f>
        <v>0</v>
      </c>
      <c r="C136" s="244"/>
      <c r="K136" s="4">
        <v>1840</v>
      </c>
      <c r="L136" s="15">
        <f t="shared" si="42"/>
        <v>0.65972222222222199</v>
      </c>
      <c r="P136" s="91"/>
      <c r="Q136" s="69">
        <v>133</v>
      </c>
      <c r="R136" s="70">
        <f t="shared" si="44"/>
        <v>0.42430555555555499</v>
      </c>
      <c r="S136" s="392">
        <f t="shared" si="43"/>
        <v>0.39652777777777698</v>
      </c>
      <c r="T136" s="640"/>
      <c r="V136" s="68"/>
      <c r="W136" s="69">
        <v>132</v>
      </c>
      <c r="X136" s="52">
        <f t="shared" si="45"/>
        <v>0.61666666666665804</v>
      </c>
      <c r="Y136" s="71">
        <f t="shared" ref="Y136:Y154" si="47">Y135+$Z$104</f>
        <v>0.60277777777776897</v>
      </c>
      <c r="Z136" s="187"/>
      <c r="AB136" s="68"/>
      <c r="AC136" s="69">
        <v>132</v>
      </c>
      <c r="AD136" s="52">
        <f t="shared" si="46"/>
        <v>0.61666666666665804</v>
      </c>
      <c r="AE136" s="71">
        <f t="shared" ref="AE136:AE154" si="48">AE135+$AF$104</f>
        <v>0.60277777777776897</v>
      </c>
      <c r="AF136" s="187"/>
    </row>
    <row r="137" spans="1:32" ht="14.65" customHeight="1" x14ac:dyDescent="0.25">
      <c r="A137" s="311" t="s">
        <v>198</v>
      </c>
      <c r="B137" s="317" t="e">
        <f>(B135*E5)+B136</f>
        <v>#DIV/0!</v>
      </c>
      <c r="C137" s="380" t="e">
        <f>B139*24</f>
        <v>#DIV/0!</v>
      </c>
      <c r="K137" s="4">
        <v>1850</v>
      </c>
      <c r="L137" s="15">
        <f t="shared" ref="L137:L168" si="49">$L$6+(((K137-$K$6)/10)*$M$2)</f>
        <v>0.66319444444444398</v>
      </c>
      <c r="P137" s="91"/>
      <c r="Q137" s="69">
        <v>134</v>
      </c>
      <c r="R137" s="70">
        <f t="shared" si="44"/>
        <v>0.42743055555555498</v>
      </c>
      <c r="S137" s="392">
        <f t="shared" ref="S137:S153" si="50">S136+$T$64</f>
        <v>0.39965277777777702</v>
      </c>
      <c r="T137" s="640"/>
      <c r="V137" s="68"/>
      <c r="W137" s="69">
        <v>133</v>
      </c>
      <c r="X137" s="52">
        <f t="shared" si="45"/>
        <v>0.62361111111110201</v>
      </c>
      <c r="Y137" s="71">
        <f t="shared" si="47"/>
        <v>0.60972222222221295</v>
      </c>
      <c r="Z137" s="187"/>
      <c r="AB137" s="68"/>
      <c r="AC137" s="69">
        <v>133</v>
      </c>
      <c r="AD137" s="52">
        <f t="shared" si="46"/>
        <v>0.62361111111110201</v>
      </c>
      <c r="AE137" s="71">
        <f t="shared" si="48"/>
        <v>0.60972222222221295</v>
      </c>
      <c r="AF137" s="187"/>
    </row>
    <row r="138" spans="1:32" ht="14.65" customHeight="1" x14ac:dyDescent="0.25">
      <c r="A138" s="23" t="s">
        <v>199</v>
      </c>
      <c r="B138" s="319" t="e">
        <f>(B133+B137)/E4</f>
        <v>#DIV/0!</v>
      </c>
      <c r="C138" s="381" t="s">
        <v>37</v>
      </c>
      <c r="K138" s="4">
        <v>1860</v>
      </c>
      <c r="L138" s="15">
        <f t="shared" si="49"/>
        <v>0.66666666666666596</v>
      </c>
      <c r="P138" s="91"/>
      <c r="Q138" s="69">
        <v>135</v>
      </c>
      <c r="R138" s="70">
        <f t="shared" si="44"/>
        <v>0.43055555555555503</v>
      </c>
      <c r="S138" s="392">
        <f t="shared" si="50"/>
        <v>0.40277777777777701</v>
      </c>
      <c r="T138" s="640"/>
      <c r="V138" s="68"/>
      <c r="W138" s="69">
        <v>134</v>
      </c>
      <c r="X138" s="52">
        <f t="shared" si="45"/>
        <v>0.63055555555554599</v>
      </c>
      <c r="Y138" s="71">
        <f t="shared" si="47"/>
        <v>0.61666666666665704</v>
      </c>
      <c r="Z138" s="187"/>
      <c r="AB138" s="68"/>
      <c r="AC138" s="69">
        <v>134</v>
      </c>
      <c r="AD138" s="52">
        <f t="shared" si="46"/>
        <v>0.63055555555554599</v>
      </c>
      <c r="AE138" s="71">
        <f t="shared" si="48"/>
        <v>0.61666666666665704</v>
      </c>
      <c r="AF138" s="187"/>
    </row>
    <row r="139" spans="1:32" ht="15" customHeight="1" thickBot="1" x14ac:dyDescent="0.3">
      <c r="A139" s="313" t="s">
        <v>200</v>
      </c>
      <c r="B139" s="320" t="e">
        <f>B133+B137</f>
        <v>#DIV/0!</v>
      </c>
      <c r="C139" s="382" t="e">
        <f>C137/7</f>
        <v>#DIV/0!</v>
      </c>
      <c r="K139" s="4">
        <v>1870</v>
      </c>
      <c r="L139" s="15">
        <f t="shared" si="49"/>
        <v>0.67013888888888895</v>
      </c>
      <c r="P139" s="91"/>
      <c r="Q139" s="69">
        <v>136</v>
      </c>
      <c r="R139" s="70">
        <f t="shared" si="44"/>
        <v>0.43368055555555501</v>
      </c>
      <c r="S139" s="392">
        <f t="shared" si="50"/>
        <v>0.405902777777777</v>
      </c>
      <c r="T139" s="640"/>
      <c r="V139" s="68"/>
      <c r="W139" s="69">
        <v>135</v>
      </c>
      <c r="X139" s="52">
        <f t="shared" si="45"/>
        <v>0.63749999999998996</v>
      </c>
      <c r="Y139" s="71">
        <f t="shared" si="47"/>
        <v>0.62361111111110101</v>
      </c>
      <c r="Z139" s="187"/>
      <c r="AB139" s="68"/>
      <c r="AC139" s="69">
        <v>135</v>
      </c>
      <c r="AD139" s="52">
        <f t="shared" si="46"/>
        <v>0.63749999999998996</v>
      </c>
      <c r="AE139" s="71">
        <f t="shared" si="48"/>
        <v>0.62361111111110101</v>
      </c>
      <c r="AF139" s="187"/>
    </row>
    <row r="140" spans="1:32" ht="14.65" customHeight="1" x14ac:dyDescent="0.25">
      <c r="A140" s="30"/>
      <c r="B140" s="30"/>
      <c r="C140" s="244"/>
      <c r="K140" s="4">
        <v>1880</v>
      </c>
      <c r="L140" s="15">
        <f t="shared" si="49"/>
        <v>0.67361111111111105</v>
      </c>
      <c r="P140" s="91"/>
      <c r="Q140" s="69">
        <v>137</v>
      </c>
      <c r="R140" s="70">
        <f t="shared" si="44"/>
        <v>0.436805555555555</v>
      </c>
      <c r="S140" s="392">
        <f t="shared" si="50"/>
        <v>0.40902777777777699</v>
      </c>
      <c r="T140" s="640"/>
      <c r="V140" s="68"/>
      <c r="W140" s="69">
        <v>136</v>
      </c>
      <c r="X140" s="52">
        <f t="shared" si="45"/>
        <v>0.64444444444443405</v>
      </c>
      <c r="Y140" s="71">
        <f t="shared" si="47"/>
        <v>0.63055555555554499</v>
      </c>
      <c r="Z140" s="187"/>
      <c r="AB140" s="68"/>
      <c r="AC140" s="69">
        <v>136</v>
      </c>
      <c r="AD140" s="52">
        <f t="shared" si="46"/>
        <v>0.64444444444443405</v>
      </c>
      <c r="AE140" s="71">
        <f t="shared" si="48"/>
        <v>0.63055555555554499</v>
      </c>
      <c r="AF140" s="187"/>
    </row>
    <row r="141" spans="1:32" ht="14.65" customHeight="1" x14ac:dyDescent="0.25">
      <c r="A141" s="49" t="s">
        <v>201</v>
      </c>
      <c r="B141" s="4"/>
      <c r="C141" s="380">
        <f>B143*24</f>
        <v>0</v>
      </c>
      <c r="K141" s="4">
        <v>1890</v>
      </c>
      <c r="L141" s="15">
        <f t="shared" si="49"/>
        <v>0.67708333333333304</v>
      </c>
      <c r="P141" s="91"/>
      <c r="Q141" s="69">
        <v>138</v>
      </c>
      <c r="R141" s="70">
        <f t="shared" si="44"/>
        <v>0.43993055555555499</v>
      </c>
      <c r="S141" s="392">
        <f t="shared" si="50"/>
        <v>0.41215277777777698</v>
      </c>
      <c r="T141" s="640"/>
      <c r="V141" s="68"/>
      <c r="W141" s="69">
        <v>137</v>
      </c>
      <c r="X141" s="52">
        <f t="shared" si="45"/>
        <v>0.65138888888887803</v>
      </c>
      <c r="Y141" s="71">
        <f t="shared" si="47"/>
        <v>0.63749999999998896</v>
      </c>
      <c r="Z141" s="187"/>
      <c r="AB141" s="68"/>
      <c r="AC141" s="69">
        <v>137</v>
      </c>
      <c r="AD141" s="52">
        <f t="shared" si="46"/>
        <v>0.65138888888887803</v>
      </c>
      <c r="AE141" s="71">
        <f t="shared" si="48"/>
        <v>0.63749999999998896</v>
      </c>
      <c r="AF141" s="187"/>
    </row>
    <row r="142" spans="1:32" ht="14.65" customHeight="1" x14ac:dyDescent="0.25">
      <c r="A142" s="4" t="s">
        <v>202</v>
      </c>
      <c r="B142" s="28">
        <f>((H49*E15)*E4)</f>
        <v>0</v>
      </c>
      <c r="C142" s="381" t="s">
        <v>37</v>
      </c>
      <c r="K142" s="4">
        <v>1900</v>
      </c>
      <c r="L142" s="15">
        <f t="shared" si="49"/>
        <v>0.68055555555555503</v>
      </c>
      <c r="P142" s="91"/>
      <c r="Q142" s="69">
        <v>139</v>
      </c>
      <c r="R142" s="70">
        <f t="shared" si="44"/>
        <v>0.44305555555555498</v>
      </c>
      <c r="S142" s="392">
        <f t="shared" si="50"/>
        <v>0.41527777777777702</v>
      </c>
      <c r="T142" s="640"/>
      <c r="V142" s="68"/>
      <c r="W142" s="69">
        <v>138</v>
      </c>
      <c r="X142" s="52">
        <f t="shared" si="45"/>
        <v>0.658333333333322</v>
      </c>
      <c r="Y142" s="71">
        <f t="shared" si="47"/>
        <v>0.64444444444443305</v>
      </c>
      <c r="Z142" s="187"/>
      <c r="AB142" s="68"/>
      <c r="AC142" s="69">
        <v>138</v>
      </c>
      <c r="AD142" s="52">
        <f t="shared" si="46"/>
        <v>0.658333333333322</v>
      </c>
      <c r="AE142" s="71">
        <f t="shared" si="48"/>
        <v>0.64444444444443305</v>
      </c>
      <c r="AF142" s="187"/>
    </row>
    <row r="143" spans="1:32" ht="14.65" customHeight="1" x14ac:dyDescent="0.25">
      <c r="B143" s="28">
        <f>IF(E15&gt;0,B142,0)</f>
        <v>0</v>
      </c>
      <c r="C143" s="382">
        <f>C141/7</f>
        <v>0</v>
      </c>
      <c r="K143" s="4">
        <v>1910</v>
      </c>
      <c r="L143" s="15">
        <f t="shared" si="49"/>
        <v>0.68402777777777701</v>
      </c>
      <c r="P143" s="91"/>
      <c r="Q143" s="69">
        <v>140</v>
      </c>
      <c r="R143" s="70">
        <f t="shared" si="44"/>
        <v>0.44618055555555503</v>
      </c>
      <c r="S143" s="392">
        <f t="shared" si="50"/>
        <v>0.41840277777777701</v>
      </c>
      <c r="T143" s="640"/>
      <c r="V143" s="68"/>
      <c r="W143" s="69">
        <v>139</v>
      </c>
      <c r="X143" s="52">
        <f t="shared" si="45"/>
        <v>0.66527777777776598</v>
      </c>
      <c r="Y143" s="71">
        <f t="shared" si="47"/>
        <v>0.65138888888887703</v>
      </c>
      <c r="Z143" s="187"/>
      <c r="AB143" s="68"/>
      <c r="AC143" s="69">
        <v>139</v>
      </c>
      <c r="AD143" s="52">
        <f t="shared" si="46"/>
        <v>0.66527777777776598</v>
      </c>
      <c r="AE143" s="71">
        <f t="shared" si="48"/>
        <v>0.65138888888887703</v>
      </c>
      <c r="AF143" s="187"/>
    </row>
    <row r="144" spans="1:32" ht="14.65" customHeight="1" x14ac:dyDescent="0.25">
      <c r="A144" s="30"/>
      <c r="B144" s="30"/>
      <c r="C144" s="244"/>
      <c r="K144" s="4">
        <v>1920</v>
      </c>
      <c r="L144" s="15">
        <f t="shared" si="49"/>
        <v>0.6875</v>
      </c>
      <c r="P144" s="91"/>
      <c r="Q144" s="69">
        <v>141</v>
      </c>
      <c r="R144" s="70">
        <f t="shared" si="44"/>
        <v>0.44930555555555501</v>
      </c>
      <c r="S144" s="392">
        <f t="shared" si="50"/>
        <v>0.421527777777777</v>
      </c>
      <c r="T144" s="640"/>
      <c r="V144" s="68"/>
      <c r="W144" s="69">
        <v>140</v>
      </c>
      <c r="X144" s="52">
        <f t="shared" si="45"/>
        <v>0.67222222222220995</v>
      </c>
      <c r="Y144" s="71">
        <f t="shared" si="47"/>
        <v>0.658333333333321</v>
      </c>
      <c r="Z144" s="187"/>
      <c r="AB144" s="68"/>
      <c r="AC144" s="69">
        <v>140</v>
      </c>
      <c r="AD144" s="52">
        <f t="shared" si="46"/>
        <v>0.67222222222220995</v>
      </c>
      <c r="AE144" s="71">
        <f t="shared" si="48"/>
        <v>0.658333333333321</v>
      </c>
      <c r="AF144" s="187"/>
    </row>
    <row r="145" spans="1:32" ht="15" customHeight="1" thickBot="1" x14ac:dyDescent="0.3">
      <c r="A145" s="241" t="s">
        <v>203</v>
      </c>
      <c r="B145" s="240"/>
      <c r="C145" s="381" t="s">
        <v>204</v>
      </c>
      <c r="K145" s="4">
        <v>1930</v>
      </c>
      <c r="L145" s="15">
        <f t="shared" si="49"/>
        <v>0.69097222222222199</v>
      </c>
      <c r="P145" s="91"/>
      <c r="Q145" s="69">
        <v>142</v>
      </c>
      <c r="R145" s="70">
        <f t="shared" si="44"/>
        <v>0.452430555555555</v>
      </c>
      <c r="S145" s="392">
        <f t="shared" si="50"/>
        <v>0.42465277777777699</v>
      </c>
      <c r="T145" s="640"/>
      <c r="V145" s="68"/>
      <c r="W145" s="69">
        <v>141</v>
      </c>
      <c r="X145" s="52">
        <f t="shared" si="45"/>
        <v>0.67916666666665404</v>
      </c>
      <c r="Y145" s="71">
        <f t="shared" si="47"/>
        <v>0.66527777777776498</v>
      </c>
      <c r="Z145" s="187"/>
      <c r="AB145" s="68"/>
      <c r="AC145" s="69">
        <v>141</v>
      </c>
      <c r="AD145" s="52">
        <f t="shared" si="46"/>
        <v>0.67916666666665404</v>
      </c>
      <c r="AE145" s="71">
        <f t="shared" si="48"/>
        <v>0.66527777777776498</v>
      </c>
      <c r="AF145" s="187"/>
    </row>
    <row r="146" spans="1:32" ht="14.65" customHeight="1" x14ac:dyDescent="0.25">
      <c r="A146" s="23" t="s">
        <v>133</v>
      </c>
      <c r="B146" s="169">
        <f>H54</f>
        <v>6.9444444444444404E-4</v>
      </c>
      <c r="C146" s="380">
        <f>B148*24</f>
        <v>0.33</v>
      </c>
      <c r="K146" s="4">
        <v>1940</v>
      </c>
      <c r="L146" s="15">
        <f t="shared" si="49"/>
        <v>0.69444444444444398</v>
      </c>
      <c r="P146" s="91"/>
      <c r="Q146" s="69">
        <v>143</v>
      </c>
      <c r="R146" s="70">
        <f t="shared" si="44"/>
        <v>0.45555555555555499</v>
      </c>
      <c r="S146" s="392">
        <f t="shared" si="50"/>
        <v>0.42777777777777698</v>
      </c>
      <c r="T146" s="640"/>
      <c r="V146" s="68"/>
      <c r="W146" s="69">
        <v>142</v>
      </c>
      <c r="X146" s="52">
        <f t="shared" si="45"/>
        <v>0.68611111111109802</v>
      </c>
      <c r="Y146" s="71">
        <f t="shared" si="47"/>
        <v>0.67222222222220895</v>
      </c>
      <c r="Z146" s="187"/>
      <c r="AB146" s="68"/>
      <c r="AC146" s="69">
        <v>142</v>
      </c>
      <c r="AD146" s="52">
        <f t="shared" si="46"/>
        <v>0.68611111111109802</v>
      </c>
      <c r="AE146" s="71">
        <f t="shared" si="48"/>
        <v>0.67222222222220895</v>
      </c>
      <c r="AF146" s="187"/>
    </row>
    <row r="147" spans="1:32" ht="14.65" customHeight="1" x14ac:dyDescent="0.25">
      <c r="A147" t="s">
        <v>205</v>
      </c>
      <c r="B147" s="324">
        <v>1.38888888888889E-2</v>
      </c>
      <c r="C147" s="381" t="s">
        <v>206</v>
      </c>
      <c r="K147" s="4">
        <v>1950</v>
      </c>
      <c r="L147" s="15">
        <f t="shared" si="49"/>
        <v>0.69791666666666596</v>
      </c>
      <c r="P147" s="91"/>
      <c r="Q147" s="69">
        <v>144</v>
      </c>
      <c r="R147" s="70">
        <f t="shared" si="44"/>
        <v>0.45868055555555498</v>
      </c>
      <c r="S147" s="392">
        <f t="shared" si="50"/>
        <v>0.43090277777777702</v>
      </c>
      <c r="T147" s="640"/>
      <c r="V147" s="68"/>
      <c r="W147" s="69">
        <v>143</v>
      </c>
      <c r="X147" s="52">
        <f t="shared" si="45"/>
        <v>0.69305555555554199</v>
      </c>
      <c r="Y147" s="71">
        <f t="shared" si="47"/>
        <v>0.67916666666665304</v>
      </c>
      <c r="Z147" s="187"/>
      <c r="AB147" s="68"/>
      <c r="AC147" s="69">
        <v>143</v>
      </c>
      <c r="AD147" s="52">
        <f t="shared" si="46"/>
        <v>0.69305555555554199</v>
      </c>
      <c r="AE147" s="71">
        <f t="shared" si="48"/>
        <v>0.67916666666665304</v>
      </c>
      <c r="AF147" s="187"/>
    </row>
    <row r="148" spans="1:32" ht="15" customHeight="1" thickBot="1" x14ac:dyDescent="0.3">
      <c r="A148" s="24" t="s">
        <v>207</v>
      </c>
      <c r="B148" s="170">
        <f>(B146*E4)+B147</f>
        <v>1.38888888888889E-2</v>
      </c>
      <c r="C148" s="382">
        <f>C146/7</f>
        <v>0.05</v>
      </c>
      <c r="K148" s="4">
        <v>1960</v>
      </c>
      <c r="L148" s="15">
        <f t="shared" si="49"/>
        <v>0.70138888888888795</v>
      </c>
      <c r="P148" s="91"/>
      <c r="Q148" s="69">
        <v>145</v>
      </c>
      <c r="R148" s="70">
        <f t="shared" si="44"/>
        <v>0.46180555555555503</v>
      </c>
      <c r="S148" s="392">
        <f t="shared" si="50"/>
        <v>0.43402777777777701</v>
      </c>
      <c r="T148" s="640"/>
      <c r="V148" s="68"/>
      <c r="W148" s="69">
        <v>144</v>
      </c>
      <c r="X148" s="52">
        <f t="shared" si="45"/>
        <v>0.69999999999998597</v>
      </c>
      <c r="Y148" s="71">
        <f t="shared" si="47"/>
        <v>0.68611111111109702</v>
      </c>
      <c r="Z148" s="187"/>
      <c r="AB148" s="68"/>
      <c r="AC148" s="69">
        <v>144</v>
      </c>
      <c r="AD148" s="52">
        <f t="shared" si="46"/>
        <v>0.69999999999998597</v>
      </c>
      <c r="AE148" s="71">
        <f t="shared" si="48"/>
        <v>0.68611111111109702</v>
      </c>
      <c r="AF148" s="187"/>
    </row>
    <row r="149" spans="1:32" ht="14.65" customHeight="1" x14ac:dyDescent="0.25">
      <c r="A149" s="30"/>
      <c r="B149" s="30"/>
      <c r="C149" s="244"/>
      <c r="K149" s="4">
        <v>1970</v>
      </c>
      <c r="L149" s="15">
        <f t="shared" si="49"/>
        <v>0.70486111111111105</v>
      </c>
      <c r="P149" s="91"/>
      <c r="Q149" s="69">
        <v>146</v>
      </c>
      <c r="R149" s="70">
        <f t="shared" si="44"/>
        <v>0.46493055555555501</v>
      </c>
      <c r="S149" s="392">
        <f t="shared" si="50"/>
        <v>0.437152777777777</v>
      </c>
      <c r="T149" s="640"/>
      <c r="V149" s="68"/>
      <c r="W149" s="69">
        <v>145</v>
      </c>
      <c r="X149" s="52">
        <f t="shared" si="45"/>
        <v>0.70694444444443005</v>
      </c>
      <c r="Y149" s="71">
        <f t="shared" si="47"/>
        <v>0.69305555555554099</v>
      </c>
      <c r="Z149" s="187"/>
      <c r="AB149" s="68"/>
      <c r="AC149" s="69">
        <v>145</v>
      </c>
      <c r="AD149" s="52">
        <f t="shared" si="46"/>
        <v>0.70694444444443005</v>
      </c>
      <c r="AE149" s="71">
        <f t="shared" si="48"/>
        <v>0.69305555555554099</v>
      </c>
      <c r="AF149" s="187"/>
    </row>
    <row r="150" spans="1:32" ht="14.65" customHeight="1" x14ac:dyDescent="0.25">
      <c r="A150" t="s">
        <v>208</v>
      </c>
      <c r="B150" s="18" t="e">
        <f>B91+B103+B107+B111+B121+B126+B130+B148</f>
        <v>#DIV/0!</v>
      </c>
      <c r="K150" s="4">
        <v>1980</v>
      </c>
      <c r="L150" s="15">
        <f t="shared" si="49"/>
        <v>0.70833333333333304</v>
      </c>
      <c r="P150" s="91"/>
      <c r="Q150" s="69">
        <v>147</v>
      </c>
      <c r="R150" s="70">
        <f t="shared" si="44"/>
        <v>0.468055555555555</v>
      </c>
      <c r="S150" s="392">
        <f t="shared" si="50"/>
        <v>0.44027777777777699</v>
      </c>
      <c r="T150" s="640"/>
      <c r="V150" s="68"/>
      <c r="W150" s="69">
        <v>146</v>
      </c>
      <c r="X150" s="52">
        <f t="shared" si="45"/>
        <v>0.71388888888887403</v>
      </c>
      <c r="Y150" s="71">
        <f t="shared" si="47"/>
        <v>0.69999999999998497</v>
      </c>
      <c r="Z150" s="187"/>
      <c r="AB150" s="68"/>
      <c r="AC150" s="69">
        <v>146</v>
      </c>
      <c r="AD150" s="52">
        <f t="shared" si="46"/>
        <v>0.71388888888887403</v>
      </c>
      <c r="AE150" s="71">
        <f t="shared" si="48"/>
        <v>0.69999999999998497</v>
      </c>
      <c r="AF150" s="187"/>
    </row>
    <row r="151" spans="1:32" ht="14.65" customHeight="1" x14ac:dyDescent="0.25">
      <c r="A151" t="s">
        <v>209</v>
      </c>
      <c r="B151" s="253" t="s">
        <v>210</v>
      </c>
      <c r="K151" s="4">
        <v>1990</v>
      </c>
      <c r="L151" s="15">
        <f t="shared" si="49"/>
        <v>0.71180555555555503</v>
      </c>
      <c r="P151" s="91"/>
      <c r="Q151" s="69">
        <v>148</v>
      </c>
      <c r="R151" s="70">
        <f t="shared" si="44"/>
        <v>0.47118055555555499</v>
      </c>
      <c r="S151" s="392">
        <f t="shared" si="50"/>
        <v>0.44340277777777698</v>
      </c>
      <c r="T151" s="640"/>
      <c r="V151" s="68"/>
      <c r="W151" s="69">
        <v>147</v>
      </c>
      <c r="X151" s="52">
        <f t="shared" si="45"/>
        <v>0.720833333333318</v>
      </c>
      <c r="Y151" s="71">
        <f t="shared" si="47"/>
        <v>0.70694444444442905</v>
      </c>
      <c r="Z151" s="187"/>
      <c r="AB151" s="68"/>
      <c r="AC151" s="69">
        <v>147</v>
      </c>
      <c r="AD151" s="52">
        <f t="shared" si="46"/>
        <v>0.720833333333318</v>
      </c>
      <c r="AE151" s="71">
        <f t="shared" si="48"/>
        <v>0.70694444444442905</v>
      </c>
      <c r="AF151" s="187"/>
    </row>
    <row r="152" spans="1:32" ht="14.65" customHeight="1" x14ac:dyDescent="0.25">
      <c r="A152" s="30"/>
      <c r="B152" s="30"/>
      <c r="K152" s="4">
        <v>2000</v>
      </c>
      <c r="L152" s="15">
        <f t="shared" si="49"/>
        <v>0.71527777777777701</v>
      </c>
      <c r="P152" s="91"/>
      <c r="Q152" s="69">
        <v>149</v>
      </c>
      <c r="R152" s="70">
        <f t="shared" si="44"/>
        <v>0.47430555555555498</v>
      </c>
      <c r="S152" s="392">
        <f t="shared" si="50"/>
        <v>0.44652777777777702</v>
      </c>
      <c r="T152" s="640"/>
      <c r="V152" s="68"/>
      <c r="W152" s="69">
        <v>148</v>
      </c>
      <c r="X152" s="52">
        <f t="shared" si="45"/>
        <v>0.72777777777776198</v>
      </c>
      <c r="Y152" s="71">
        <f t="shared" si="47"/>
        <v>0.71388888888887303</v>
      </c>
      <c r="Z152" s="187"/>
      <c r="AB152" s="68"/>
      <c r="AC152" s="69">
        <v>148</v>
      </c>
      <c r="AD152" s="52">
        <f t="shared" si="46"/>
        <v>0.72777777777776198</v>
      </c>
      <c r="AE152" s="71">
        <f t="shared" si="48"/>
        <v>0.71388888888887303</v>
      </c>
      <c r="AF152" s="187"/>
    </row>
    <row r="153" spans="1:32" ht="15" customHeight="1" thickBot="1" x14ac:dyDescent="0.3">
      <c r="K153" s="4">
        <v>2010</v>
      </c>
      <c r="L153" s="15">
        <f t="shared" si="49"/>
        <v>0.71875</v>
      </c>
      <c r="P153" s="101"/>
      <c r="Q153" s="102">
        <v>150</v>
      </c>
      <c r="R153" s="103">
        <f t="shared" si="44"/>
        <v>0.47743055555555503</v>
      </c>
      <c r="S153" s="393">
        <f t="shared" si="50"/>
        <v>0.44965277777777701</v>
      </c>
      <c r="T153" s="640"/>
      <c r="V153" s="68"/>
      <c r="W153" s="69">
        <v>149</v>
      </c>
      <c r="X153" s="52">
        <f t="shared" si="45"/>
        <v>0.73472222222220596</v>
      </c>
      <c r="Y153" s="71">
        <f t="shared" si="47"/>
        <v>0.72083333333331701</v>
      </c>
      <c r="Z153" s="187"/>
      <c r="AB153" s="68"/>
      <c r="AC153" s="69">
        <v>149</v>
      </c>
      <c r="AD153" s="52">
        <f t="shared" si="46"/>
        <v>0.73472222222220596</v>
      </c>
      <c r="AE153" s="71">
        <f t="shared" si="48"/>
        <v>0.72083333333331701</v>
      </c>
      <c r="AF153" s="187"/>
    </row>
    <row r="154" spans="1:32" ht="15" customHeight="1" thickBot="1" x14ac:dyDescent="0.3">
      <c r="K154" s="4">
        <v>2020</v>
      </c>
      <c r="L154" s="15">
        <f t="shared" si="49"/>
        <v>0.72222222222222199</v>
      </c>
      <c r="P154" s="91" t="s">
        <v>211</v>
      </c>
      <c r="Q154" s="69">
        <v>151</v>
      </c>
      <c r="R154" s="70">
        <f t="shared" si="44"/>
        <v>0.484374999999999</v>
      </c>
      <c r="S154" s="392">
        <f>S153+$T$103</f>
        <v>0.45659722222222099</v>
      </c>
      <c r="T154" s="640"/>
      <c r="V154" s="68"/>
      <c r="W154" s="69">
        <v>150</v>
      </c>
      <c r="X154" s="52">
        <f t="shared" si="45"/>
        <v>0.74166666666665004</v>
      </c>
      <c r="Y154" s="71">
        <f t="shared" si="47"/>
        <v>0.72777777777776098</v>
      </c>
      <c r="Z154" s="86"/>
      <c r="AB154" s="68"/>
      <c r="AC154" s="69">
        <v>150</v>
      </c>
      <c r="AD154" s="52">
        <f t="shared" si="46"/>
        <v>0.74166666666665004</v>
      </c>
      <c r="AE154" s="71">
        <f t="shared" si="48"/>
        <v>0.72777777777776098</v>
      </c>
      <c r="AF154" s="86"/>
    </row>
    <row r="155" spans="1:32" ht="15" customHeight="1" thickBot="1" x14ac:dyDescent="0.3">
      <c r="A155" s="338" t="s">
        <v>212</v>
      </c>
      <c r="B155" s="210"/>
      <c r="C155" s="210"/>
      <c r="D155" s="339"/>
      <c r="K155" s="4">
        <v>2030</v>
      </c>
      <c r="L155" s="15">
        <f t="shared" si="49"/>
        <v>0.72569444444444398</v>
      </c>
      <c r="P155" s="91"/>
      <c r="Q155" s="69">
        <v>152</v>
      </c>
      <c r="R155" s="70">
        <f t="shared" si="44"/>
        <v>0.48749999999999899</v>
      </c>
      <c r="S155" s="392">
        <f t="shared" ref="S155:S186" si="51">S154+$T$64</f>
        <v>0.45972222222222098</v>
      </c>
      <c r="T155" s="640"/>
    </row>
    <row r="156" spans="1:32" ht="14.65" customHeight="1" x14ac:dyDescent="0.25">
      <c r="A156" s="365"/>
      <c r="B156" s="366"/>
      <c r="C156" s="366" t="s">
        <v>213</v>
      </c>
      <c r="D156" s="355" t="s">
        <v>214</v>
      </c>
      <c r="E156" s="363" t="s">
        <v>215</v>
      </c>
      <c r="F156" s="49" t="s">
        <v>216</v>
      </c>
      <c r="G156" s="4"/>
      <c r="H156" s="4"/>
      <c r="K156" s="4">
        <v>2040</v>
      </c>
      <c r="L156" s="15">
        <f t="shared" si="49"/>
        <v>0.72916666666666596</v>
      </c>
      <c r="P156" s="91"/>
      <c r="Q156" s="69">
        <v>153</v>
      </c>
      <c r="R156" s="70">
        <f t="shared" si="44"/>
        <v>0.49062499999999898</v>
      </c>
      <c r="S156" s="392">
        <f t="shared" si="51"/>
        <v>0.46284722222222102</v>
      </c>
      <c r="T156" s="640"/>
    </row>
    <row r="157" spans="1:32" ht="14.65" customHeight="1" x14ac:dyDescent="0.25">
      <c r="A157" s="23" t="s">
        <v>217</v>
      </c>
      <c r="B157" s="18" t="e">
        <f>B26+B104+B112+B130+B148+B107+B143+H56+B139</f>
        <v>#DIV/0!</v>
      </c>
      <c r="C157" s="260" t="e">
        <f>B157*24</f>
        <v>#DIV/0!</v>
      </c>
      <c r="D157" s="367" t="e">
        <f>C157*B194</f>
        <v>#DIV/0!</v>
      </c>
      <c r="E157" s="364" t="e">
        <f>D157/E4</f>
        <v>#DIV/0!</v>
      </c>
      <c r="F157" s="4" t="s">
        <v>217</v>
      </c>
      <c r="G157" s="373">
        <v>74</v>
      </c>
      <c r="H157" s="371" t="e">
        <f>C157*G157</f>
        <v>#DIV/0!</v>
      </c>
      <c r="K157" s="4">
        <v>2050</v>
      </c>
      <c r="L157" s="15">
        <f t="shared" si="49"/>
        <v>0.73263888888888795</v>
      </c>
      <c r="P157" s="91"/>
      <c r="Q157" s="69">
        <v>154</v>
      </c>
      <c r="R157" s="70">
        <f t="shared" si="44"/>
        <v>0.49374999999999902</v>
      </c>
      <c r="S157" s="392">
        <f t="shared" si="51"/>
        <v>0.46597222222222101</v>
      </c>
      <c r="T157" s="640"/>
    </row>
    <row r="158" spans="1:32" ht="15" customHeight="1" thickBot="1" x14ac:dyDescent="0.3">
      <c r="A158" s="24" t="s">
        <v>218</v>
      </c>
      <c r="B158" s="118">
        <f>B91</f>
        <v>1.38888888888889E-2</v>
      </c>
      <c r="C158" s="261">
        <f>B158*24</f>
        <v>0.33300000000000002</v>
      </c>
      <c r="D158" s="368">
        <f>B195*C158</f>
        <v>54.95</v>
      </c>
      <c r="E158" s="364" t="e">
        <f>D158/E4</f>
        <v>#DIV/0!</v>
      </c>
      <c r="F158" s="4" t="s">
        <v>219</v>
      </c>
      <c r="G158" s="373">
        <v>98</v>
      </c>
      <c r="H158" s="371">
        <f>G158*C158</f>
        <v>32.630000000000003</v>
      </c>
      <c r="K158" s="4">
        <v>2060</v>
      </c>
      <c r="L158" s="15">
        <f t="shared" si="49"/>
        <v>0.73611111111111105</v>
      </c>
      <c r="P158" s="91"/>
      <c r="Q158" s="69">
        <v>155</v>
      </c>
      <c r="R158" s="70">
        <f t="shared" si="44"/>
        <v>0.49687499999999901</v>
      </c>
      <c r="S158" s="392">
        <f t="shared" si="51"/>
        <v>0.469097222222221</v>
      </c>
      <c r="T158" s="640"/>
    </row>
    <row r="159" spans="1:32" ht="15" customHeight="1" thickBot="1" x14ac:dyDescent="0.3">
      <c r="A159" s="365" t="s">
        <v>220</v>
      </c>
      <c r="B159" s="401" t="e">
        <f>SUM(B157:B158)</f>
        <v>#DIV/0!</v>
      </c>
      <c r="C159" s="402" t="e">
        <f>B159*24</f>
        <v>#DIV/0!</v>
      </c>
      <c r="D159" s="400" t="e">
        <f>SUM(D157:D158)</f>
        <v>#DIV/0!</v>
      </c>
      <c r="F159" s="4" t="s">
        <v>221</v>
      </c>
      <c r="G159" s="4"/>
      <c r="H159" s="372" t="e">
        <f>SUM(H157:H158)</f>
        <v>#DIV/0!</v>
      </c>
      <c r="K159" s="4">
        <v>2070</v>
      </c>
      <c r="L159" s="15">
        <f t="shared" si="49"/>
        <v>0.73958333333333304</v>
      </c>
      <c r="P159" s="91"/>
      <c r="Q159" s="69">
        <v>156</v>
      </c>
      <c r="R159" s="70">
        <f t="shared" si="44"/>
        <v>0.499999999999999</v>
      </c>
      <c r="S159" s="392">
        <f t="shared" si="51"/>
        <v>0.47222222222222099</v>
      </c>
      <c r="T159" s="640"/>
    </row>
    <row r="160" spans="1:32" ht="15" customHeight="1" thickBot="1" x14ac:dyDescent="0.3">
      <c r="A160" s="24" t="s">
        <v>222</v>
      </c>
      <c r="B160" s="27" t="s">
        <v>223</v>
      </c>
      <c r="C160" s="398" t="e">
        <f>D159/C159</f>
        <v>#DIV/0!</v>
      </c>
      <c r="D160" s="399" t="e">
        <f>D159/E4</f>
        <v>#DIV/0!</v>
      </c>
      <c r="F160" s="4" t="s">
        <v>224</v>
      </c>
      <c r="G160" s="4"/>
      <c r="H160" s="371" t="e">
        <f>D159-H159</f>
        <v>#DIV/0!</v>
      </c>
      <c r="K160" s="4">
        <v>2080</v>
      </c>
      <c r="L160" s="15">
        <f t="shared" si="49"/>
        <v>0.74305555555555503</v>
      </c>
      <c r="P160" s="91"/>
      <c r="Q160" s="69">
        <v>157</v>
      </c>
      <c r="R160" s="70">
        <f t="shared" si="44"/>
        <v>0.50312499999999905</v>
      </c>
      <c r="S160" s="392">
        <f t="shared" si="51"/>
        <v>0.47534722222222098</v>
      </c>
      <c r="T160" s="640"/>
    </row>
    <row r="161" spans="1:20" ht="14.65" customHeight="1" x14ac:dyDescent="0.25">
      <c r="F161" s="4" t="s">
        <v>225</v>
      </c>
      <c r="G161" s="4"/>
      <c r="H161" s="371" t="e">
        <f>H159/E4</f>
        <v>#DIV/0!</v>
      </c>
      <c r="K161" s="4">
        <v>2090</v>
      </c>
      <c r="L161" s="15">
        <f t="shared" si="49"/>
        <v>0.74652777777777701</v>
      </c>
      <c r="P161" s="91"/>
      <c r="Q161" s="69">
        <v>158</v>
      </c>
      <c r="R161" s="70">
        <f t="shared" si="44"/>
        <v>0.50624999999999898</v>
      </c>
      <c r="S161" s="392">
        <f t="shared" si="51"/>
        <v>0.47847222222222102</v>
      </c>
      <c r="T161" s="640"/>
    </row>
    <row r="162" spans="1:20" ht="15" customHeight="1" thickBot="1" x14ac:dyDescent="0.3">
      <c r="A162" s="30"/>
      <c r="B162" s="369"/>
      <c r="C162" s="370"/>
      <c r="D162" s="122"/>
      <c r="F162" s="4" t="s">
        <v>226</v>
      </c>
      <c r="G162" s="4"/>
      <c r="H162" s="371" t="e">
        <f>D160-H161</f>
        <v>#DIV/0!</v>
      </c>
      <c r="K162" s="4">
        <v>2100</v>
      </c>
      <c r="L162" s="15">
        <f t="shared" si="49"/>
        <v>0.75</v>
      </c>
      <c r="P162" s="91"/>
      <c r="Q162" s="69">
        <v>159</v>
      </c>
      <c r="R162" s="70">
        <f t="shared" si="44"/>
        <v>0.50937499999999902</v>
      </c>
      <c r="S162" s="392">
        <f t="shared" si="51"/>
        <v>0.48159722222222101</v>
      </c>
      <c r="T162" s="640"/>
    </row>
    <row r="163" spans="1:20" ht="14.65" customHeight="1" x14ac:dyDescent="0.25">
      <c r="A163" s="343" t="s">
        <v>227</v>
      </c>
      <c r="B163" s="209"/>
      <c r="C163" s="209"/>
      <c r="D163" s="344"/>
      <c r="F163" s="4" t="s">
        <v>228</v>
      </c>
      <c r="G163" s="4"/>
      <c r="H163" s="288" t="e">
        <f>((D159-H159)/D159)</f>
        <v>#DIV/0!</v>
      </c>
      <c r="K163" s="4">
        <v>2110</v>
      </c>
      <c r="L163" s="15">
        <f t="shared" si="49"/>
        <v>0.75347222222222199</v>
      </c>
      <c r="P163" s="91"/>
      <c r="Q163" s="69">
        <v>160</v>
      </c>
      <c r="R163" s="70">
        <f t="shared" si="44"/>
        <v>0.51249999999999896</v>
      </c>
      <c r="S163" s="392">
        <f t="shared" si="51"/>
        <v>0.484722222222221</v>
      </c>
      <c r="T163" s="640"/>
    </row>
    <row r="164" spans="1:20" ht="14.65" customHeight="1" x14ac:dyDescent="0.25">
      <c r="A164" s="5" t="s">
        <v>229</v>
      </c>
      <c r="B164" s="4"/>
      <c r="C164" s="4"/>
      <c r="D164" s="345">
        <f>B211*E4</f>
        <v>0</v>
      </c>
      <c r="F164" s="4" t="s">
        <v>37</v>
      </c>
      <c r="G164" s="4"/>
      <c r="H164" s="394" t="e">
        <f>C159/7</f>
        <v>#DIV/0!</v>
      </c>
      <c r="K164" s="4">
        <v>2120</v>
      </c>
      <c r="L164" s="15">
        <f t="shared" si="49"/>
        <v>0.75694444444444398</v>
      </c>
      <c r="P164" s="91"/>
      <c r="Q164" s="69">
        <v>161</v>
      </c>
      <c r="R164" s="70">
        <f t="shared" si="44"/>
        <v>0.515624999999999</v>
      </c>
      <c r="S164" s="392">
        <f t="shared" si="51"/>
        <v>0.48784722222222099</v>
      </c>
      <c r="T164" s="640"/>
    </row>
    <row r="165" spans="1:20" ht="14.65" customHeight="1" x14ac:dyDescent="0.25">
      <c r="A165" s="5" t="s">
        <v>230</v>
      </c>
      <c r="B165" s="4"/>
      <c r="C165" s="4"/>
      <c r="D165" s="346">
        <f>B204+B203</f>
        <v>0</v>
      </c>
      <c r="F165" s="4" t="s">
        <v>231</v>
      </c>
      <c r="G165" s="4"/>
      <c r="H165" s="394" t="e">
        <f>H164/5</f>
        <v>#DIV/0!</v>
      </c>
      <c r="K165" s="4">
        <v>2130</v>
      </c>
      <c r="L165" s="15">
        <f t="shared" si="49"/>
        <v>0.76041666666666596</v>
      </c>
      <c r="P165" s="91"/>
      <c r="Q165" s="69">
        <v>162</v>
      </c>
      <c r="R165" s="70">
        <f t="shared" ref="R165:R196" si="52">$R$4+S165</f>
        <v>0.51874999999999905</v>
      </c>
      <c r="S165" s="392">
        <f t="shared" si="51"/>
        <v>0.49097222222222098</v>
      </c>
      <c r="T165" s="640"/>
    </row>
    <row r="166" spans="1:20" ht="14.65" customHeight="1" x14ac:dyDescent="0.25">
      <c r="A166" s="5" t="s">
        <v>232</v>
      </c>
      <c r="B166" s="4"/>
      <c r="C166" s="4"/>
      <c r="D166" s="346">
        <f>B208+B209</f>
        <v>0</v>
      </c>
      <c r="F166" s="4" t="s">
        <v>233</v>
      </c>
      <c r="G166" s="4"/>
      <c r="H166" s="394" t="e">
        <f>H165/4</f>
        <v>#DIV/0!</v>
      </c>
      <c r="K166" s="4">
        <v>2140</v>
      </c>
      <c r="L166" s="15">
        <f t="shared" si="49"/>
        <v>0.76388888888888795</v>
      </c>
      <c r="P166" s="91"/>
      <c r="Q166" s="69">
        <v>163</v>
      </c>
      <c r="R166" s="70">
        <f t="shared" si="52"/>
        <v>0.52187499999999898</v>
      </c>
      <c r="S166" s="392">
        <f t="shared" si="51"/>
        <v>0.49409722222222102</v>
      </c>
      <c r="T166" s="640"/>
    </row>
    <row r="167" spans="1:20" ht="14.65" customHeight="1" x14ac:dyDescent="0.25">
      <c r="A167" s="5" t="s">
        <v>234</v>
      </c>
      <c r="B167" s="4"/>
      <c r="C167" s="4"/>
      <c r="D167" s="347" t="e">
        <f>D157+D158+D165+D166</f>
        <v>#DIV/0!</v>
      </c>
      <c r="F167" s="4" t="s">
        <v>235</v>
      </c>
      <c r="G167" s="4"/>
      <c r="H167" s="394" t="e">
        <f>H166/12</f>
        <v>#DIV/0!</v>
      </c>
      <c r="K167" s="4">
        <v>2150</v>
      </c>
      <c r="L167" s="15">
        <f t="shared" si="49"/>
        <v>0.76736111111111105</v>
      </c>
      <c r="P167" s="91"/>
      <c r="Q167" s="69">
        <v>164</v>
      </c>
      <c r="R167" s="70">
        <f t="shared" si="52"/>
        <v>0.52499999999999902</v>
      </c>
      <c r="S167" s="392">
        <f t="shared" si="51"/>
        <v>0.49722222222222101</v>
      </c>
      <c r="T167" s="640"/>
    </row>
    <row r="168" spans="1:20" ht="14.65" customHeight="1" x14ac:dyDescent="0.25">
      <c r="A168" s="5" t="s">
        <v>236</v>
      </c>
      <c r="B168" s="4"/>
      <c r="C168" s="4"/>
      <c r="D168" s="348" t="e">
        <f>D167/E4</f>
        <v>#DIV/0!</v>
      </c>
      <c r="F168" s="267" t="s">
        <v>301</v>
      </c>
      <c r="G168" s="4"/>
      <c r="H168" s="50" t="e">
        <f>(D157+D158)/C159</f>
        <v>#DIV/0!</v>
      </c>
      <c r="K168" s="4">
        <v>2160</v>
      </c>
      <c r="L168" s="15">
        <f t="shared" si="49"/>
        <v>0.77083333333333304</v>
      </c>
      <c r="P168" s="91"/>
      <c r="Q168" s="69">
        <v>165</v>
      </c>
      <c r="R168" s="70">
        <f t="shared" si="52"/>
        <v>0.52812499999999896</v>
      </c>
      <c r="S168" s="392">
        <f t="shared" si="51"/>
        <v>0.50034722222222106</v>
      </c>
      <c r="T168" s="640"/>
    </row>
    <row r="169" spans="1:20" ht="14.65" customHeight="1" x14ac:dyDescent="0.25">
      <c r="A169" s="23"/>
      <c r="D169" s="349"/>
      <c r="K169" s="4">
        <v>2170</v>
      </c>
      <c r="L169" s="15">
        <f t="shared" ref="L169:L198" si="53">$L$6+(((K169-$K$6)/10)*$M$2)</f>
        <v>0.77430555555555503</v>
      </c>
      <c r="P169" s="91"/>
      <c r="Q169" s="69">
        <v>166</v>
      </c>
      <c r="R169" s="70">
        <f t="shared" si="52"/>
        <v>0.531249999999999</v>
      </c>
      <c r="S169" s="392">
        <f t="shared" si="51"/>
        <v>0.50347222222222099</v>
      </c>
      <c r="T169" s="640"/>
    </row>
    <row r="170" spans="1:20" ht="15" customHeight="1" thickBot="1" x14ac:dyDescent="0.3">
      <c r="A170" s="350"/>
      <c r="B170" s="30"/>
      <c r="C170" s="30"/>
      <c r="D170" s="351"/>
      <c r="K170" s="4">
        <v>2180</v>
      </c>
      <c r="L170" s="15">
        <f t="shared" si="53"/>
        <v>0.77777777777777701</v>
      </c>
      <c r="P170" s="91"/>
      <c r="Q170" s="69">
        <v>167</v>
      </c>
      <c r="R170" s="70">
        <f t="shared" si="52"/>
        <v>0.53437499999999905</v>
      </c>
      <c r="S170" s="392">
        <f t="shared" si="51"/>
        <v>0.50659722222222103</v>
      </c>
      <c r="T170" s="640"/>
    </row>
    <row r="171" spans="1:20" ht="14.65" customHeight="1" x14ac:dyDescent="0.25">
      <c r="A171" s="119" t="s">
        <v>237</v>
      </c>
      <c r="B171" s="120"/>
      <c r="C171" s="120"/>
      <c r="D171" s="121"/>
      <c r="K171" s="4">
        <v>2190</v>
      </c>
      <c r="L171" s="15">
        <f t="shared" si="53"/>
        <v>0.781249999999999</v>
      </c>
      <c r="P171" s="91"/>
      <c r="Q171" s="69">
        <v>168</v>
      </c>
      <c r="R171" s="70">
        <f t="shared" si="52"/>
        <v>0.53749999999999898</v>
      </c>
      <c r="S171" s="392">
        <f t="shared" si="51"/>
        <v>0.50972222222222097</v>
      </c>
      <c r="T171" s="640"/>
    </row>
    <row r="172" spans="1:20" ht="14.65" customHeight="1" x14ac:dyDescent="0.25">
      <c r="A172" s="5" t="s">
        <v>238</v>
      </c>
      <c r="B172" s="4"/>
      <c r="C172" s="4"/>
      <c r="D172" s="352">
        <f>B198</f>
        <v>0</v>
      </c>
      <c r="K172" s="4">
        <v>2200</v>
      </c>
      <c r="L172" s="15">
        <f t="shared" si="53"/>
        <v>0.78472222222222199</v>
      </c>
      <c r="P172" s="91"/>
      <c r="Q172" s="69">
        <v>169</v>
      </c>
      <c r="R172" s="70">
        <f t="shared" si="52"/>
        <v>0.54062499999999902</v>
      </c>
      <c r="S172" s="392">
        <f t="shared" si="51"/>
        <v>0.51284722222222101</v>
      </c>
      <c r="T172" s="640"/>
    </row>
    <row r="173" spans="1:20" ht="14.65" customHeight="1" x14ac:dyDescent="0.25">
      <c r="A173" s="358" t="s">
        <v>239</v>
      </c>
      <c r="B173" s="359">
        <f>B10</f>
        <v>0</v>
      </c>
      <c r="C173" s="360">
        <f>B173*24</f>
        <v>0</v>
      </c>
      <c r="D173" s="361">
        <f>B196</f>
        <v>0</v>
      </c>
      <c r="F173" t="s">
        <v>240</v>
      </c>
      <c r="K173" s="4">
        <v>2210</v>
      </c>
      <c r="L173" s="15">
        <f t="shared" si="53"/>
        <v>0.78819444444444398</v>
      </c>
      <c r="P173" s="91"/>
      <c r="Q173" s="69">
        <v>170</v>
      </c>
      <c r="R173" s="70">
        <f t="shared" si="52"/>
        <v>0.54374999999999896</v>
      </c>
      <c r="S173" s="392">
        <f t="shared" si="51"/>
        <v>0.51597222222222106</v>
      </c>
      <c r="T173" s="640"/>
    </row>
    <row r="174" spans="1:20" ht="14.65" customHeight="1" x14ac:dyDescent="0.25">
      <c r="A174" s="5" t="s">
        <v>241</v>
      </c>
      <c r="B174" s="4"/>
      <c r="C174" s="4"/>
      <c r="D174" s="353">
        <f>B205</f>
        <v>0</v>
      </c>
      <c r="K174" s="4">
        <v>2220</v>
      </c>
      <c r="L174" s="15">
        <f t="shared" si="53"/>
        <v>0.79166666666666596</v>
      </c>
      <c r="P174" s="91"/>
      <c r="Q174" s="69">
        <v>171</v>
      </c>
      <c r="R174" s="70">
        <f t="shared" si="52"/>
        <v>0.546874999999999</v>
      </c>
      <c r="S174" s="392">
        <f t="shared" si="51"/>
        <v>0.51909722222222099</v>
      </c>
      <c r="T174" s="640"/>
    </row>
    <row r="175" spans="1:20" ht="15" customHeight="1" thickBot="1" x14ac:dyDescent="0.3">
      <c r="A175" s="10" t="s">
        <v>242</v>
      </c>
      <c r="B175" s="354"/>
      <c r="C175" s="354"/>
      <c r="D175" s="22">
        <f>B212</f>
        <v>0</v>
      </c>
      <c r="G175" s="178"/>
      <c r="K175" s="4">
        <v>2230</v>
      </c>
      <c r="L175" s="15">
        <f t="shared" si="53"/>
        <v>0.79513888888888795</v>
      </c>
      <c r="P175" s="91"/>
      <c r="Q175" s="69">
        <v>172</v>
      </c>
      <c r="R175" s="70">
        <f t="shared" si="52"/>
        <v>0.54999999999999905</v>
      </c>
      <c r="S175" s="392">
        <f t="shared" si="51"/>
        <v>0.52222222222222103</v>
      </c>
      <c r="T175" s="640"/>
    </row>
    <row r="176" spans="1:20" ht="15" customHeight="1" thickBot="1" x14ac:dyDescent="0.3">
      <c r="K176" s="4">
        <v>2240</v>
      </c>
      <c r="L176" s="15">
        <f t="shared" si="53"/>
        <v>0.79861111111111105</v>
      </c>
      <c r="P176" s="91"/>
      <c r="Q176" s="69">
        <v>173</v>
      </c>
      <c r="R176" s="70">
        <f t="shared" si="52"/>
        <v>0.55312499999999898</v>
      </c>
      <c r="S176" s="392">
        <f t="shared" si="51"/>
        <v>0.52534722222222097</v>
      </c>
      <c r="T176" s="640"/>
    </row>
    <row r="177" spans="1:20" ht="15" customHeight="1" thickBot="1" x14ac:dyDescent="0.3">
      <c r="A177" s="213" t="s">
        <v>243</v>
      </c>
      <c r="B177" s="214" t="s">
        <v>244</v>
      </c>
      <c r="C177" s="215" t="s">
        <v>245</v>
      </c>
      <c r="D177" s="216" t="s">
        <v>236</v>
      </c>
      <c r="E177" s="215" t="s">
        <v>246</v>
      </c>
      <c r="K177" s="4">
        <v>2250</v>
      </c>
      <c r="L177" s="15">
        <f t="shared" si="53"/>
        <v>0.80208333333333304</v>
      </c>
      <c r="P177" s="91"/>
      <c r="Q177" s="69">
        <v>174</v>
      </c>
      <c r="R177" s="70">
        <f t="shared" si="52"/>
        <v>0.55624999999999902</v>
      </c>
      <c r="S177" s="392">
        <f t="shared" si="51"/>
        <v>0.52847222222222101</v>
      </c>
      <c r="T177" s="640"/>
    </row>
    <row r="178" spans="1:20" ht="14.65" customHeight="1" x14ac:dyDescent="0.25">
      <c r="A178" s="423">
        <f>B200</f>
        <v>0</v>
      </c>
      <c r="B178" s="217" t="str">
        <f>B215</f>
        <v>Assembly only</v>
      </c>
      <c r="C178" s="218">
        <f>E4</f>
        <v>0</v>
      </c>
      <c r="D178" s="219" t="e">
        <f>D168</f>
        <v>#DIV/0!</v>
      </c>
      <c r="E178" s="220" t="e">
        <f>D178*C178</f>
        <v>#DIV/0!</v>
      </c>
      <c r="K178" s="4">
        <v>2260</v>
      </c>
      <c r="L178" s="15">
        <f t="shared" si="53"/>
        <v>0.80555555555555503</v>
      </c>
      <c r="P178" s="91"/>
      <c r="Q178" s="69">
        <v>175</v>
      </c>
      <c r="R178" s="70">
        <f t="shared" si="52"/>
        <v>0.55937499999999896</v>
      </c>
      <c r="S178" s="392">
        <f t="shared" si="51"/>
        <v>0.53159722222222106</v>
      </c>
      <c r="T178" s="640"/>
    </row>
    <row r="179" spans="1:20" ht="15" customHeight="1" thickBot="1" x14ac:dyDescent="0.3">
      <c r="A179" s="221" t="s">
        <v>247</v>
      </c>
      <c r="B179" s="222" t="s">
        <v>248</v>
      </c>
      <c r="C179" s="222">
        <f>IF(D179&gt;0,C178,)</f>
        <v>0</v>
      </c>
      <c r="D179" s="223">
        <f>B211</f>
        <v>0</v>
      </c>
      <c r="E179" s="257">
        <f>C179*D179</f>
        <v>0</v>
      </c>
      <c r="F179" t="s">
        <v>249</v>
      </c>
      <c r="K179" s="4">
        <v>2270</v>
      </c>
      <c r="L179" s="15">
        <f t="shared" si="53"/>
        <v>0.80902777777777701</v>
      </c>
      <c r="P179" s="91"/>
      <c r="Q179" s="69">
        <v>176</v>
      </c>
      <c r="R179" s="70">
        <f t="shared" si="52"/>
        <v>0.562499999999999</v>
      </c>
      <c r="S179" s="392">
        <f t="shared" si="51"/>
        <v>0.53472222222222099</v>
      </c>
      <c r="T179" s="640"/>
    </row>
    <row r="180" spans="1:20" ht="15" customHeight="1" thickBot="1" x14ac:dyDescent="0.3">
      <c r="A180" s="224" t="s">
        <v>246</v>
      </c>
      <c r="B180" s="225"/>
      <c r="C180" s="226">
        <f>E4</f>
        <v>0</v>
      </c>
      <c r="D180" s="258" t="e">
        <f>D178+D179</f>
        <v>#DIV/0!</v>
      </c>
      <c r="E180" s="259" t="e">
        <f>C180*D180</f>
        <v>#DIV/0!</v>
      </c>
      <c r="H180" s="285"/>
      <c r="K180" s="4">
        <v>2280</v>
      </c>
      <c r="L180" s="15">
        <f t="shared" si="53"/>
        <v>0.812499999999999</v>
      </c>
      <c r="P180" s="91"/>
      <c r="Q180" s="69">
        <v>177</v>
      </c>
      <c r="R180" s="70">
        <f t="shared" si="52"/>
        <v>0.56562499999999905</v>
      </c>
      <c r="S180" s="392">
        <f t="shared" si="51"/>
        <v>0.53784722222222103</v>
      </c>
      <c r="T180" s="640"/>
    </row>
    <row r="181" spans="1:20" ht="15" customHeight="1" thickBot="1" x14ac:dyDescent="0.3">
      <c r="A181" s="305"/>
      <c r="B181" s="306"/>
      <c r="C181" s="306"/>
      <c r="D181" s="306"/>
      <c r="E181" s="307"/>
      <c r="K181" s="4">
        <v>2290</v>
      </c>
      <c r="L181" s="15">
        <f t="shared" si="53"/>
        <v>0.81597222222222199</v>
      </c>
      <c r="P181" s="91"/>
      <c r="Q181" s="69">
        <v>178</v>
      </c>
      <c r="R181" s="70">
        <f t="shared" si="52"/>
        <v>0.56874999999999898</v>
      </c>
      <c r="S181" s="392">
        <f t="shared" si="51"/>
        <v>0.54097222222222097</v>
      </c>
      <c r="T181" s="640"/>
    </row>
    <row r="182" spans="1:20" ht="15" customHeight="1" thickBot="1" x14ac:dyDescent="0.3">
      <c r="A182" s="619" t="s">
        <v>250</v>
      </c>
      <c r="B182" s="620"/>
      <c r="C182" s="620"/>
      <c r="D182" s="620"/>
      <c r="E182" s="621"/>
      <c r="K182" s="4">
        <v>2300</v>
      </c>
      <c r="L182" s="15">
        <f t="shared" si="53"/>
        <v>0.81944444444444398</v>
      </c>
      <c r="P182" s="91"/>
      <c r="Q182" s="69">
        <v>179</v>
      </c>
      <c r="R182" s="70">
        <f t="shared" si="52"/>
        <v>0.57187499999999902</v>
      </c>
      <c r="S182" s="392">
        <f t="shared" si="51"/>
        <v>0.54409722222222101</v>
      </c>
      <c r="T182" s="640"/>
    </row>
    <row r="183" spans="1:20" ht="14.65" customHeight="1" x14ac:dyDescent="0.25">
      <c r="A183" s="227" t="s">
        <v>5</v>
      </c>
      <c r="B183" s="217" t="s">
        <v>251</v>
      </c>
      <c r="C183" s="232">
        <f>IF(B196&gt;1,"1",0)</f>
        <v>0</v>
      </c>
      <c r="D183" s="219">
        <f>D173</f>
        <v>0</v>
      </c>
      <c r="E183" s="220">
        <f>C183*D183</f>
        <v>0</v>
      </c>
      <c r="K183" s="4">
        <v>2310</v>
      </c>
      <c r="L183" s="15">
        <f t="shared" si="53"/>
        <v>0.82291666666666596</v>
      </c>
      <c r="P183" s="91"/>
      <c r="Q183" s="69">
        <v>180</v>
      </c>
      <c r="R183" s="70">
        <f t="shared" si="52"/>
        <v>0.57499999999999896</v>
      </c>
      <c r="S183" s="392">
        <f t="shared" si="51"/>
        <v>0.54722222222222106</v>
      </c>
      <c r="T183" s="640"/>
    </row>
    <row r="184" spans="1:20" ht="14.65" customHeight="1" x14ac:dyDescent="0.25">
      <c r="A184" s="228" t="s">
        <v>252</v>
      </c>
      <c r="B184" s="229" t="s">
        <v>251</v>
      </c>
      <c r="C184" s="232">
        <f>IF(B198&gt;1,"1",0)</f>
        <v>0</v>
      </c>
      <c r="D184" s="230">
        <f>D172</f>
        <v>0</v>
      </c>
      <c r="E184" s="231">
        <f>C184*D184</f>
        <v>0</v>
      </c>
      <c r="K184" s="4">
        <v>2320</v>
      </c>
      <c r="L184" s="15">
        <f t="shared" si="53"/>
        <v>0.82638888888888795</v>
      </c>
      <c r="P184" s="91"/>
      <c r="Q184" s="69">
        <v>181</v>
      </c>
      <c r="R184" s="70">
        <f t="shared" si="52"/>
        <v>0.578124999999999</v>
      </c>
      <c r="S184" s="392">
        <f t="shared" si="51"/>
        <v>0.55034722222222099</v>
      </c>
      <c r="T184" s="640"/>
    </row>
    <row r="185" spans="1:20" ht="14.65" customHeight="1" x14ac:dyDescent="0.25">
      <c r="A185" s="228" t="s">
        <v>253</v>
      </c>
      <c r="B185" s="229" t="s">
        <v>251</v>
      </c>
      <c r="C185" s="232">
        <f>IF(B205&gt;1,"1",0)</f>
        <v>0</v>
      </c>
      <c r="D185" s="233">
        <f>D174</f>
        <v>0</v>
      </c>
      <c r="E185" s="231">
        <f>C185*D185</f>
        <v>0</v>
      </c>
      <c r="K185" s="4">
        <v>2330</v>
      </c>
      <c r="L185" s="15">
        <f t="shared" si="53"/>
        <v>0.82986111111111105</v>
      </c>
      <c r="P185" s="91"/>
      <c r="Q185" s="69">
        <v>182</v>
      </c>
      <c r="R185" s="70">
        <f t="shared" si="52"/>
        <v>0.58124999999999905</v>
      </c>
      <c r="S185" s="392">
        <f t="shared" si="51"/>
        <v>0.55347222222222103</v>
      </c>
      <c r="T185" s="640"/>
    </row>
    <row r="186" spans="1:20" ht="14.65" customHeight="1" x14ac:dyDescent="0.25">
      <c r="A186" s="32" t="s">
        <v>254</v>
      </c>
      <c r="B186" s="229" t="s">
        <v>251</v>
      </c>
      <c r="C186" s="234">
        <f>IF(B212&gt;1,"1",0)</f>
        <v>0</v>
      </c>
      <c r="D186" s="235">
        <f>B212</f>
        <v>0</v>
      </c>
      <c r="E186" s="236">
        <f>C186*D186</f>
        <v>0</v>
      </c>
      <c r="K186" s="4">
        <v>2340</v>
      </c>
      <c r="L186" s="15">
        <f t="shared" si="53"/>
        <v>0.83333333333333304</v>
      </c>
      <c r="P186" s="91"/>
      <c r="Q186" s="69">
        <v>183</v>
      </c>
      <c r="R186" s="70">
        <f t="shared" si="52"/>
        <v>0.58437499999999898</v>
      </c>
      <c r="S186" s="392">
        <f t="shared" si="51"/>
        <v>0.55659722222222097</v>
      </c>
      <c r="T186" s="640"/>
    </row>
    <row r="187" spans="1:20" ht="15" customHeight="1" thickBot="1" x14ac:dyDescent="0.3">
      <c r="A187" s="395" t="s">
        <v>255</v>
      </c>
      <c r="B187" s="396"/>
      <c r="C187" s="396"/>
      <c r="D187" s="397"/>
      <c r="E187" s="308">
        <f>E183+E184+E185+E186</f>
        <v>0</v>
      </c>
      <c r="K187" s="4">
        <v>2350</v>
      </c>
      <c r="L187" s="15">
        <f t="shared" si="53"/>
        <v>0.83680555555555503</v>
      </c>
      <c r="P187" s="91"/>
      <c r="Q187" s="69">
        <v>184</v>
      </c>
      <c r="R187" s="70">
        <f t="shared" si="52"/>
        <v>0.58749999999999902</v>
      </c>
      <c r="S187" s="392">
        <f t="shared" ref="S187:S203" si="54">S186+$T$64</f>
        <v>0.55972222222222101</v>
      </c>
      <c r="T187" s="640"/>
    </row>
    <row r="188" spans="1:20" ht="14.65" customHeight="1" x14ac:dyDescent="0.25">
      <c r="A188" s="237" t="s">
        <v>256</v>
      </c>
      <c r="B188" s="47"/>
      <c r="C188" s="47"/>
      <c r="D188" s="47"/>
      <c r="E188" s="238">
        <f>B213</f>
        <v>0</v>
      </c>
      <c r="K188" s="4">
        <v>2360</v>
      </c>
      <c r="L188" s="15">
        <f t="shared" si="53"/>
        <v>0.84027777777777701</v>
      </c>
      <c r="P188" s="91"/>
      <c r="Q188" s="69">
        <v>185</v>
      </c>
      <c r="R188" s="70">
        <f t="shared" si="52"/>
        <v>0.59062499999999896</v>
      </c>
      <c r="S188" s="392">
        <f t="shared" si="54"/>
        <v>0.56284722222222106</v>
      </c>
      <c r="T188" s="640"/>
    </row>
    <row r="189" spans="1:20" ht="15" customHeight="1" thickBot="1" x14ac:dyDescent="0.3">
      <c r="A189" s="395" t="s">
        <v>257</v>
      </c>
      <c r="B189" s="396"/>
      <c r="C189" s="396"/>
      <c r="D189" s="397"/>
      <c r="E189" s="239" t="e">
        <f>(E178+E179+E183+E184+E185+E186)-E188</f>
        <v>#DIV/0!</v>
      </c>
      <c r="K189" s="4">
        <v>2370</v>
      </c>
      <c r="L189" s="15">
        <f t="shared" si="53"/>
        <v>0.843749999999999</v>
      </c>
      <c r="P189" s="91"/>
      <c r="Q189" s="69">
        <v>186</v>
      </c>
      <c r="R189" s="70">
        <f t="shared" si="52"/>
        <v>0.593749999999999</v>
      </c>
      <c r="S189" s="392">
        <f t="shared" si="54"/>
        <v>0.56597222222222099</v>
      </c>
      <c r="T189" s="640"/>
    </row>
    <row r="190" spans="1:20" ht="15" customHeight="1" thickBot="1" x14ac:dyDescent="0.3">
      <c r="K190" s="4">
        <v>2380</v>
      </c>
      <c r="L190" s="15">
        <f t="shared" si="53"/>
        <v>0.84722222222222199</v>
      </c>
      <c r="P190" s="91"/>
      <c r="Q190" s="69">
        <v>187</v>
      </c>
      <c r="R190" s="70">
        <f t="shared" si="52"/>
        <v>0.59687499999999905</v>
      </c>
      <c r="S190" s="392">
        <f t="shared" si="54"/>
        <v>0.56909722222222103</v>
      </c>
      <c r="T190" s="640"/>
    </row>
    <row r="191" spans="1:20" ht="15" customHeight="1" thickBot="1" x14ac:dyDescent="0.3">
      <c r="F191" s="631" t="s">
        <v>258</v>
      </c>
      <c r="G191" s="621"/>
      <c r="H191" s="633">
        <f>B200</f>
        <v>0</v>
      </c>
      <c r="I191" s="621"/>
      <c r="K191" s="4">
        <v>2390</v>
      </c>
      <c r="L191" s="15">
        <f t="shared" si="53"/>
        <v>0.85069444444444398</v>
      </c>
      <c r="P191" s="91"/>
      <c r="Q191" s="69">
        <v>188</v>
      </c>
      <c r="R191" s="70">
        <f t="shared" si="52"/>
        <v>0.59999999999999898</v>
      </c>
      <c r="S191" s="392">
        <f t="shared" si="54"/>
        <v>0.57222222222222097</v>
      </c>
      <c r="T191" s="640"/>
    </row>
    <row r="192" spans="1:20" ht="15" customHeight="1" thickBot="1" x14ac:dyDescent="0.3">
      <c r="A192" s="30"/>
      <c r="B192" s="30"/>
      <c r="C192" s="47"/>
      <c r="F192" s="119" t="s">
        <v>259</v>
      </c>
      <c r="G192" s="128" t="s">
        <v>260</v>
      </c>
      <c r="H192" s="128" t="s">
        <v>236</v>
      </c>
      <c r="I192" s="128" t="s">
        <v>257</v>
      </c>
      <c r="K192" s="4">
        <v>2400</v>
      </c>
      <c r="L192" s="15">
        <f t="shared" si="53"/>
        <v>0.85416666666666596</v>
      </c>
      <c r="P192" s="91"/>
      <c r="Q192" s="69">
        <v>189</v>
      </c>
      <c r="R192" s="70">
        <f t="shared" si="52"/>
        <v>0.60312499999999902</v>
      </c>
      <c r="S192" s="392">
        <f t="shared" si="54"/>
        <v>0.57534722222222101</v>
      </c>
      <c r="T192" s="640"/>
    </row>
    <row r="193" spans="1:20" ht="14.65" customHeight="1" x14ac:dyDescent="0.25">
      <c r="A193" s="49" t="s">
        <v>261</v>
      </c>
      <c r="B193" s="4"/>
      <c r="C193" s="47"/>
      <c r="F193" s="136" t="s">
        <v>262</v>
      </c>
      <c r="G193" s="129">
        <f>C178</f>
        <v>0</v>
      </c>
      <c r="H193" s="146" t="e">
        <f>I193/G193</f>
        <v>#DIV/0!</v>
      </c>
      <c r="I193" s="147" t="e">
        <f>D157+D158</f>
        <v>#DIV/0!</v>
      </c>
      <c r="K193" s="4">
        <v>2410</v>
      </c>
      <c r="L193" s="15">
        <f t="shared" si="53"/>
        <v>0.85763888888888795</v>
      </c>
      <c r="P193" s="91"/>
      <c r="Q193" s="69">
        <v>190</v>
      </c>
      <c r="R193" s="70">
        <f t="shared" si="52"/>
        <v>0.60624999999999896</v>
      </c>
      <c r="S193" s="392">
        <f t="shared" si="54"/>
        <v>0.57847222222222106</v>
      </c>
      <c r="T193" s="640"/>
    </row>
    <row r="194" spans="1:20" ht="14.65" customHeight="1" x14ac:dyDescent="0.25">
      <c r="A194" s="4" t="s">
        <v>263</v>
      </c>
      <c r="B194" s="162">
        <v>130</v>
      </c>
      <c r="C194" s="47"/>
      <c r="F194" s="137" t="str">
        <f>A183</f>
        <v>Programming</v>
      </c>
      <c r="G194" s="130">
        <f>C183</f>
        <v>0</v>
      </c>
      <c r="H194" s="148">
        <f>D183</f>
        <v>0</v>
      </c>
      <c r="I194" s="148">
        <f>G194*D183</f>
        <v>0</v>
      </c>
      <c r="K194" s="4">
        <v>2420</v>
      </c>
      <c r="L194" s="15">
        <f t="shared" si="53"/>
        <v>0.86111111111111005</v>
      </c>
      <c r="P194" s="91"/>
      <c r="Q194" s="69">
        <v>191</v>
      </c>
      <c r="R194" s="70">
        <f t="shared" si="52"/>
        <v>0.609374999999999</v>
      </c>
      <c r="S194" s="392">
        <f t="shared" si="54"/>
        <v>0.58159722222222099</v>
      </c>
      <c r="T194" s="640"/>
    </row>
    <row r="195" spans="1:20" ht="14.65" customHeight="1" x14ac:dyDescent="0.25">
      <c r="A195" s="4" t="s">
        <v>264</v>
      </c>
      <c r="B195" s="162">
        <v>165</v>
      </c>
      <c r="C195" s="47"/>
      <c r="F195" s="137" t="str">
        <f>A184</f>
        <v>Stencil for Assembly</v>
      </c>
      <c r="G195" s="130">
        <f>C184</f>
        <v>0</v>
      </c>
      <c r="H195" s="148">
        <f>B198</f>
        <v>0</v>
      </c>
      <c r="I195" s="148">
        <f>G195*H195</f>
        <v>0</v>
      </c>
      <c r="K195" s="4">
        <v>2430</v>
      </c>
      <c r="L195" s="15">
        <f t="shared" si="53"/>
        <v>0.86458333333333304</v>
      </c>
      <c r="P195" s="91"/>
      <c r="Q195" s="69">
        <v>192</v>
      </c>
      <c r="R195" s="70">
        <f t="shared" si="52"/>
        <v>0.61249999999999905</v>
      </c>
      <c r="S195" s="392">
        <f t="shared" si="54"/>
        <v>0.58472222222222103</v>
      </c>
      <c r="T195" s="640"/>
    </row>
    <row r="196" spans="1:20" ht="15" customHeight="1" thickBot="1" x14ac:dyDescent="0.3">
      <c r="A196" s="4" t="s">
        <v>5</v>
      </c>
      <c r="B196" s="162"/>
      <c r="C196" s="47"/>
      <c r="F196" s="138" t="s">
        <v>265</v>
      </c>
      <c r="G196" s="130">
        <f>G193</f>
        <v>0</v>
      </c>
      <c r="H196" s="148" t="e">
        <f>I196/G196</f>
        <v>#DIV/0!</v>
      </c>
      <c r="I196" s="149" t="e">
        <f>SUM(I193:I195)</f>
        <v>#DIV/0!</v>
      </c>
      <c r="K196" s="4">
        <v>2440</v>
      </c>
      <c r="L196" s="15">
        <f t="shared" si="53"/>
        <v>0.86805555555555503</v>
      </c>
      <c r="P196" s="91"/>
      <c r="Q196" s="69">
        <v>193</v>
      </c>
      <c r="R196" s="70">
        <f t="shared" si="52"/>
        <v>0.61562499999999898</v>
      </c>
      <c r="S196" s="392">
        <f t="shared" si="54"/>
        <v>0.58784722222222097</v>
      </c>
      <c r="T196" s="640"/>
    </row>
    <row r="197" spans="1:20" ht="14.65" customHeight="1" x14ac:dyDescent="0.25">
      <c r="A197" s="4" t="s">
        <v>266</v>
      </c>
      <c r="B197" s="356">
        <v>1</v>
      </c>
      <c r="C197" s="47"/>
      <c r="F197" s="138" t="s">
        <v>267</v>
      </c>
      <c r="G197" s="130">
        <f>G193</f>
        <v>0</v>
      </c>
      <c r="H197" s="156" t="e">
        <f>I197/G197</f>
        <v>#DIV/0!</v>
      </c>
      <c r="I197" s="150" t="e">
        <f>I193</f>
        <v>#DIV/0!</v>
      </c>
      <c r="K197" s="4">
        <v>2450</v>
      </c>
      <c r="L197" s="15">
        <f t="shared" si="53"/>
        <v>0.87152777777777701</v>
      </c>
      <c r="P197" s="91"/>
      <c r="Q197" s="69">
        <v>194</v>
      </c>
      <c r="R197" s="70">
        <f t="shared" ref="R197:R203" si="55">$R$4+S197</f>
        <v>0.61874999999999902</v>
      </c>
      <c r="S197" s="392">
        <f t="shared" si="54"/>
        <v>0.59097222222222101</v>
      </c>
      <c r="T197" s="640"/>
    </row>
    <row r="198" spans="1:20" ht="15" customHeight="1" thickBot="1" x14ac:dyDescent="0.3">
      <c r="A198" s="4" t="s">
        <v>238</v>
      </c>
      <c r="B198" s="468"/>
      <c r="C198" s="47"/>
      <c r="F198" s="139"/>
      <c r="G198" s="131"/>
      <c r="H198" s="151"/>
      <c r="I198" s="152"/>
      <c r="K198" s="4">
        <v>2460</v>
      </c>
      <c r="L198" s="15">
        <f t="shared" si="53"/>
        <v>0.874999999999999</v>
      </c>
      <c r="P198" s="91"/>
      <c r="Q198" s="69">
        <v>195</v>
      </c>
      <c r="R198" s="70">
        <f t="shared" si="55"/>
        <v>0.62187499999999896</v>
      </c>
      <c r="S198" s="392">
        <f t="shared" si="54"/>
        <v>0.59409722222222106</v>
      </c>
      <c r="T198" s="640"/>
    </row>
    <row r="199" spans="1:20" ht="15" customHeight="1" thickBot="1" x14ac:dyDescent="0.3">
      <c r="A199" s="4" t="s">
        <v>268</v>
      </c>
      <c r="B199" s="467">
        <v>1</v>
      </c>
      <c r="C199" s="47"/>
      <c r="F199" s="127" t="s">
        <v>269</v>
      </c>
      <c r="G199" s="128" t="s">
        <v>260</v>
      </c>
      <c r="H199" s="153" t="s">
        <v>236</v>
      </c>
      <c r="I199" s="153" t="s">
        <v>257</v>
      </c>
      <c r="K199" s="14"/>
      <c r="P199" s="91"/>
      <c r="Q199" s="69">
        <v>196</v>
      </c>
      <c r="R199" s="70">
        <f t="shared" si="55"/>
        <v>0.624999999999999</v>
      </c>
      <c r="S199" s="392">
        <f t="shared" si="54"/>
        <v>0.59722222222222099</v>
      </c>
      <c r="T199" s="640"/>
    </row>
    <row r="200" spans="1:20" ht="14.65" customHeight="1" x14ac:dyDescent="0.25">
      <c r="A200" s="4" t="s">
        <v>270</v>
      </c>
      <c r="B200" s="115"/>
      <c r="C200" s="47"/>
      <c r="F200" s="140" t="s">
        <v>271</v>
      </c>
      <c r="G200" s="130">
        <f>G193</f>
        <v>0</v>
      </c>
      <c r="H200" s="148" t="e">
        <f>I200/G200</f>
        <v>#DIV/0!</v>
      </c>
      <c r="I200" s="154">
        <f>B204</f>
        <v>0</v>
      </c>
      <c r="K200" s="4">
        <v>2480</v>
      </c>
      <c r="L200" s="15">
        <f t="shared" ref="L200:L263" si="56">$L$6+(((K200-$K$6)/10)*$M$2)</f>
        <v>0.88194444444444398</v>
      </c>
      <c r="P200" s="91"/>
      <c r="Q200" s="69">
        <v>197</v>
      </c>
      <c r="R200" s="70">
        <f t="shared" si="55"/>
        <v>0.62812499999999905</v>
      </c>
      <c r="S200" s="392">
        <f t="shared" si="54"/>
        <v>0.60034722222222103</v>
      </c>
      <c r="T200" s="640"/>
    </row>
    <row r="201" spans="1:20" ht="15" customHeight="1" thickBot="1" x14ac:dyDescent="0.3">
      <c r="A201" s="376"/>
      <c r="B201" s="376"/>
      <c r="C201" s="3" t="s">
        <v>271</v>
      </c>
      <c r="D201" s="115"/>
      <c r="F201" s="137" t="s">
        <v>272</v>
      </c>
      <c r="G201" s="130">
        <v>1</v>
      </c>
      <c r="H201" s="148">
        <f>I201/G201</f>
        <v>0</v>
      </c>
      <c r="I201" s="148">
        <f>D174</f>
        <v>0</v>
      </c>
      <c r="K201" s="4">
        <v>2490</v>
      </c>
      <c r="L201" s="15">
        <f t="shared" si="56"/>
        <v>0.88541666666666596</v>
      </c>
      <c r="P201" s="91"/>
      <c r="Q201" s="69">
        <v>198</v>
      </c>
      <c r="R201" s="70">
        <f t="shared" si="55"/>
        <v>0.63124999999999898</v>
      </c>
      <c r="S201" s="392">
        <f t="shared" si="54"/>
        <v>0.60347222222222097</v>
      </c>
      <c r="T201" s="640"/>
    </row>
    <row r="202" spans="1:20" ht="14.65" customHeight="1" x14ac:dyDescent="0.25">
      <c r="A202" s="175" t="s">
        <v>273</v>
      </c>
      <c r="B202" s="378">
        <f>IF(B204&gt;0,1,0)</f>
        <v>0</v>
      </c>
      <c r="C202" s="374" t="s">
        <v>274</v>
      </c>
      <c r="D202" s="357">
        <f>final!F16</f>
        <v>0.25</v>
      </c>
      <c r="F202" s="141" t="s">
        <v>275</v>
      </c>
      <c r="G202" s="130">
        <v>1</v>
      </c>
      <c r="H202" s="148">
        <f>I202/G202</f>
        <v>0</v>
      </c>
      <c r="I202" s="155">
        <f>B203</f>
        <v>0</v>
      </c>
      <c r="K202" s="4">
        <v>2500</v>
      </c>
      <c r="L202" s="15">
        <f t="shared" si="56"/>
        <v>0.88888888888888795</v>
      </c>
      <c r="P202" s="91"/>
      <c r="Q202" s="69">
        <v>199</v>
      </c>
      <c r="R202" s="70">
        <f t="shared" si="55"/>
        <v>0.63437499999999902</v>
      </c>
      <c r="S202" s="392">
        <f t="shared" si="54"/>
        <v>0.60659722222222101</v>
      </c>
      <c r="T202" s="640"/>
    </row>
    <row r="203" spans="1:20" ht="15" customHeight="1" thickBot="1" x14ac:dyDescent="0.3">
      <c r="A203" s="5" t="s">
        <v>276</v>
      </c>
      <c r="B203" s="353">
        <f>B202*100</f>
        <v>0</v>
      </c>
      <c r="C203" s="375" t="s">
        <v>277</v>
      </c>
      <c r="D203" s="4">
        <f>D202*D201</f>
        <v>0</v>
      </c>
      <c r="F203" s="138" t="s">
        <v>265</v>
      </c>
      <c r="G203" s="130">
        <f>G200</f>
        <v>0</v>
      </c>
      <c r="H203" s="148" t="e">
        <f>I203/G203</f>
        <v>#DIV/0!</v>
      </c>
      <c r="I203" s="156">
        <f>SUM(I200:I202)</f>
        <v>0</v>
      </c>
      <c r="K203" s="4">
        <v>2510</v>
      </c>
      <c r="L203" s="15">
        <f t="shared" si="56"/>
        <v>0.89236111111111005</v>
      </c>
      <c r="P203" s="91"/>
      <c r="Q203" s="69">
        <v>200</v>
      </c>
      <c r="R203" s="70">
        <f t="shared" si="55"/>
        <v>0.63749999999999896</v>
      </c>
      <c r="S203" s="392">
        <f t="shared" si="54"/>
        <v>0.60972222222222106</v>
      </c>
      <c r="T203" s="641"/>
    </row>
    <row r="204" spans="1:20" ht="15" customHeight="1" thickBot="1" x14ac:dyDescent="0.3">
      <c r="A204" s="10" t="s">
        <v>278</v>
      </c>
      <c r="B204" s="379">
        <f>D204</f>
        <v>0</v>
      </c>
      <c r="C204" s="375" t="s">
        <v>279</v>
      </c>
      <c r="D204" s="4">
        <f>D203+D201</f>
        <v>0</v>
      </c>
      <c r="F204" s="141" t="s">
        <v>280</v>
      </c>
      <c r="G204" s="132">
        <f>G203</f>
        <v>0</v>
      </c>
      <c r="H204" s="179" t="e">
        <f>I204/G204</f>
        <v>#DIV/0!</v>
      </c>
      <c r="I204" s="155">
        <f>I200+I202</f>
        <v>0</v>
      </c>
      <c r="K204" s="4">
        <v>2520</v>
      </c>
      <c r="L204" s="15">
        <f t="shared" si="56"/>
        <v>0.89583333333333304</v>
      </c>
    </row>
    <row r="205" spans="1:20" ht="15" customHeight="1" thickBot="1" x14ac:dyDescent="0.3">
      <c r="A205" s="1" t="s">
        <v>272</v>
      </c>
      <c r="B205" s="377"/>
      <c r="F205" s="142"/>
      <c r="G205" s="133"/>
      <c r="H205" s="157"/>
      <c r="I205" s="158"/>
      <c r="K205" s="4">
        <v>2530</v>
      </c>
      <c r="L205" s="15">
        <f t="shared" si="56"/>
        <v>0.89930555555555503</v>
      </c>
    </row>
    <row r="206" spans="1:20" ht="15" customHeight="1" thickBot="1" x14ac:dyDescent="0.3">
      <c r="A206" s="171"/>
      <c r="B206" s="171"/>
      <c r="C206" s="3" t="s">
        <v>285</v>
      </c>
      <c r="D206" s="115"/>
      <c r="F206" s="127" t="s">
        <v>281</v>
      </c>
      <c r="G206" s="128" t="s">
        <v>260</v>
      </c>
      <c r="H206" s="153" t="s">
        <v>236</v>
      </c>
      <c r="I206" s="153" t="s">
        <v>257</v>
      </c>
      <c r="K206" s="4">
        <v>2540</v>
      </c>
      <c r="L206" s="15">
        <f t="shared" si="56"/>
        <v>0.90277777777777701</v>
      </c>
    </row>
    <row r="207" spans="1:20" x14ac:dyDescent="0.25">
      <c r="A207" s="4" t="s">
        <v>282</v>
      </c>
      <c r="B207" s="356">
        <f>IF(B209&gt;0,1,0)</f>
        <v>0</v>
      </c>
      <c r="C207" t="s">
        <v>403</v>
      </c>
      <c r="D207">
        <v>200</v>
      </c>
      <c r="F207" s="140" t="s">
        <v>281</v>
      </c>
      <c r="G207" s="135">
        <v>1</v>
      </c>
      <c r="H207" s="147">
        <f>B209</f>
        <v>0</v>
      </c>
      <c r="I207" s="154">
        <f>B209</f>
        <v>0</v>
      </c>
      <c r="K207" s="4">
        <v>2550</v>
      </c>
      <c r="L207" s="15">
        <f t="shared" si="56"/>
        <v>0.906249999999999</v>
      </c>
    </row>
    <row r="208" spans="1:20" ht="15" customHeight="1" thickBot="1" x14ac:dyDescent="0.3">
      <c r="A208" s="4" t="s">
        <v>283</v>
      </c>
      <c r="B208" s="125">
        <f>(150+(3.5*E8))*B207</f>
        <v>0</v>
      </c>
      <c r="C208" s="488" t="s">
        <v>274</v>
      </c>
      <c r="D208" s="489">
        <f>final!$H$16</f>
        <v>0.25</v>
      </c>
      <c r="F208" s="141" t="s">
        <v>284</v>
      </c>
      <c r="G208" s="144">
        <v>1</v>
      </c>
      <c r="H208" s="159">
        <f>B208</f>
        <v>0</v>
      </c>
      <c r="I208" s="155">
        <f>B208</f>
        <v>0</v>
      </c>
      <c r="K208" s="4">
        <v>2560</v>
      </c>
      <c r="L208" s="15">
        <f t="shared" si="56"/>
        <v>0.90972222222222199</v>
      </c>
    </row>
    <row r="209" spans="1:12" ht="15" customHeight="1" thickBot="1" x14ac:dyDescent="0.3">
      <c r="A209" s="4" t="s">
        <v>285</v>
      </c>
      <c r="B209" s="485">
        <f>D210</f>
        <v>0</v>
      </c>
      <c r="C209" s="4" t="s">
        <v>277</v>
      </c>
      <c r="D209" s="4">
        <f>SUM(D206:D207)*D208</f>
        <v>50</v>
      </c>
      <c r="F209" s="126" t="s">
        <v>257</v>
      </c>
      <c r="G209" s="143">
        <f>E4</f>
        <v>0</v>
      </c>
      <c r="H209" s="160" t="e">
        <f>I209/G209</f>
        <v>#DIV/0!</v>
      </c>
      <c r="I209" s="160">
        <f>I207+I208</f>
        <v>0</v>
      </c>
      <c r="K209" s="4">
        <v>2570</v>
      </c>
      <c r="L209" s="15">
        <f t="shared" si="56"/>
        <v>0.91319444444444398</v>
      </c>
    </row>
    <row r="210" spans="1:12" ht="15" customHeight="1" thickBot="1" x14ac:dyDescent="0.3">
      <c r="A210" s="171"/>
      <c r="B210" s="171"/>
      <c r="C210" s="3" t="s">
        <v>257</v>
      </c>
      <c r="D210" s="4">
        <f>IF(D206&lt;1,0,SUM(D206,D207,D209))</f>
        <v>0</v>
      </c>
      <c r="F210" s="142"/>
      <c r="G210" s="134"/>
      <c r="H210" s="158"/>
      <c r="I210" s="158"/>
      <c r="K210" s="4">
        <v>2580</v>
      </c>
      <c r="L210" s="15">
        <f t="shared" si="56"/>
        <v>0.91666666666666596</v>
      </c>
    </row>
    <row r="211" spans="1:12" ht="15" customHeight="1" thickBot="1" x14ac:dyDescent="0.3">
      <c r="A211" s="4" t="s">
        <v>340</v>
      </c>
      <c r="B211" s="172"/>
      <c r="C211" s="47"/>
      <c r="F211" s="173" t="s">
        <v>286</v>
      </c>
      <c r="G211" s="124" t="s">
        <v>260</v>
      </c>
      <c r="H211" s="174" t="s">
        <v>236</v>
      </c>
      <c r="I211" s="174" t="s">
        <v>257</v>
      </c>
      <c r="K211" s="4">
        <v>2590</v>
      </c>
      <c r="L211" s="15">
        <f t="shared" si="56"/>
        <v>0.92013888888888795</v>
      </c>
    </row>
    <row r="212" spans="1:12" x14ac:dyDescent="0.25">
      <c r="A212" s="4" t="s">
        <v>287</v>
      </c>
      <c r="B212" s="162"/>
      <c r="C212" s="47"/>
      <c r="F212" s="175" t="s">
        <v>288</v>
      </c>
      <c r="G212" s="176">
        <f>E4</f>
        <v>0</v>
      </c>
      <c r="H212" s="180">
        <f>B211</f>
        <v>0</v>
      </c>
      <c r="I212" s="177">
        <f>H212*G212</f>
        <v>0</v>
      </c>
      <c r="K212" s="4">
        <v>2600</v>
      </c>
      <c r="L212" s="15">
        <f t="shared" si="56"/>
        <v>0.92361111111111005</v>
      </c>
    </row>
    <row r="213" spans="1:12" ht="15" customHeight="1" thickBot="1" x14ac:dyDescent="0.3">
      <c r="A213" t="s">
        <v>256</v>
      </c>
      <c r="B213" s="183"/>
      <c r="F213" s="278" t="s">
        <v>287</v>
      </c>
      <c r="G213" s="279">
        <f>IF(B212&gt;1,"1",0)</f>
        <v>0</v>
      </c>
      <c r="H213" s="280">
        <f>B212</f>
        <v>0</v>
      </c>
      <c r="I213" s="342">
        <f>G213*H213</f>
        <v>0</v>
      </c>
      <c r="K213" s="4">
        <v>2610</v>
      </c>
      <c r="L213" s="15">
        <f t="shared" si="56"/>
        <v>0.92708333333333304</v>
      </c>
    </row>
    <row r="214" spans="1:12" ht="15" customHeight="1" thickBot="1" x14ac:dyDescent="0.3">
      <c r="A214" s="30"/>
      <c r="B214" s="30"/>
      <c r="F214" s="127" t="s">
        <v>257</v>
      </c>
      <c r="G214" s="143"/>
      <c r="H214" s="160"/>
      <c r="I214" s="281">
        <f>I212+I213</f>
        <v>0</v>
      </c>
      <c r="K214" s="4">
        <v>2620</v>
      </c>
      <c r="L214" s="15">
        <f t="shared" si="56"/>
        <v>0.93055555555555503</v>
      </c>
    </row>
    <row r="215" spans="1:12" x14ac:dyDescent="0.25">
      <c r="A215" s="175" t="s">
        <v>289</v>
      </c>
      <c r="B215" s="48" t="str">
        <f>IF(AND(B209=0,D201=0),B216,IF(AND(B209&gt;0,D201&gt;0),B217,B218))</f>
        <v>Assembly only</v>
      </c>
      <c r="F215" s="145" t="s">
        <v>265</v>
      </c>
      <c r="G215" s="129">
        <f>G207</f>
        <v>1</v>
      </c>
      <c r="H215" s="146" t="e">
        <f>I215/G215</f>
        <v>#DIV/0!</v>
      </c>
      <c r="I215" s="146" t="e">
        <f>I196+I203+I209+I214</f>
        <v>#DIV/0!</v>
      </c>
      <c r="K215" s="4">
        <v>2630</v>
      </c>
      <c r="L215" s="15">
        <f t="shared" si="56"/>
        <v>0.93402777777777701</v>
      </c>
    </row>
    <row r="216" spans="1:12" ht="15" customHeight="1" thickBot="1" x14ac:dyDescent="0.3">
      <c r="A216" s="5" t="s">
        <v>291</v>
      </c>
      <c r="B216" s="6" t="s">
        <v>292</v>
      </c>
      <c r="C216" t="s">
        <v>302</v>
      </c>
      <c r="F216" s="181" t="s">
        <v>293</v>
      </c>
      <c r="G216" s="144">
        <f>G215</f>
        <v>1</v>
      </c>
      <c r="H216" s="159" t="e">
        <f>I216/G216</f>
        <v>#DIV/0!</v>
      </c>
      <c r="I216" s="182" t="e">
        <f>I197+I204+I209+I212</f>
        <v>#DIV/0!</v>
      </c>
      <c r="K216" s="4">
        <v>2640</v>
      </c>
      <c r="L216" s="15">
        <f t="shared" si="56"/>
        <v>0.937499999999999</v>
      </c>
    </row>
    <row r="217" spans="1:12" ht="15" customHeight="1" thickBot="1" x14ac:dyDescent="0.3">
      <c r="A217" s="5" t="s">
        <v>294</v>
      </c>
      <c r="B217" s="6" t="s">
        <v>290</v>
      </c>
      <c r="C217" t="s">
        <v>303</v>
      </c>
      <c r="F217" s="282" t="s">
        <v>236</v>
      </c>
      <c r="G217" s="321">
        <f>G212</f>
        <v>0</v>
      </c>
      <c r="H217" s="283" t="e">
        <f>H193+H204+H209+H212</f>
        <v>#DIV/0!</v>
      </c>
      <c r="I217" s="284" t="e">
        <f>H217*G217</f>
        <v>#DIV/0!</v>
      </c>
      <c r="K217" s="4">
        <v>2650</v>
      </c>
      <c r="L217" s="15">
        <f t="shared" si="56"/>
        <v>0.94097222222222199</v>
      </c>
    </row>
    <row r="218" spans="1:12" ht="15" customHeight="1" thickBot="1" x14ac:dyDescent="0.3">
      <c r="A218" s="10" t="s">
        <v>295</v>
      </c>
      <c r="B218" s="22" t="s">
        <v>295</v>
      </c>
      <c r="C218" t="s">
        <v>303</v>
      </c>
      <c r="F218" s="285"/>
      <c r="G218" s="285"/>
      <c r="H218" s="285"/>
      <c r="I218" s="285"/>
      <c r="K218" s="4">
        <v>2660</v>
      </c>
      <c r="L218" s="15">
        <f t="shared" si="56"/>
        <v>0.94444444444444398</v>
      </c>
    </row>
    <row r="219" spans="1:12" ht="15" customHeight="1" thickBot="1" x14ac:dyDescent="0.3">
      <c r="F219" s="286" t="s">
        <v>296</v>
      </c>
      <c r="G219" s="287">
        <f>I204+I209+I212+I213</f>
        <v>0</v>
      </c>
      <c r="H219" s="285"/>
      <c r="I219" s="285"/>
      <c r="K219" s="4">
        <v>2670</v>
      </c>
      <c r="L219" s="15">
        <f t="shared" si="56"/>
        <v>0.94791666666666596</v>
      </c>
    </row>
    <row r="220" spans="1:12" x14ac:dyDescent="0.25">
      <c r="C220" s="424"/>
      <c r="K220" s="4">
        <v>2680</v>
      </c>
      <c r="L220" s="15">
        <f t="shared" si="56"/>
        <v>0.95138888888888795</v>
      </c>
    </row>
    <row r="221" spans="1:12" x14ac:dyDescent="0.25">
      <c r="K221" s="4">
        <v>2690</v>
      </c>
      <c r="L221" s="15">
        <f t="shared" si="56"/>
        <v>0.95486111111111005</v>
      </c>
    </row>
    <row r="222" spans="1:12" x14ac:dyDescent="0.25">
      <c r="K222" s="4">
        <v>2700</v>
      </c>
      <c r="L222" s="15">
        <f t="shared" si="56"/>
        <v>0.95833333333333304</v>
      </c>
    </row>
    <row r="223" spans="1:12" x14ac:dyDescent="0.25">
      <c r="K223" s="4">
        <v>2710</v>
      </c>
      <c r="L223" s="15">
        <f t="shared" si="56"/>
        <v>0.96180555555555503</v>
      </c>
    </row>
    <row r="224" spans="1:12" x14ac:dyDescent="0.25">
      <c r="K224" s="4">
        <v>2720</v>
      </c>
      <c r="L224" s="15">
        <f t="shared" si="56"/>
        <v>0.96527777777777701</v>
      </c>
    </row>
    <row r="225" spans="1:12" x14ac:dyDescent="0.25">
      <c r="K225" s="4">
        <v>2730</v>
      </c>
      <c r="L225" s="15">
        <f t="shared" si="56"/>
        <v>0.968749999999999</v>
      </c>
    </row>
    <row r="226" spans="1:12" x14ac:dyDescent="0.25">
      <c r="K226" s="4">
        <v>2740</v>
      </c>
      <c r="L226" s="15">
        <f t="shared" si="56"/>
        <v>0.97222222222222199</v>
      </c>
    </row>
    <row r="227" spans="1:12" x14ac:dyDescent="0.25">
      <c r="K227" s="4">
        <v>2750</v>
      </c>
      <c r="L227" s="15">
        <f t="shared" si="56"/>
        <v>0.97569444444444398</v>
      </c>
    </row>
    <row r="228" spans="1:12" x14ac:dyDescent="0.25">
      <c r="K228" s="4">
        <v>2760</v>
      </c>
      <c r="L228" s="15">
        <f t="shared" si="56"/>
        <v>0.97916666666666596</v>
      </c>
    </row>
    <row r="229" spans="1:12" x14ac:dyDescent="0.25">
      <c r="K229" s="4">
        <v>2770</v>
      </c>
      <c r="L229" s="15">
        <f t="shared" si="56"/>
        <v>0.98263888888888795</v>
      </c>
    </row>
    <row r="230" spans="1:12" x14ac:dyDescent="0.25">
      <c r="A230" s="47"/>
      <c r="B230" s="47"/>
      <c r="C230" s="4" t="s">
        <v>383</v>
      </c>
      <c r="D230" s="3" t="s">
        <v>364</v>
      </c>
      <c r="E230" s="222"/>
      <c r="F230" s="222" t="s">
        <v>365</v>
      </c>
      <c r="G230" s="222"/>
      <c r="H230" s="47"/>
      <c r="K230" s="4">
        <v>2780</v>
      </c>
      <c r="L230" s="15">
        <f t="shared" si="56"/>
        <v>0.98611111111111005</v>
      </c>
    </row>
    <row r="231" spans="1:12" x14ac:dyDescent="0.25">
      <c r="A231" s="3" t="s">
        <v>366</v>
      </c>
      <c r="B231" s="3" t="s">
        <v>381</v>
      </c>
      <c r="C231" s="481">
        <v>1.5</v>
      </c>
      <c r="D231" s="3">
        <f>C231*60</f>
        <v>90</v>
      </c>
      <c r="E231" s="3">
        <f>D231/60</f>
        <v>1.5</v>
      </c>
      <c r="F231" s="474">
        <v>40</v>
      </c>
      <c r="G231" s="125">
        <f>F231*E231</f>
        <v>60</v>
      </c>
      <c r="H231" s="3" t="s">
        <v>367</v>
      </c>
      <c r="K231" s="4">
        <v>2790</v>
      </c>
      <c r="L231" s="15">
        <f t="shared" si="56"/>
        <v>0.98958333333333304</v>
      </c>
    </row>
    <row r="232" spans="1:12" x14ac:dyDescent="0.25">
      <c r="A232" s="3" t="s">
        <v>368</v>
      </c>
      <c r="B232" s="3" t="s">
        <v>369</v>
      </c>
      <c r="C232" s="4">
        <f>E8*3</f>
        <v>0</v>
      </c>
      <c r="D232" s="3">
        <f>C232</f>
        <v>0</v>
      </c>
      <c r="E232" s="3">
        <f t="shared" ref="E232:E237" si="57">D232/60</f>
        <v>0</v>
      </c>
      <c r="F232" s="475">
        <v>60</v>
      </c>
      <c r="G232" s="125">
        <f t="shared" ref="G232:G237" si="58">F232*E232</f>
        <v>0</v>
      </c>
      <c r="H232" s="3" t="s">
        <v>367</v>
      </c>
      <c r="K232" s="4">
        <v>2800</v>
      </c>
      <c r="L232" s="15">
        <f t="shared" si="56"/>
        <v>0.99305555555555503</v>
      </c>
    </row>
    <row r="233" spans="1:12" x14ac:dyDescent="0.25">
      <c r="A233" s="476" t="s">
        <v>372</v>
      </c>
      <c r="B233" s="3" t="s">
        <v>368</v>
      </c>
      <c r="C233" s="391">
        <f>B10*24</f>
        <v>0</v>
      </c>
      <c r="D233" s="3">
        <f>C233*60</f>
        <v>0</v>
      </c>
      <c r="E233" s="3">
        <f>D233/60</f>
        <v>0</v>
      </c>
      <c r="F233" s="474">
        <v>63</v>
      </c>
      <c r="G233" s="125">
        <f t="shared" si="58"/>
        <v>0</v>
      </c>
      <c r="H233" s="3" t="s">
        <v>373</v>
      </c>
      <c r="K233" s="4">
        <v>2810</v>
      </c>
      <c r="L233" s="15">
        <f t="shared" si="56"/>
        <v>0.99652777777777701</v>
      </c>
    </row>
    <row r="234" spans="1:12" x14ac:dyDescent="0.25">
      <c r="A234" s="476" t="s">
        <v>14</v>
      </c>
      <c r="B234" s="3" t="s">
        <v>370</v>
      </c>
      <c r="C234" s="380">
        <f>B26*24</f>
        <v>0.75</v>
      </c>
      <c r="D234" s="482">
        <f>C234*60</f>
        <v>45</v>
      </c>
      <c r="E234" s="3">
        <f t="shared" si="57"/>
        <v>0.75</v>
      </c>
      <c r="F234" s="474">
        <v>35</v>
      </c>
      <c r="G234" s="125">
        <f t="shared" si="58"/>
        <v>26.25</v>
      </c>
      <c r="H234" s="3" t="s">
        <v>373</v>
      </c>
      <c r="K234" s="4">
        <v>2820</v>
      </c>
      <c r="L234" s="15">
        <f t="shared" si="56"/>
        <v>0.999999999999999</v>
      </c>
    </row>
    <row r="235" spans="1:12" x14ac:dyDescent="0.25">
      <c r="A235" s="476" t="s">
        <v>219</v>
      </c>
      <c r="B235" s="3" t="s">
        <v>374</v>
      </c>
      <c r="C235" s="394">
        <f>C89</f>
        <v>0.33</v>
      </c>
      <c r="D235" s="482">
        <f>C235*60</f>
        <v>19.8</v>
      </c>
      <c r="E235" s="3">
        <f t="shared" si="57"/>
        <v>0.33</v>
      </c>
      <c r="F235" s="475">
        <v>45</v>
      </c>
      <c r="G235" s="125">
        <f t="shared" si="58"/>
        <v>14.85</v>
      </c>
      <c r="H235" s="3" t="s">
        <v>373</v>
      </c>
      <c r="K235" s="4">
        <v>2830</v>
      </c>
      <c r="L235" s="15">
        <f t="shared" si="56"/>
        <v>1.0034722222222201</v>
      </c>
    </row>
    <row r="236" spans="1:12" x14ac:dyDescent="0.25">
      <c r="A236" s="476" t="s">
        <v>375</v>
      </c>
      <c r="B236" s="3" t="s">
        <v>376</v>
      </c>
      <c r="C236" s="394" t="e">
        <f>C102+C137</f>
        <v>#DIV/0!</v>
      </c>
      <c r="D236" s="482" t="e">
        <f>C236*60</f>
        <v>#DIV/0!</v>
      </c>
      <c r="E236" s="3" t="e">
        <f t="shared" si="57"/>
        <v>#DIV/0!</v>
      </c>
      <c r="F236" s="474">
        <v>35</v>
      </c>
      <c r="G236" s="125" t="e">
        <f t="shared" si="58"/>
        <v>#DIV/0!</v>
      </c>
      <c r="H236" s="3" t="s">
        <v>371</v>
      </c>
      <c r="K236" s="4">
        <v>2840</v>
      </c>
      <c r="L236" s="15">
        <f t="shared" si="56"/>
        <v>1.00694444444444</v>
      </c>
    </row>
    <row r="237" spans="1:12" x14ac:dyDescent="0.25">
      <c r="A237" s="476" t="s">
        <v>382</v>
      </c>
      <c r="B237" s="3" t="s">
        <v>370</v>
      </c>
      <c r="C237" s="483">
        <f>C146+C128+C110</f>
        <v>0.66</v>
      </c>
      <c r="D237" s="482">
        <f>C237*60</f>
        <v>39.6</v>
      </c>
      <c r="E237" s="3">
        <f t="shared" si="57"/>
        <v>0.66</v>
      </c>
      <c r="F237" s="474">
        <v>35</v>
      </c>
      <c r="G237" s="125">
        <f t="shared" si="58"/>
        <v>23.1</v>
      </c>
      <c r="H237" s="3" t="s">
        <v>371</v>
      </c>
      <c r="K237" s="4">
        <v>2850</v>
      </c>
      <c r="L237" s="15">
        <f t="shared" si="56"/>
        <v>1.0104166666666701</v>
      </c>
    </row>
    <row r="238" spans="1:12" x14ac:dyDescent="0.25">
      <c r="A238" s="3" t="s">
        <v>257</v>
      </c>
      <c r="B238" s="3"/>
      <c r="C238" s="49" t="e">
        <f>SUM(C231:C237)</f>
        <v>#DIV/0!</v>
      </c>
      <c r="D238" s="421" t="e">
        <f>SUM(D231:D237)</f>
        <v>#DIV/0!</v>
      </c>
      <c r="E238" s="3"/>
      <c r="F238" s="3"/>
      <c r="G238" s="477" t="e">
        <f>SUM(G231:G237)</f>
        <v>#DIV/0!</v>
      </c>
      <c r="H238" s="3"/>
      <c r="K238" s="4">
        <v>2860</v>
      </c>
      <c r="L238" s="15">
        <f t="shared" si="56"/>
        <v>1.0138888888888899</v>
      </c>
    </row>
    <row r="239" spans="1:12" x14ac:dyDescent="0.25">
      <c r="A239" s="47"/>
      <c r="B239" s="47"/>
      <c r="D239" s="105" t="e">
        <f>D238/60</f>
        <v>#DIV/0!</v>
      </c>
      <c r="E239" s="105" t="s">
        <v>377</v>
      </c>
      <c r="F239" s="478">
        <v>43</v>
      </c>
      <c r="G239" s="478" t="e">
        <f>D239*F239</f>
        <v>#DIV/0!</v>
      </c>
      <c r="H239" s="47"/>
      <c r="K239" s="4">
        <v>2870</v>
      </c>
      <c r="L239" s="15">
        <f t="shared" si="56"/>
        <v>1.0173611111111101</v>
      </c>
    </row>
    <row r="240" spans="1:12" x14ac:dyDescent="0.25">
      <c r="A240" s="47"/>
      <c r="D240" s="47"/>
      <c r="E240" s="47"/>
      <c r="F240" s="105" t="s">
        <v>378</v>
      </c>
      <c r="G240" s="479" t="e">
        <f>SUM(G238:G239)</f>
        <v>#DIV/0!</v>
      </c>
      <c r="H240" s="47"/>
      <c r="K240" s="4">
        <v>2880</v>
      </c>
      <c r="L240" s="15">
        <f t="shared" si="56"/>
        <v>1.0208333333333299</v>
      </c>
    </row>
    <row r="241" spans="4:12" x14ac:dyDescent="0.25">
      <c r="D241" s="47"/>
      <c r="E241" s="47"/>
      <c r="F241" s="115" t="s">
        <v>379</v>
      </c>
      <c r="G241" s="125" t="e">
        <f>D159</f>
        <v>#DIV/0!</v>
      </c>
      <c r="H241" s="47"/>
      <c r="K241" s="4">
        <v>2890</v>
      </c>
      <c r="L241" s="15">
        <f t="shared" si="56"/>
        <v>1.02430555555555</v>
      </c>
    </row>
    <row r="242" spans="4:12" x14ac:dyDescent="0.25">
      <c r="D242" s="47"/>
      <c r="E242" s="47"/>
      <c r="F242" s="3" t="s">
        <v>380</v>
      </c>
      <c r="G242" s="480" t="e">
        <f>(G241-G240)/G240</f>
        <v>#DIV/0!</v>
      </c>
      <c r="H242" s="47"/>
      <c r="K242" s="4">
        <v>2900</v>
      </c>
      <c r="L242" s="15">
        <f t="shared" si="56"/>
        <v>1.0277777777777799</v>
      </c>
    </row>
    <row r="243" spans="4:12" x14ac:dyDescent="0.25">
      <c r="F243" s="3" t="s">
        <v>384</v>
      </c>
      <c r="G243" s="484" t="e">
        <f>G241-G240</f>
        <v>#DIV/0!</v>
      </c>
      <c r="K243" s="4">
        <v>2910</v>
      </c>
      <c r="L243" s="15">
        <f t="shared" si="56"/>
        <v>1.03125</v>
      </c>
    </row>
    <row r="244" spans="4:12" x14ac:dyDescent="0.25">
      <c r="K244" s="4">
        <v>2920</v>
      </c>
      <c r="L244" s="15">
        <f t="shared" si="56"/>
        <v>1.0347222222222201</v>
      </c>
    </row>
    <row r="245" spans="4:12" x14ac:dyDescent="0.25">
      <c r="K245" s="4">
        <v>2930</v>
      </c>
      <c r="L245" s="15">
        <f t="shared" si="56"/>
        <v>1.03819444444444</v>
      </c>
    </row>
    <row r="246" spans="4:12" x14ac:dyDescent="0.25">
      <c r="K246" s="4">
        <v>2940</v>
      </c>
      <c r="L246" s="15">
        <f t="shared" si="56"/>
        <v>1.0416666666666701</v>
      </c>
    </row>
    <row r="247" spans="4:12" x14ac:dyDescent="0.25">
      <c r="K247" s="4">
        <v>2950</v>
      </c>
      <c r="L247" s="15">
        <f t="shared" si="56"/>
        <v>1.0451388888888899</v>
      </c>
    </row>
    <row r="248" spans="4:12" x14ac:dyDescent="0.25">
      <c r="K248" s="4">
        <v>2960</v>
      </c>
      <c r="L248" s="15">
        <f t="shared" si="56"/>
        <v>1.0486111111111101</v>
      </c>
    </row>
    <row r="249" spans="4:12" x14ac:dyDescent="0.25">
      <c r="K249" s="4">
        <v>2970</v>
      </c>
      <c r="L249" s="15">
        <f t="shared" si="56"/>
        <v>1.0520833333333299</v>
      </c>
    </row>
    <row r="250" spans="4:12" ht="15" customHeight="1" x14ac:dyDescent="0.25">
      <c r="K250" s="4">
        <v>2980</v>
      </c>
      <c r="L250" s="15">
        <f t="shared" si="56"/>
        <v>1.05555555555555</v>
      </c>
    </row>
    <row r="251" spans="4:12" ht="15" customHeight="1" x14ac:dyDescent="0.25">
      <c r="K251" s="4">
        <v>2990</v>
      </c>
      <c r="L251" s="15">
        <f t="shared" si="56"/>
        <v>1.0590277777777799</v>
      </c>
    </row>
    <row r="252" spans="4:12" x14ac:dyDescent="0.25">
      <c r="K252" s="4">
        <v>3000</v>
      </c>
      <c r="L252" s="15">
        <f t="shared" si="56"/>
        <v>1.0625</v>
      </c>
    </row>
    <row r="253" spans="4:12" x14ac:dyDescent="0.25">
      <c r="K253" s="4">
        <v>3010</v>
      </c>
      <c r="L253" s="15">
        <f t="shared" si="56"/>
        <v>1.0659722222222201</v>
      </c>
    </row>
    <row r="254" spans="4:12" x14ac:dyDescent="0.25">
      <c r="K254" s="4">
        <v>3020</v>
      </c>
      <c r="L254" s="15">
        <f t="shared" si="56"/>
        <v>1.06944444444444</v>
      </c>
    </row>
    <row r="255" spans="4:12" x14ac:dyDescent="0.25">
      <c r="K255" s="4">
        <v>3030</v>
      </c>
      <c r="L255" s="15">
        <f t="shared" si="56"/>
        <v>1.0729166666666701</v>
      </c>
    </row>
    <row r="256" spans="4:12" x14ac:dyDescent="0.25">
      <c r="K256" s="4">
        <v>3040</v>
      </c>
      <c r="L256" s="15">
        <f t="shared" si="56"/>
        <v>1.0763888888888899</v>
      </c>
    </row>
    <row r="257" spans="11:16" x14ac:dyDescent="0.25">
      <c r="K257" s="4">
        <v>3050</v>
      </c>
      <c r="L257" s="15">
        <f t="shared" si="56"/>
        <v>1.0798611111111101</v>
      </c>
    </row>
    <row r="258" spans="11:16" x14ac:dyDescent="0.25">
      <c r="K258" s="4">
        <v>3060</v>
      </c>
      <c r="L258" s="15">
        <f t="shared" si="56"/>
        <v>1.0833333333333299</v>
      </c>
    </row>
    <row r="259" spans="11:16" x14ac:dyDescent="0.25">
      <c r="K259" s="4">
        <v>3070</v>
      </c>
      <c r="L259" s="15">
        <f t="shared" si="56"/>
        <v>1.08680555555555</v>
      </c>
    </row>
    <row r="260" spans="11:16" x14ac:dyDescent="0.25">
      <c r="K260" s="4">
        <v>3080</v>
      </c>
      <c r="L260" s="15">
        <f t="shared" si="56"/>
        <v>1.0902777777777799</v>
      </c>
    </row>
    <row r="261" spans="11:16" x14ac:dyDescent="0.25">
      <c r="K261" s="4">
        <v>3090</v>
      </c>
      <c r="L261" s="15">
        <f t="shared" si="56"/>
        <v>1.09375</v>
      </c>
    </row>
    <row r="262" spans="11:16" x14ac:dyDescent="0.25">
      <c r="K262" s="4">
        <v>3100</v>
      </c>
      <c r="L262" s="15">
        <f t="shared" si="56"/>
        <v>1.0972222222222201</v>
      </c>
    </row>
    <row r="263" spans="11:16" x14ac:dyDescent="0.25">
      <c r="K263" s="4">
        <v>3110</v>
      </c>
      <c r="L263" s="15">
        <f t="shared" si="56"/>
        <v>1.10069444444444</v>
      </c>
    </row>
    <row r="264" spans="11:16" x14ac:dyDescent="0.25">
      <c r="K264" s="4">
        <v>3120</v>
      </c>
      <c r="L264" s="15">
        <f t="shared" ref="L264:L327" si="59">$L$6+(((K264-$K$6)/10)*$M$2)</f>
        <v>1.1041666666666701</v>
      </c>
    </row>
    <row r="265" spans="11:16" x14ac:dyDescent="0.25">
      <c r="K265" s="4">
        <v>3130</v>
      </c>
      <c r="L265" s="15">
        <f t="shared" si="59"/>
        <v>1.1076388888888899</v>
      </c>
      <c r="P265" s="14"/>
    </row>
    <row r="266" spans="11:16" x14ac:dyDescent="0.25">
      <c r="K266" s="4">
        <v>3140</v>
      </c>
      <c r="L266" s="15">
        <f t="shared" si="59"/>
        <v>1.1111111111111101</v>
      </c>
      <c r="P266" s="14"/>
    </row>
    <row r="267" spans="11:16" x14ac:dyDescent="0.25">
      <c r="K267" s="4">
        <v>3150</v>
      </c>
      <c r="L267" s="15">
        <f t="shared" si="59"/>
        <v>1.1145833333333299</v>
      </c>
      <c r="P267" s="14"/>
    </row>
    <row r="268" spans="11:16" x14ac:dyDescent="0.25">
      <c r="K268" s="4">
        <v>3160</v>
      </c>
      <c r="L268" s="15">
        <f t="shared" si="59"/>
        <v>1.11805555555555</v>
      </c>
    </row>
    <row r="269" spans="11:16" x14ac:dyDescent="0.25">
      <c r="K269" s="4">
        <v>3170</v>
      </c>
      <c r="L269" s="15">
        <f t="shared" si="59"/>
        <v>1.1215277777777799</v>
      </c>
    </row>
    <row r="270" spans="11:16" x14ac:dyDescent="0.25">
      <c r="K270" s="4">
        <v>3180</v>
      </c>
      <c r="L270" s="15">
        <f t="shared" si="59"/>
        <v>1.125</v>
      </c>
    </row>
    <row r="271" spans="11:16" x14ac:dyDescent="0.25">
      <c r="K271" s="4">
        <v>3190</v>
      </c>
      <c r="L271" s="15">
        <f t="shared" si="59"/>
        <v>1.1284722222222201</v>
      </c>
    </row>
    <row r="272" spans="11:16" x14ac:dyDescent="0.25">
      <c r="K272" s="4">
        <v>3200</v>
      </c>
      <c r="L272" s="15">
        <f t="shared" si="59"/>
        <v>1.13194444444444</v>
      </c>
    </row>
    <row r="273" spans="11:12" x14ac:dyDescent="0.25">
      <c r="K273" s="4">
        <v>3210</v>
      </c>
      <c r="L273" s="15">
        <f t="shared" si="59"/>
        <v>1.1354166666666701</v>
      </c>
    </row>
    <row r="274" spans="11:12" x14ac:dyDescent="0.25">
      <c r="K274" s="4">
        <v>3220</v>
      </c>
      <c r="L274" s="15">
        <f t="shared" si="59"/>
        <v>1.1388888888888899</v>
      </c>
    </row>
    <row r="275" spans="11:12" x14ac:dyDescent="0.25">
      <c r="K275" s="4">
        <v>3230</v>
      </c>
      <c r="L275" s="15">
        <f t="shared" si="59"/>
        <v>1.1423611111111101</v>
      </c>
    </row>
    <row r="276" spans="11:12" x14ac:dyDescent="0.25">
      <c r="K276" s="4">
        <v>3240</v>
      </c>
      <c r="L276" s="15">
        <f t="shared" si="59"/>
        <v>1.1458333333333299</v>
      </c>
    </row>
    <row r="277" spans="11:12" x14ac:dyDescent="0.25">
      <c r="K277" s="4">
        <v>3250</v>
      </c>
      <c r="L277" s="15">
        <f t="shared" si="59"/>
        <v>1.14930555555555</v>
      </c>
    </row>
    <row r="278" spans="11:12" x14ac:dyDescent="0.25">
      <c r="K278" s="4">
        <v>3260</v>
      </c>
      <c r="L278" s="15">
        <f t="shared" si="59"/>
        <v>1.1527777777777799</v>
      </c>
    </row>
    <row r="279" spans="11:12" x14ac:dyDescent="0.25">
      <c r="K279" s="4">
        <v>3270</v>
      </c>
      <c r="L279" s="15">
        <f t="shared" si="59"/>
        <v>1.15625</v>
      </c>
    </row>
    <row r="280" spans="11:12" x14ac:dyDescent="0.25">
      <c r="K280" s="4">
        <v>3280</v>
      </c>
      <c r="L280" s="15">
        <f t="shared" si="59"/>
        <v>1.1597222222222201</v>
      </c>
    </row>
    <row r="281" spans="11:12" x14ac:dyDescent="0.25">
      <c r="K281" s="4">
        <v>3290</v>
      </c>
      <c r="L281" s="15">
        <f t="shared" si="59"/>
        <v>1.16319444444444</v>
      </c>
    </row>
    <row r="282" spans="11:12" x14ac:dyDescent="0.25">
      <c r="K282" s="4">
        <v>3300</v>
      </c>
      <c r="L282" s="15">
        <f t="shared" si="59"/>
        <v>1.1666666666666701</v>
      </c>
    </row>
    <row r="283" spans="11:12" x14ac:dyDescent="0.25">
      <c r="K283" s="4">
        <v>3310</v>
      </c>
      <c r="L283" s="15">
        <f t="shared" si="59"/>
        <v>1.1701388888888899</v>
      </c>
    </row>
    <row r="284" spans="11:12" x14ac:dyDescent="0.25">
      <c r="K284" s="4">
        <v>3320</v>
      </c>
      <c r="L284" s="15">
        <f t="shared" si="59"/>
        <v>1.1736111111111101</v>
      </c>
    </row>
    <row r="285" spans="11:12" x14ac:dyDescent="0.25">
      <c r="K285" s="4">
        <v>3330</v>
      </c>
      <c r="L285" s="15">
        <f t="shared" si="59"/>
        <v>1.1770833333333299</v>
      </c>
    </row>
    <row r="286" spans="11:12" x14ac:dyDescent="0.25">
      <c r="K286" s="4">
        <v>3340</v>
      </c>
      <c r="L286" s="15">
        <f t="shared" si="59"/>
        <v>1.18055555555555</v>
      </c>
    </row>
    <row r="287" spans="11:12" x14ac:dyDescent="0.25">
      <c r="K287" s="4">
        <v>3350</v>
      </c>
      <c r="L287" s="15">
        <f t="shared" si="59"/>
        <v>1.1840277777777799</v>
      </c>
    </row>
    <row r="288" spans="11:12" x14ac:dyDescent="0.25">
      <c r="K288" s="4">
        <v>3360</v>
      </c>
      <c r="L288" s="15">
        <f t="shared" si="59"/>
        <v>1.1875</v>
      </c>
    </row>
    <row r="289" spans="11:12" x14ac:dyDescent="0.25">
      <c r="K289" s="4">
        <v>3370</v>
      </c>
      <c r="L289" s="15">
        <f t="shared" si="59"/>
        <v>1.1909722222222201</v>
      </c>
    </row>
    <row r="290" spans="11:12" x14ac:dyDescent="0.25">
      <c r="K290" s="4">
        <v>3380</v>
      </c>
      <c r="L290" s="15">
        <f t="shared" si="59"/>
        <v>1.19444444444444</v>
      </c>
    </row>
    <row r="291" spans="11:12" x14ac:dyDescent="0.25">
      <c r="K291" s="4">
        <v>3390</v>
      </c>
      <c r="L291" s="15">
        <f t="shared" si="59"/>
        <v>1.1979166666666701</v>
      </c>
    </row>
    <row r="292" spans="11:12" x14ac:dyDescent="0.25">
      <c r="K292" s="4">
        <v>3400</v>
      </c>
      <c r="L292" s="15">
        <f t="shared" si="59"/>
        <v>1.2013888888888899</v>
      </c>
    </row>
    <row r="293" spans="11:12" x14ac:dyDescent="0.25">
      <c r="K293" s="4">
        <v>3410</v>
      </c>
      <c r="L293" s="15">
        <f t="shared" si="59"/>
        <v>1.2048611111111101</v>
      </c>
    </row>
    <row r="294" spans="11:12" x14ac:dyDescent="0.25">
      <c r="K294" s="4">
        <v>3420</v>
      </c>
      <c r="L294" s="15">
        <f t="shared" si="59"/>
        <v>1.2083333333333299</v>
      </c>
    </row>
    <row r="295" spans="11:12" x14ac:dyDescent="0.25">
      <c r="K295" s="4">
        <v>3430</v>
      </c>
      <c r="L295" s="15">
        <f t="shared" si="59"/>
        <v>1.21180555555555</v>
      </c>
    </row>
    <row r="296" spans="11:12" x14ac:dyDescent="0.25">
      <c r="K296" s="4">
        <v>3440</v>
      </c>
      <c r="L296" s="15">
        <f t="shared" si="59"/>
        <v>1.2152777777777799</v>
      </c>
    </row>
    <row r="297" spans="11:12" x14ac:dyDescent="0.25">
      <c r="K297" s="4">
        <v>3450</v>
      </c>
      <c r="L297" s="15">
        <f t="shared" si="59"/>
        <v>1.21875</v>
      </c>
    </row>
    <row r="298" spans="11:12" x14ac:dyDescent="0.25">
      <c r="K298" s="4">
        <v>3460</v>
      </c>
      <c r="L298" s="15">
        <f t="shared" si="59"/>
        <v>1.2222222222222201</v>
      </c>
    </row>
    <row r="299" spans="11:12" x14ac:dyDescent="0.25">
      <c r="K299" s="4">
        <v>3470</v>
      </c>
      <c r="L299" s="15">
        <f t="shared" si="59"/>
        <v>1.22569444444444</v>
      </c>
    </row>
    <row r="300" spans="11:12" x14ac:dyDescent="0.25">
      <c r="K300" s="4">
        <v>3480</v>
      </c>
      <c r="L300" s="15">
        <f t="shared" si="59"/>
        <v>1.2291666666666701</v>
      </c>
    </row>
    <row r="301" spans="11:12" x14ac:dyDescent="0.25">
      <c r="K301" s="4">
        <v>3490</v>
      </c>
      <c r="L301" s="15">
        <f t="shared" si="59"/>
        <v>1.2326388888888899</v>
      </c>
    </row>
    <row r="302" spans="11:12" x14ac:dyDescent="0.25">
      <c r="K302" s="4">
        <v>3500</v>
      </c>
      <c r="L302" s="15">
        <f t="shared" si="59"/>
        <v>1.2361111111111101</v>
      </c>
    </row>
    <row r="303" spans="11:12" x14ac:dyDescent="0.25">
      <c r="K303" s="4">
        <v>3510</v>
      </c>
      <c r="L303" s="15">
        <f t="shared" si="59"/>
        <v>1.2395833333333299</v>
      </c>
    </row>
    <row r="304" spans="11:12" x14ac:dyDescent="0.25">
      <c r="K304" s="4">
        <v>3520</v>
      </c>
      <c r="L304" s="15">
        <f t="shared" si="59"/>
        <v>1.24305555555555</v>
      </c>
    </row>
    <row r="305" spans="11:12" x14ac:dyDescent="0.25">
      <c r="K305" s="4">
        <v>3530</v>
      </c>
      <c r="L305" s="15">
        <f t="shared" si="59"/>
        <v>1.2465277777777799</v>
      </c>
    </row>
    <row r="306" spans="11:12" x14ac:dyDescent="0.25">
      <c r="K306" s="4">
        <v>3540</v>
      </c>
      <c r="L306" s="15">
        <f t="shared" si="59"/>
        <v>1.25</v>
      </c>
    </row>
    <row r="307" spans="11:12" x14ac:dyDescent="0.25">
      <c r="K307" s="4">
        <v>3550</v>
      </c>
      <c r="L307" s="15">
        <f t="shared" si="59"/>
        <v>1.2534722222222201</v>
      </c>
    </row>
    <row r="308" spans="11:12" x14ac:dyDescent="0.25">
      <c r="K308" s="4">
        <v>3560</v>
      </c>
      <c r="L308" s="15">
        <f t="shared" si="59"/>
        <v>1.25694444444444</v>
      </c>
    </row>
    <row r="309" spans="11:12" x14ac:dyDescent="0.25">
      <c r="K309" s="4">
        <v>3570</v>
      </c>
      <c r="L309" s="15">
        <f t="shared" si="59"/>
        <v>1.2604166666666701</v>
      </c>
    </row>
    <row r="310" spans="11:12" x14ac:dyDescent="0.25">
      <c r="K310" s="4">
        <v>3580</v>
      </c>
      <c r="L310" s="15">
        <f t="shared" si="59"/>
        <v>1.2638888888888899</v>
      </c>
    </row>
    <row r="311" spans="11:12" x14ac:dyDescent="0.25">
      <c r="K311" s="4">
        <v>3590</v>
      </c>
      <c r="L311" s="15">
        <f t="shared" si="59"/>
        <v>1.2673611111111101</v>
      </c>
    </row>
    <row r="312" spans="11:12" x14ac:dyDescent="0.25">
      <c r="K312" s="4">
        <v>3600</v>
      </c>
      <c r="L312" s="15">
        <f t="shared" si="59"/>
        <v>1.2708333333333299</v>
      </c>
    </row>
    <row r="313" spans="11:12" x14ac:dyDescent="0.25">
      <c r="K313" s="4">
        <v>3610</v>
      </c>
      <c r="L313" s="15">
        <f t="shared" si="59"/>
        <v>1.27430555555555</v>
      </c>
    </row>
    <row r="314" spans="11:12" x14ac:dyDescent="0.25">
      <c r="K314" s="4">
        <v>3620</v>
      </c>
      <c r="L314" s="15">
        <f t="shared" si="59"/>
        <v>1.2777777777777799</v>
      </c>
    </row>
    <row r="315" spans="11:12" x14ac:dyDescent="0.25">
      <c r="K315" s="4">
        <v>3630</v>
      </c>
      <c r="L315" s="15">
        <f t="shared" si="59"/>
        <v>1.28125</v>
      </c>
    </row>
    <row r="316" spans="11:12" x14ac:dyDescent="0.25">
      <c r="K316" s="4">
        <v>3640</v>
      </c>
      <c r="L316" s="15">
        <f t="shared" si="59"/>
        <v>1.2847222222222201</v>
      </c>
    </row>
    <row r="317" spans="11:12" x14ac:dyDescent="0.25">
      <c r="K317" s="4">
        <v>3650</v>
      </c>
      <c r="L317" s="15">
        <f t="shared" si="59"/>
        <v>1.28819444444444</v>
      </c>
    </row>
    <row r="318" spans="11:12" x14ac:dyDescent="0.25">
      <c r="K318" s="4">
        <v>3660</v>
      </c>
      <c r="L318" s="15">
        <f t="shared" si="59"/>
        <v>1.2916666666666701</v>
      </c>
    </row>
    <row r="319" spans="11:12" x14ac:dyDescent="0.25">
      <c r="K319" s="4">
        <v>3670</v>
      </c>
      <c r="L319" s="15">
        <f t="shared" si="59"/>
        <v>1.2951388888888899</v>
      </c>
    </row>
    <row r="320" spans="11:12" x14ac:dyDescent="0.25">
      <c r="K320" s="4">
        <v>3680</v>
      </c>
      <c r="L320" s="15">
        <f t="shared" si="59"/>
        <v>1.2986111111111101</v>
      </c>
    </row>
    <row r="321" spans="11:12" x14ac:dyDescent="0.25">
      <c r="K321" s="4">
        <v>3690</v>
      </c>
      <c r="L321" s="15">
        <f t="shared" si="59"/>
        <v>1.3020833333333299</v>
      </c>
    </row>
    <row r="322" spans="11:12" x14ac:dyDescent="0.25">
      <c r="K322" s="4">
        <v>3700</v>
      </c>
      <c r="L322" s="15">
        <f t="shared" si="59"/>
        <v>1.30555555555555</v>
      </c>
    </row>
    <row r="323" spans="11:12" x14ac:dyDescent="0.25">
      <c r="K323" s="4">
        <v>3710</v>
      </c>
      <c r="L323" s="15">
        <f t="shared" si="59"/>
        <v>1.3090277777777799</v>
      </c>
    </row>
    <row r="324" spans="11:12" x14ac:dyDescent="0.25">
      <c r="K324" s="4">
        <v>3720</v>
      </c>
      <c r="L324" s="15">
        <f t="shared" si="59"/>
        <v>1.3125</v>
      </c>
    </row>
    <row r="325" spans="11:12" x14ac:dyDescent="0.25">
      <c r="K325" s="4">
        <v>3730</v>
      </c>
      <c r="L325" s="15">
        <f t="shared" si="59"/>
        <v>1.3159722222222201</v>
      </c>
    </row>
    <row r="326" spans="11:12" x14ac:dyDescent="0.25">
      <c r="K326" s="4">
        <v>3740</v>
      </c>
      <c r="L326" s="15">
        <f t="shared" si="59"/>
        <v>1.31944444444444</v>
      </c>
    </row>
    <row r="327" spans="11:12" x14ac:dyDescent="0.25">
      <c r="K327" s="4">
        <v>3750</v>
      </c>
      <c r="L327" s="15">
        <f t="shared" si="59"/>
        <v>1.3229166666666701</v>
      </c>
    </row>
    <row r="328" spans="11:12" x14ac:dyDescent="0.25">
      <c r="K328" s="4">
        <v>3760</v>
      </c>
      <c r="L328" s="15">
        <f t="shared" ref="L328:L391" si="60">$L$6+(((K328-$K$6)/10)*$M$2)</f>
        <v>1.3263888888888899</v>
      </c>
    </row>
    <row r="329" spans="11:12" x14ac:dyDescent="0.25">
      <c r="K329" s="4">
        <v>3770</v>
      </c>
      <c r="L329" s="15">
        <f t="shared" si="60"/>
        <v>1.3298611111111101</v>
      </c>
    </row>
    <row r="330" spans="11:12" x14ac:dyDescent="0.25">
      <c r="K330" s="4">
        <v>3780</v>
      </c>
      <c r="L330" s="15">
        <f t="shared" si="60"/>
        <v>1.3333333333333299</v>
      </c>
    </row>
    <row r="331" spans="11:12" x14ac:dyDescent="0.25">
      <c r="K331" s="4">
        <v>3790</v>
      </c>
      <c r="L331" s="15">
        <f t="shared" si="60"/>
        <v>1.33680555555555</v>
      </c>
    </row>
    <row r="332" spans="11:12" x14ac:dyDescent="0.25">
      <c r="K332" s="4">
        <v>3800</v>
      </c>
      <c r="L332" s="15">
        <f t="shared" si="60"/>
        <v>1.3402777777777799</v>
      </c>
    </row>
    <row r="333" spans="11:12" x14ac:dyDescent="0.25">
      <c r="K333" s="4">
        <v>3810</v>
      </c>
      <c r="L333" s="15">
        <f t="shared" si="60"/>
        <v>1.34375</v>
      </c>
    </row>
    <row r="334" spans="11:12" x14ac:dyDescent="0.25">
      <c r="K334" s="4">
        <v>3820</v>
      </c>
      <c r="L334" s="15">
        <f t="shared" si="60"/>
        <v>1.3472222222222201</v>
      </c>
    </row>
    <row r="335" spans="11:12" x14ac:dyDescent="0.25">
      <c r="K335" s="4">
        <v>3830</v>
      </c>
      <c r="L335" s="15">
        <f t="shared" si="60"/>
        <v>1.35069444444444</v>
      </c>
    </row>
    <row r="336" spans="11:12" x14ac:dyDescent="0.25">
      <c r="K336" s="4">
        <v>3840</v>
      </c>
      <c r="L336" s="15">
        <f t="shared" si="60"/>
        <v>1.3541666666666701</v>
      </c>
    </row>
    <row r="337" spans="11:12" x14ac:dyDescent="0.25">
      <c r="K337" s="4">
        <v>3850</v>
      </c>
      <c r="L337" s="15">
        <f t="shared" si="60"/>
        <v>1.3576388888888899</v>
      </c>
    </row>
    <row r="338" spans="11:12" x14ac:dyDescent="0.25">
      <c r="K338" s="4">
        <v>3860</v>
      </c>
      <c r="L338" s="15">
        <f t="shared" si="60"/>
        <v>1.3611111111111101</v>
      </c>
    </row>
    <row r="339" spans="11:12" x14ac:dyDescent="0.25">
      <c r="K339" s="4">
        <v>3870</v>
      </c>
      <c r="L339" s="15">
        <f t="shared" si="60"/>
        <v>1.3645833333333299</v>
      </c>
    </row>
    <row r="340" spans="11:12" x14ac:dyDescent="0.25">
      <c r="K340" s="4">
        <v>3880</v>
      </c>
      <c r="L340" s="15">
        <f t="shared" si="60"/>
        <v>1.36805555555555</v>
      </c>
    </row>
    <row r="341" spans="11:12" x14ac:dyDescent="0.25">
      <c r="K341" s="4">
        <v>3890</v>
      </c>
      <c r="L341" s="15">
        <f t="shared" si="60"/>
        <v>1.3715277777777799</v>
      </c>
    </row>
    <row r="342" spans="11:12" x14ac:dyDescent="0.25">
      <c r="K342" s="4">
        <v>3900</v>
      </c>
      <c r="L342" s="15">
        <f t="shared" si="60"/>
        <v>1.375</v>
      </c>
    </row>
    <row r="343" spans="11:12" x14ac:dyDescent="0.25">
      <c r="K343" s="4">
        <v>3910</v>
      </c>
      <c r="L343" s="15">
        <f t="shared" si="60"/>
        <v>1.3784722222222201</v>
      </c>
    </row>
    <row r="344" spans="11:12" x14ac:dyDescent="0.25">
      <c r="K344" s="4">
        <v>3920</v>
      </c>
      <c r="L344" s="15">
        <f t="shared" si="60"/>
        <v>1.38194444444444</v>
      </c>
    </row>
    <row r="345" spans="11:12" x14ac:dyDescent="0.25">
      <c r="K345" s="4">
        <v>3930</v>
      </c>
      <c r="L345" s="15">
        <f t="shared" si="60"/>
        <v>1.3854166666666701</v>
      </c>
    </row>
    <row r="346" spans="11:12" x14ac:dyDescent="0.25">
      <c r="K346" s="4">
        <v>3940</v>
      </c>
      <c r="L346" s="15">
        <f t="shared" si="60"/>
        <v>1.3888888888888899</v>
      </c>
    </row>
    <row r="347" spans="11:12" x14ac:dyDescent="0.25">
      <c r="K347" s="4">
        <v>3950</v>
      </c>
      <c r="L347" s="15">
        <f t="shared" si="60"/>
        <v>1.3923611111111101</v>
      </c>
    </row>
    <row r="348" spans="11:12" x14ac:dyDescent="0.25">
      <c r="K348" s="4">
        <v>3960</v>
      </c>
      <c r="L348" s="15">
        <f t="shared" si="60"/>
        <v>1.3958333333333299</v>
      </c>
    </row>
    <row r="349" spans="11:12" x14ac:dyDescent="0.25">
      <c r="K349" s="4">
        <v>3970</v>
      </c>
      <c r="L349" s="15">
        <f t="shared" si="60"/>
        <v>1.39930555555555</v>
      </c>
    </row>
    <row r="350" spans="11:12" x14ac:dyDescent="0.25">
      <c r="K350" s="4">
        <v>3980</v>
      </c>
      <c r="L350" s="15">
        <f t="shared" si="60"/>
        <v>1.4027777777777799</v>
      </c>
    </row>
    <row r="351" spans="11:12" x14ac:dyDescent="0.25">
      <c r="K351" s="4">
        <v>3990</v>
      </c>
      <c r="L351" s="15">
        <f t="shared" si="60"/>
        <v>1.40625</v>
      </c>
    </row>
    <row r="352" spans="11:12" x14ac:dyDescent="0.25">
      <c r="K352" s="4">
        <v>4000</v>
      </c>
      <c r="L352" s="15">
        <f t="shared" si="60"/>
        <v>1.4097222222222201</v>
      </c>
    </row>
    <row r="353" spans="11:12" x14ac:dyDescent="0.25">
      <c r="K353" s="4">
        <v>4010</v>
      </c>
      <c r="L353" s="15">
        <f t="shared" si="60"/>
        <v>1.41319444444444</v>
      </c>
    </row>
    <row r="354" spans="11:12" x14ac:dyDescent="0.25">
      <c r="K354" s="4">
        <v>4020</v>
      </c>
      <c r="L354" s="15">
        <f t="shared" si="60"/>
        <v>1.4166666666666701</v>
      </c>
    </row>
    <row r="355" spans="11:12" x14ac:dyDescent="0.25">
      <c r="K355" s="4">
        <v>4030</v>
      </c>
      <c r="L355" s="15">
        <f t="shared" si="60"/>
        <v>1.4201388888888899</v>
      </c>
    </row>
    <row r="356" spans="11:12" x14ac:dyDescent="0.25">
      <c r="K356" s="4">
        <v>4040</v>
      </c>
      <c r="L356" s="15">
        <f t="shared" si="60"/>
        <v>1.4236111111111101</v>
      </c>
    </row>
    <row r="357" spans="11:12" x14ac:dyDescent="0.25">
      <c r="K357" s="4">
        <v>4050</v>
      </c>
      <c r="L357" s="15">
        <f t="shared" si="60"/>
        <v>1.4270833333333299</v>
      </c>
    </row>
    <row r="358" spans="11:12" x14ac:dyDescent="0.25">
      <c r="K358" s="4">
        <v>4060</v>
      </c>
      <c r="L358" s="15">
        <f t="shared" si="60"/>
        <v>1.43055555555555</v>
      </c>
    </row>
    <row r="359" spans="11:12" x14ac:dyDescent="0.25">
      <c r="K359" s="4">
        <v>4070</v>
      </c>
      <c r="L359" s="15">
        <f t="shared" si="60"/>
        <v>1.4340277777777799</v>
      </c>
    </row>
    <row r="360" spans="11:12" x14ac:dyDescent="0.25">
      <c r="K360" s="4">
        <v>4080</v>
      </c>
      <c r="L360" s="15">
        <f t="shared" si="60"/>
        <v>1.4375</v>
      </c>
    </row>
    <row r="361" spans="11:12" x14ac:dyDescent="0.25">
      <c r="K361" s="4">
        <v>4090</v>
      </c>
      <c r="L361" s="15">
        <f t="shared" si="60"/>
        <v>1.4409722222222201</v>
      </c>
    </row>
    <row r="362" spans="11:12" x14ac:dyDescent="0.25">
      <c r="K362" s="4">
        <v>4100</v>
      </c>
      <c r="L362" s="15">
        <f t="shared" si="60"/>
        <v>1.44444444444444</v>
      </c>
    </row>
    <row r="363" spans="11:12" x14ac:dyDescent="0.25">
      <c r="K363" s="4">
        <v>4110</v>
      </c>
      <c r="L363" s="15">
        <f t="shared" si="60"/>
        <v>1.4479166666666701</v>
      </c>
    </row>
    <row r="364" spans="11:12" x14ac:dyDescent="0.25">
      <c r="K364" s="4">
        <v>4120</v>
      </c>
      <c r="L364" s="15">
        <f t="shared" si="60"/>
        <v>1.4513888888888899</v>
      </c>
    </row>
    <row r="365" spans="11:12" x14ac:dyDescent="0.25">
      <c r="K365" s="4">
        <v>4130</v>
      </c>
      <c r="L365" s="15">
        <f t="shared" si="60"/>
        <v>1.4548611111111101</v>
      </c>
    </row>
    <row r="366" spans="11:12" x14ac:dyDescent="0.25">
      <c r="K366" s="4">
        <v>4140</v>
      </c>
      <c r="L366" s="15">
        <f t="shared" si="60"/>
        <v>1.4583333333333299</v>
      </c>
    </row>
    <row r="367" spans="11:12" x14ac:dyDescent="0.25">
      <c r="K367" s="4">
        <v>4150</v>
      </c>
      <c r="L367" s="15">
        <f t="shared" si="60"/>
        <v>1.46180555555555</v>
      </c>
    </row>
    <row r="368" spans="11:12" x14ac:dyDescent="0.25">
      <c r="K368" s="4">
        <v>4160</v>
      </c>
      <c r="L368" s="15">
        <f t="shared" si="60"/>
        <v>1.4652777777777799</v>
      </c>
    </row>
    <row r="369" spans="11:12" x14ac:dyDescent="0.25">
      <c r="K369" s="4">
        <v>4170</v>
      </c>
      <c r="L369" s="15">
        <f t="shared" si="60"/>
        <v>1.46875</v>
      </c>
    </row>
    <row r="370" spans="11:12" x14ac:dyDescent="0.25">
      <c r="K370" s="4">
        <v>4180</v>
      </c>
      <c r="L370" s="15">
        <f t="shared" si="60"/>
        <v>1.4722222222222201</v>
      </c>
    </row>
    <row r="371" spans="11:12" x14ac:dyDescent="0.25">
      <c r="K371" s="4">
        <v>4190</v>
      </c>
      <c r="L371" s="15">
        <f t="shared" si="60"/>
        <v>1.47569444444444</v>
      </c>
    </row>
    <row r="372" spans="11:12" x14ac:dyDescent="0.25">
      <c r="K372" s="4">
        <v>4200</v>
      </c>
      <c r="L372" s="15">
        <f t="shared" si="60"/>
        <v>1.4791666666666701</v>
      </c>
    </row>
    <row r="373" spans="11:12" x14ac:dyDescent="0.25">
      <c r="K373" s="4">
        <v>4210</v>
      </c>
      <c r="L373" s="15">
        <f t="shared" si="60"/>
        <v>1.4826388888888899</v>
      </c>
    </row>
    <row r="374" spans="11:12" x14ac:dyDescent="0.25">
      <c r="K374" s="4">
        <v>4220</v>
      </c>
      <c r="L374" s="15">
        <f t="shared" si="60"/>
        <v>1.4861111111111101</v>
      </c>
    </row>
    <row r="375" spans="11:12" x14ac:dyDescent="0.25">
      <c r="K375" s="4">
        <v>4230</v>
      </c>
      <c r="L375" s="15">
        <f t="shared" si="60"/>
        <v>1.4895833333333299</v>
      </c>
    </row>
    <row r="376" spans="11:12" x14ac:dyDescent="0.25">
      <c r="K376" s="4">
        <v>4240</v>
      </c>
      <c r="L376" s="15">
        <f t="shared" si="60"/>
        <v>1.49305555555555</v>
      </c>
    </row>
    <row r="377" spans="11:12" x14ac:dyDescent="0.25">
      <c r="K377" s="4">
        <v>4250</v>
      </c>
      <c r="L377" s="15">
        <f t="shared" si="60"/>
        <v>1.4965277777777799</v>
      </c>
    </row>
    <row r="378" spans="11:12" x14ac:dyDescent="0.25">
      <c r="K378" s="4">
        <v>4260</v>
      </c>
      <c r="L378" s="15">
        <f t="shared" si="60"/>
        <v>1.5</v>
      </c>
    </row>
    <row r="379" spans="11:12" x14ac:dyDescent="0.25">
      <c r="K379" s="4">
        <v>4270</v>
      </c>
      <c r="L379" s="15">
        <f t="shared" si="60"/>
        <v>1.5034722222222201</v>
      </c>
    </row>
    <row r="380" spans="11:12" x14ac:dyDescent="0.25">
      <c r="K380" s="4">
        <v>4280</v>
      </c>
      <c r="L380" s="15">
        <f t="shared" si="60"/>
        <v>1.50694444444444</v>
      </c>
    </row>
    <row r="381" spans="11:12" x14ac:dyDescent="0.25">
      <c r="K381" s="4">
        <v>4290</v>
      </c>
      <c r="L381" s="15">
        <f t="shared" si="60"/>
        <v>1.5104166666666701</v>
      </c>
    </row>
    <row r="382" spans="11:12" x14ac:dyDescent="0.25">
      <c r="K382" s="4">
        <v>4300</v>
      </c>
      <c r="L382" s="15">
        <f t="shared" si="60"/>
        <v>1.5138888888888899</v>
      </c>
    </row>
    <row r="383" spans="11:12" x14ac:dyDescent="0.25">
      <c r="K383" s="4">
        <v>4310</v>
      </c>
      <c r="L383" s="15">
        <f t="shared" si="60"/>
        <v>1.5173611111111101</v>
      </c>
    </row>
    <row r="384" spans="11:12" x14ac:dyDescent="0.25">
      <c r="K384" s="4">
        <v>4320</v>
      </c>
      <c r="L384" s="15">
        <f t="shared" si="60"/>
        <v>1.5208333333333299</v>
      </c>
    </row>
    <row r="385" spans="11:12" x14ac:dyDescent="0.25">
      <c r="K385" s="4">
        <v>4330</v>
      </c>
      <c r="L385" s="15">
        <f t="shared" si="60"/>
        <v>1.52430555555555</v>
      </c>
    </row>
    <row r="386" spans="11:12" x14ac:dyDescent="0.25">
      <c r="K386" s="4">
        <v>4340</v>
      </c>
      <c r="L386" s="15">
        <f t="shared" si="60"/>
        <v>1.5277777777777799</v>
      </c>
    </row>
    <row r="387" spans="11:12" x14ac:dyDescent="0.25">
      <c r="K387" s="4">
        <v>4350</v>
      </c>
      <c r="L387" s="15">
        <f t="shared" si="60"/>
        <v>1.53125</v>
      </c>
    </row>
    <row r="388" spans="11:12" x14ac:dyDescent="0.25">
      <c r="K388" s="4">
        <v>4360</v>
      </c>
      <c r="L388" s="15">
        <f t="shared" si="60"/>
        <v>1.5347222222222201</v>
      </c>
    </row>
    <row r="389" spans="11:12" x14ac:dyDescent="0.25">
      <c r="K389" s="4">
        <v>4370</v>
      </c>
      <c r="L389" s="15">
        <f t="shared" si="60"/>
        <v>1.53819444444444</v>
      </c>
    </row>
    <row r="390" spans="11:12" x14ac:dyDescent="0.25">
      <c r="K390" s="4">
        <v>4380</v>
      </c>
      <c r="L390" s="15">
        <f t="shared" si="60"/>
        <v>1.5416666666666701</v>
      </c>
    </row>
    <row r="391" spans="11:12" x14ac:dyDescent="0.25">
      <c r="K391" s="4">
        <v>4390</v>
      </c>
      <c r="L391" s="15">
        <f t="shared" si="60"/>
        <v>1.5451388888888899</v>
      </c>
    </row>
    <row r="392" spans="11:12" x14ac:dyDescent="0.25">
      <c r="K392" s="4">
        <v>4400</v>
      </c>
      <c r="L392" s="15">
        <f t="shared" ref="L392:L415" si="61">$L$6+(((K392-$K$6)/10)*$M$2)</f>
        <v>1.5486111111111101</v>
      </c>
    </row>
    <row r="393" spans="11:12" x14ac:dyDescent="0.25">
      <c r="K393" s="4">
        <v>4410</v>
      </c>
      <c r="L393" s="15">
        <f t="shared" si="61"/>
        <v>1.5520833333333299</v>
      </c>
    </row>
    <row r="394" spans="11:12" x14ac:dyDescent="0.25">
      <c r="K394" s="4">
        <v>4420</v>
      </c>
      <c r="L394" s="15">
        <f t="shared" si="61"/>
        <v>1.55555555555555</v>
      </c>
    </row>
    <row r="395" spans="11:12" x14ac:dyDescent="0.25">
      <c r="K395" s="4">
        <v>4430</v>
      </c>
      <c r="L395" s="15">
        <f t="shared" si="61"/>
        <v>1.5590277777777799</v>
      </c>
    </row>
    <row r="396" spans="11:12" x14ac:dyDescent="0.25">
      <c r="K396" s="4">
        <v>4440</v>
      </c>
      <c r="L396" s="15">
        <f t="shared" si="61"/>
        <v>1.5625</v>
      </c>
    </row>
    <row r="397" spans="11:12" x14ac:dyDescent="0.25">
      <c r="K397" s="4">
        <v>4450</v>
      </c>
      <c r="L397" s="15">
        <f t="shared" si="61"/>
        <v>1.5659722222222201</v>
      </c>
    </row>
    <row r="398" spans="11:12" x14ac:dyDescent="0.25">
      <c r="K398" s="4">
        <v>4460</v>
      </c>
      <c r="L398" s="15">
        <f t="shared" si="61"/>
        <v>1.56944444444444</v>
      </c>
    </row>
    <row r="399" spans="11:12" x14ac:dyDescent="0.25">
      <c r="K399" s="4">
        <v>4470</v>
      </c>
      <c r="L399" s="15">
        <f t="shared" si="61"/>
        <v>1.5729166666666701</v>
      </c>
    </row>
    <row r="400" spans="11:12" x14ac:dyDescent="0.25">
      <c r="K400" s="4">
        <v>4480</v>
      </c>
      <c r="L400" s="15">
        <f t="shared" si="61"/>
        <v>1.5763888888888899</v>
      </c>
    </row>
    <row r="401" spans="11:12" x14ac:dyDescent="0.25">
      <c r="K401" s="4">
        <v>4490</v>
      </c>
      <c r="L401" s="15">
        <f t="shared" si="61"/>
        <v>1.5798611111111101</v>
      </c>
    </row>
    <row r="402" spans="11:12" x14ac:dyDescent="0.25">
      <c r="K402" s="4">
        <v>4500</v>
      </c>
      <c r="L402" s="15">
        <f t="shared" si="61"/>
        <v>1.5833333333333299</v>
      </c>
    </row>
    <row r="403" spans="11:12" x14ac:dyDescent="0.25">
      <c r="K403" s="4">
        <v>4510</v>
      </c>
      <c r="L403" s="15">
        <f t="shared" si="61"/>
        <v>1.58680555555555</v>
      </c>
    </row>
    <row r="404" spans="11:12" x14ac:dyDescent="0.25">
      <c r="K404" s="4">
        <v>4520</v>
      </c>
      <c r="L404" s="15">
        <f t="shared" si="61"/>
        <v>1.5902777777777799</v>
      </c>
    </row>
    <row r="405" spans="11:12" x14ac:dyDescent="0.25">
      <c r="K405" s="4">
        <v>4530</v>
      </c>
      <c r="L405" s="15">
        <f t="shared" si="61"/>
        <v>1.59375</v>
      </c>
    </row>
    <row r="406" spans="11:12" x14ac:dyDescent="0.25">
      <c r="K406" s="4">
        <v>4540</v>
      </c>
      <c r="L406" s="15">
        <f t="shared" si="61"/>
        <v>1.5972222222222201</v>
      </c>
    </row>
    <row r="407" spans="11:12" x14ac:dyDescent="0.25">
      <c r="K407" s="4">
        <v>4550</v>
      </c>
      <c r="L407" s="15">
        <f t="shared" si="61"/>
        <v>1.60069444444444</v>
      </c>
    </row>
    <row r="408" spans="11:12" x14ac:dyDescent="0.25">
      <c r="K408" s="4">
        <v>4560</v>
      </c>
      <c r="L408" s="15">
        <f t="shared" si="61"/>
        <v>1.6041666666666701</v>
      </c>
    </row>
    <row r="409" spans="11:12" x14ac:dyDescent="0.25">
      <c r="K409" s="4">
        <v>4570</v>
      </c>
      <c r="L409" s="15">
        <f t="shared" si="61"/>
        <v>1.6076388888888899</v>
      </c>
    </row>
    <row r="410" spans="11:12" x14ac:dyDescent="0.25">
      <c r="K410" s="4">
        <v>4580</v>
      </c>
      <c r="L410" s="15">
        <f t="shared" si="61"/>
        <v>1.6111111111111101</v>
      </c>
    </row>
    <row r="411" spans="11:12" x14ac:dyDescent="0.25">
      <c r="K411" s="4">
        <v>4590</v>
      </c>
      <c r="L411" s="15">
        <f t="shared" si="61"/>
        <v>1.6145833333333299</v>
      </c>
    </row>
    <row r="412" spans="11:12" x14ac:dyDescent="0.25">
      <c r="K412" s="4">
        <v>4600</v>
      </c>
      <c r="L412" s="15">
        <f t="shared" si="61"/>
        <v>1.61805555555555</v>
      </c>
    </row>
    <row r="413" spans="11:12" x14ac:dyDescent="0.25">
      <c r="K413" s="4">
        <v>4610</v>
      </c>
      <c r="L413" s="15">
        <f t="shared" si="61"/>
        <v>1.6215277777777799</v>
      </c>
    </row>
    <row r="414" spans="11:12" x14ac:dyDescent="0.25">
      <c r="K414" s="4">
        <v>4620</v>
      </c>
      <c r="L414" s="15">
        <f t="shared" si="61"/>
        <v>1.625</v>
      </c>
    </row>
    <row r="415" spans="11:12" x14ac:dyDescent="0.25">
      <c r="K415" s="4">
        <v>4630</v>
      </c>
      <c r="L415" s="15">
        <f t="shared" si="61"/>
        <v>1.6284722222222201</v>
      </c>
    </row>
  </sheetData>
  <mergeCells count="19">
    <mergeCell ref="AC2:AD2"/>
    <mergeCell ref="T103:T203"/>
    <mergeCell ref="V1:Z1"/>
    <mergeCell ref="AB1:AF1"/>
    <mergeCell ref="T64:T73"/>
    <mergeCell ref="T9:T18"/>
    <mergeCell ref="T4:T8"/>
    <mergeCell ref="F191:G191"/>
    <mergeCell ref="P1:T1"/>
    <mergeCell ref="H191:I191"/>
    <mergeCell ref="T29:T38"/>
    <mergeCell ref="T74:T83"/>
    <mergeCell ref="P4:P8"/>
    <mergeCell ref="A182:E182"/>
    <mergeCell ref="T19:T28"/>
    <mergeCell ref="T47:T63"/>
    <mergeCell ref="Q2:R2"/>
    <mergeCell ref="W2:X2"/>
    <mergeCell ref="T84:T102"/>
  </mergeCells>
  <dataValidations count="1">
    <dataValidation showInputMessage="1" showErrorMessage="1" sqref="B215" xr:uid="{5C08F196-9ADA-4949-A7B7-4A38B5749245}"/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415"/>
  <sheetViews>
    <sheetView topLeftCell="A217" zoomScale="70" zoomScaleNormal="70" workbookViewId="0">
      <selection activeCell="C13" sqref="C13"/>
    </sheetView>
  </sheetViews>
  <sheetFormatPr defaultRowHeight="15" x14ac:dyDescent="0.25"/>
  <cols>
    <col min="1" max="1" width="72" bestFit="1" customWidth="1"/>
    <col min="2" max="2" width="32.28515625" bestFit="1" customWidth="1"/>
    <col min="3" max="3" width="38.7109375" customWidth="1"/>
    <col min="4" max="4" width="56.42578125" bestFit="1" customWidth="1"/>
    <col min="5" max="5" width="34" customWidth="1"/>
    <col min="6" max="6" width="30.28515625" bestFit="1" customWidth="1"/>
    <col min="7" max="7" width="34" customWidth="1"/>
    <col min="8" max="8" width="34.42578125" customWidth="1"/>
    <col min="9" max="9" width="24.28515625" bestFit="1" customWidth="1"/>
    <col min="10" max="10" width="32.28515625" bestFit="1" customWidth="1"/>
    <col min="11" max="11" width="10.5703125" bestFit="1" customWidth="1"/>
    <col min="12" max="12" width="9.7109375" style="14" bestFit="1" customWidth="1"/>
    <col min="13" max="13" width="25.7109375" customWidth="1"/>
    <col min="14" max="14" width="8.7109375" bestFit="1" customWidth="1"/>
    <col min="15" max="15" width="15.42578125" customWidth="1"/>
    <col min="16" max="16" width="28.7109375" bestFit="1" customWidth="1"/>
    <col min="17" max="17" width="15.42578125" style="14" bestFit="1" customWidth="1"/>
    <col min="18" max="18" width="19.42578125" bestFit="1" customWidth="1"/>
    <col min="19" max="19" width="22.42578125" bestFit="1" customWidth="1"/>
    <col min="20" max="20" width="43.42578125" customWidth="1"/>
    <col min="21" max="21" width="8.7109375" bestFit="1" customWidth="1"/>
    <col min="22" max="22" width="29.5703125" bestFit="1" customWidth="1"/>
    <col min="23" max="23" width="12.42578125" bestFit="1" customWidth="1"/>
    <col min="24" max="24" width="9.5703125" bestFit="1" customWidth="1"/>
    <col min="25" max="25" width="30.7109375" customWidth="1"/>
    <col min="26" max="26" width="41.7109375" customWidth="1"/>
    <col min="27" max="27" width="8.7109375" bestFit="1" customWidth="1"/>
    <col min="28" max="28" width="29.5703125" bestFit="1" customWidth="1"/>
    <col min="29" max="29" width="12.42578125" bestFit="1" customWidth="1"/>
    <col min="30" max="30" width="9.5703125" bestFit="1" customWidth="1"/>
    <col min="31" max="31" width="30.7109375" customWidth="1"/>
    <col min="32" max="32" width="41.7109375" customWidth="1"/>
  </cols>
  <sheetData>
    <row r="1" spans="1:32" ht="33" customHeight="1" thickBot="1" x14ac:dyDescent="0.55000000000000004">
      <c r="A1" s="49" t="s">
        <v>0</v>
      </c>
      <c r="B1" s="4"/>
      <c r="D1" s="167" t="s">
        <v>1</v>
      </c>
      <c r="E1" s="168"/>
      <c r="F1" s="117"/>
      <c r="I1" s="13" t="s">
        <v>2</v>
      </c>
      <c r="J1" s="13"/>
      <c r="K1" s="110" t="s">
        <v>3</v>
      </c>
      <c r="L1" s="111"/>
      <c r="M1" s="112" t="s">
        <v>4</v>
      </c>
      <c r="P1" s="632" t="s">
        <v>5</v>
      </c>
      <c r="Q1" s="620"/>
      <c r="R1" s="620"/>
      <c r="S1" s="620"/>
      <c r="T1" s="621"/>
      <c r="V1" s="632" t="s">
        <v>6</v>
      </c>
      <c r="W1" s="620"/>
      <c r="X1" s="620"/>
      <c r="Y1" s="620"/>
      <c r="Z1" s="621"/>
      <c r="AA1" s="104"/>
      <c r="AB1" s="632" t="s">
        <v>7</v>
      </c>
      <c r="AC1" s="620"/>
      <c r="AD1" s="620"/>
      <c r="AE1" s="620"/>
      <c r="AF1" s="621"/>
    </row>
    <row r="2" spans="1:32" ht="24" customHeight="1" thickBot="1" x14ac:dyDescent="0.4">
      <c r="A2" s="4" t="s">
        <v>8</v>
      </c>
      <c r="B2" s="116">
        <f>H21</f>
        <v>1.0416666666666701E-2</v>
      </c>
      <c r="D2" s="165" t="s">
        <v>9</v>
      </c>
      <c r="E2" s="166"/>
      <c r="I2" s="211" t="s">
        <v>10</v>
      </c>
      <c r="J2" s="212" t="s">
        <v>11</v>
      </c>
      <c r="K2" s="81" t="s">
        <v>12</v>
      </c>
      <c r="L2" s="113" t="s">
        <v>13</v>
      </c>
      <c r="M2" s="114">
        <v>3.4722222222222199E-3</v>
      </c>
      <c r="P2" s="40"/>
      <c r="Q2" s="626" t="s">
        <v>5</v>
      </c>
      <c r="R2" s="627"/>
      <c r="S2" s="89"/>
      <c r="T2" s="90"/>
      <c r="V2" s="105"/>
      <c r="W2" s="628" t="s">
        <v>14</v>
      </c>
      <c r="X2" s="629"/>
      <c r="Y2" s="105"/>
      <c r="Z2" s="105"/>
      <c r="AB2" s="105"/>
      <c r="AC2" s="628" t="s">
        <v>14</v>
      </c>
      <c r="AD2" s="629"/>
      <c r="AE2" s="105"/>
      <c r="AF2" s="105"/>
    </row>
    <row r="3" spans="1:32" ht="15" customHeight="1" thickBot="1" x14ac:dyDescent="0.3">
      <c r="A3" s="4" t="s">
        <v>15</v>
      </c>
      <c r="B3" s="15">
        <f>(B2*E7)/2</f>
        <v>0</v>
      </c>
      <c r="D3" s="3" t="s">
        <v>16</v>
      </c>
      <c r="E3" s="115"/>
      <c r="I3" s="4">
        <v>0</v>
      </c>
      <c r="J3" s="15">
        <v>0</v>
      </c>
      <c r="K3" s="4">
        <v>1</v>
      </c>
      <c r="L3" s="15">
        <v>3.125E-2</v>
      </c>
      <c r="P3" s="294" t="s">
        <v>17</v>
      </c>
      <c r="Q3" s="176" t="s">
        <v>18</v>
      </c>
      <c r="R3" s="295" t="s">
        <v>19</v>
      </c>
      <c r="S3" s="296" t="s">
        <v>20</v>
      </c>
      <c r="T3" s="297" t="s">
        <v>21</v>
      </c>
      <c r="V3" s="3" t="s">
        <v>17</v>
      </c>
      <c r="W3" s="4" t="s">
        <v>22</v>
      </c>
      <c r="X3" s="298" t="s">
        <v>23</v>
      </c>
      <c r="Y3" s="299" t="s">
        <v>24</v>
      </c>
      <c r="Z3" s="300" t="s">
        <v>21</v>
      </c>
      <c r="AB3" s="222" t="s">
        <v>17</v>
      </c>
      <c r="AC3" s="301" t="s">
        <v>22</v>
      </c>
      <c r="AD3" s="302" t="s">
        <v>23</v>
      </c>
      <c r="AE3" s="303" t="s">
        <v>24</v>
      </c>
      <c r="AF3" s="304" t="s">
        <v>21</v>
      </c>
    </row>
    <row r="4" spans="1:32" ht="15" customHeight="1" thickBot="1" x14ac:dyDescent="0.3">
      <c r="A4" s="4" t="s">
        <v>25</v>
      </c>
      <c r="B4" s="15">
        <f>H20</f>
        <v>1.0416666666666701E-2</v>
      </c>
      <c r="D4" s="3" t="s">
        <v>26</v>
      </c>
      <c r="E4" s="115"/>
      <c r="I4" s="4">
        <v>1</v>
      </c>
      <c r="J4" s="15">
        <v>1.0416666666666699E-3</v>
      </c>
      <c r="K4" s="4">
        <v>10</v>
      </c>
      <c r="L4" s="15">
        <v>3.125E-2</v>
      </c>
      <c r="P4" s="636" t="s">
        <v>27</v>
      </c>
      <c r="Q4" s="59">
        <v>1</v>
      </c>
      <c r="R4" s="44">
        <v>2.7777777777777801E-2</v>
      </c>
      <c r="S4" s="52">
        <v>0</v>
      </c>
      <c r="T4" s="644">
        <v>1.38888888888889E-3</v>
      </c>
      <c r="V4" s="206">
        <v>0</v>
      </c>
      <c r="W4" s="207">
        <v>0</v>
      </c>
      <c r="X4" s="207">
        <v>0</v>
      </c>
      <c r="Y4" s="207">
        <v>0</v>
      </c>
      <c r="Z4" s="208">
        <v>0</v>
      </c>
      <c r="AB4" s="206">
        <v>0</v>
      </c>
      <c r="AC4" s="207">
        <v>0</v>
      </c>
      <c r="AD4" s="207">
        <v>0</v>
      </c>
      <c r="AE4" s="207">
        <v>0</v>
      </c>
      <c r="AF4" s="208">
        <v>0</v>
      </c>
    </row>
    <row r="5" spans="1:32" ht="15" customHeight="1" x14ac:dyDescent="0.25">
      <c r="A5" s="4" t="s">
        <v>28</v>
      </c>
      <c r="B5" s="15" t="e">
        <f>INDEX(R4:R203,MATCH(E8,Q4:Q203,0))</f>
        <v>#N/A</v>
      </c>
      <c r="D5" s="3" t="s">
        <v>299</v>
      </c>
      <c r="E5" s="3" t="e">
        <f>E4/E3</f>
        <v>#DIV/0!</v>
      </c>
      <c r="I5" s="4">
        <v>50</v>
      </c>
      <c r="J5" s="15">
        <v>1.0416666666666699E-3</v>
      </c>
      <c r="K5" s="4">
        <v>20</v>
      </c>
      <c r="L5" s="15">
        <v>3.125E-2</v>
      </c>
      <c r="P5" s="637"/>
      <c r="Q5" s="59">
        <v>2</v>
      </c>
      <c r="R5" s="52">
        <f t="shared" ref="R5:R36" si="0">$R$4+S5</f>
        <v>2.9166666666666698E-2</v>
      </c>
      <c r="S5" s="53">
        <f>S4+$T$4</f>
        <v>1.38888888888889E-3</v>
      </c>
      <c r="T5" s="623"/>
      <c r="V5" s="184" t="s">
        <v>29</v>
      </c>
      <c r="W5" s="59">
        <v>1</v>
      </c>
      <c r="X5" s="44">
        <v>1.38888888888889E-2</v>
      </c>
      <c r="Y5" s="52">
        <v>0</v>
      </c>
      <c r="Z5" s="201">
        <v>2.0833333333333298E-3</v>
      </c>
      <c r="AB5" s="203" t="s">
        <v>29</v>
      </c>
      <c r="AC5" s="204">
        <v>1</v>
      </c>
      <c r="AD5" s="205">
        <v>1.38888888888889E-2</v>
      </c>
      <c r="AE5" s="52">
        <v>0</v>
      </c>
      <c r="AF5" s="201">
        <v>2.0833333333333298E-3</v>
      </c>
    </row>
    <row r="6" spans="1:32" ht="14.65" customHeight="1" x14ac:dyDescent="0.25">
      <c r="A6" s="4" t="s">
        <v>30</v>
      </c>
      <c r="B6" s="44">
        <v>0</v>
      </c>
      <c r="C6" t="s">
        <v>31</v>
      </c>
      <c r="D6" s="3" t="s">
        <v>300</v>
      </c>
      <c r="E6" s="4">
        <f>E9*E3</f>
        <v>0</v>
      </c>
      <c r="I6" s="4">
        <v>100</v>
      </c>
      <c r="J6" s="15">
        <v>1.38888888888889E-3</v>
      </c>
      <c r="K6" s="4">
        <v>30</v>
      </c>
      <c r="L6" s="15">
        <v>3.125E-2</v>
      </c>
      <c r="P6" s="637"/>
      <c r="Q6" s="59">
        <v>3</v>
      </c>
      <c r="R6" s="52">
        <f t="shared" si="0"/>
        <v>3.05555555555556E-2</v>
      </c>
      <c r="S6" s="53">
        <f>S5+$T$4</f>
        <v>2.7777777777777801E-3</v>
      </c>
      <c r="T6" s="623"/>
      <c r="V6" s="184"/>
      <c r="W6" s="59">
        <v>2</v>
      </c>
      <c r="X6" s="52">
        <f t="shared" ref="X6:X37" si="1">$X$5+Y6</f>
        <v>1.59722222222222E-2</v>
      </c>
      <c r="Y6" s="53">
        <f>Y5+$Z$5</f>
        <v>2.0833333333333298E-3</v>
      </c>
      <c r="Z6" s="201"/>
      <c r="AB6" s="184"/>
      <c r="AC6" s="59">
        <v>2</v>
      </c>
      <c r="AD6" s="52">
        <f t="shared" ref="AD6:AD37" si="2">$AD$5+AE6</f>
        <v>1.59722222222222E-2</v>
      </c>
      <c r="AE6" s="53">
        <f>AE5+$AF$5</f>
        <v>2.0833333333333298E-3</v>
      </c>
      <c r="AF6" s="201"/>
    </row>
    <row r="7" spans="1:32" ht="15" customHeight="1" x14ac:dyDescent="0.25">
      <c r="A7" s="4" t="s">
        <v>32</v>
      </c>
      <c r="B7" s="15">
        <f>H24</f>
        <v>2.7777777777777801E-2</v>
      </c>
      <c r="D7" s="3" t="s">
        <v>33</v>
      </c>
      <c r="E7" s="115"/>
      <c r="I7" s="4">
        <v>200</v>
      </c>
      <c r="J7" s="15">
        <v>1.7361111111111099E-3</v>
      </c>
      <c r="K7" s="4">
        <v>40</v>
      </c>
      <c r="L7" s="15">
        <v>3.125E-2</v>
      </c>
      <c r="P7" s="637"/>
      <c r="Q7" s="59">
        <v>4</v>
      </c>
      <c r="R7" s="52">
        <f t="shared" si="0"/>
        <v>3.1944444444444497E-2</v>
      </c>
      <c r="S7" s="53">
        <f>S6+$T$4</f>
        <v>4.1666666666666701E-3</v>
      </c>
      <c r="T7" s="623"/>
      <c r="V7" s="184"/>
      <c r="W7" s="59">
        <v>3</v>
      </c>
      <c r="X7" s="52">
        <f t="shared" si="1"/>
        <v>1.8055555555555599E-2</v>
      </c>
      <c r="Y7" s="53">
        <f>Y6+$Z$5</f>
        <v>4.1666666666666597E-3</v>
      </c>
      <c r="Z7" s="201"/>
      <c r="AB7" s="184"/>
      <c r="AC7" s="59">
        <v>3</v>
      </c>
      <c r="AD7" s="52">
        <f t="shared" si="2"/>
        <v>1.8055555555555599E-2</v>
      </c>
      <c r="AE7" s="53">
        <f>AE6+$Z$5</f>
        <v>4.1666666666666597E-3</v>
      </c>
      <c r="AF7" s="201"/>
    </row>
    <row r="8" spans="1:32" ht="14.65" customHeight="1" x14ac:dyDescent="0.25">
      <c r="A8" s="4" t="s">
        <v>34</v>
      </c>
      <c r="B8" s="15">
        <f>B7*E7</f>
        <v>0</v>
      </c>
      <c r="C8" s="391">
        <f>B10*24</f>
        <v>0</v>
      </c>
      <c r="D8" s="421" t="s">
        <v>35</v>
      </c>
      <c r="E8" s="422"/>
      <c r="I8" s="4">
        <v>400</v>
      </c>
      <c r="J8" s="15">
        <v>2.0833333333333298E-3</v>
      </c>
      <c r="K8" s="4">
        <v>50</v>
      </c>
      <c r="L8" s="15">
        <v>3.125E-2</v>
      </c>
      <c r="P8" s="638"/>
      <c r="Q8" s="59">
        <v>5</v>
      </c>
      <c r="R8" s="52">
        <f t="shared" si="0"/>
        <v>3.3333333333333402E-2</v>
      </c>
      <c r="S8" s="53">
        <f>S7+$T$4</f>
        <v>5.5555555555555601E-3</v>
      </c>
      <c r="T8" s="624"/>
      <c r="V8" s="184"/>
      <c r="W8" s="59">
        <v>4</v>
      </c>
      <c r="X8" s="52">
        <f t="shared" si="1"/>
        <v>2.0138888888888901E-2</v>
      </c>
      <c r="Y8" s="53">
        <f>Y7+$Z$5</f>
        <v>6.2499999999999899E-3</v>
      </c>
      <c r="Z8" s="201"/>
      <c r="AB8" s="184"/>
      <c r="AC8" s="59">
        <v>4</v>
      </c>
      <c r="AD8" s="52">
        <f t="shared" si="2"/>
        <v>2.0138888888888901E-2</v>
      </c>
      <c r="AE8" s="53">
        <f>AE7+$Z$5</f>
        <v>6.2499999999999899E-3</v>
      </c>
      <c r="AF8" s="201"/>
    </row>
    <row r="9" spans="1:32" ht="15" customHeight="1" x14ac:dyDescent="0.25">
      <c r="A9" s="4" t="s">
        <v>36</v>
      </c>
      <c r="B9" s="341" t="e">
        <f>SUM(B2:B8)</f>
        <v>#N/A</v>
      </c>
      <c r="C9" s="381" t="s">
        <v>37</v>
      </c>
      <c r="D9" s="421" t="s">
        <v>38</v>
      </c>
      <c r="E9" s="115"/>
      <c r="I9" s="4">
        <v>600</v>
      </c>
      <c r="J9" s="15">
        <v>3.4722222222222199E-3</v>
      </c>
      <c r="K9" s="4">
        <v>60</v>
      </c>
      <c r="L9" s="15">
        <f t="shared" ref="L9:L40" si="3">$L$6+(((K9-$K$6)/10)*$M$2)</f>
        <v>4.1666666666666699E-2</v>
      </c>
      <c r="P9" s="91" t="s">
        <v>39</v>
      </c>
      <c r="Q9" s="69">
        <v>6</v>
      </c>
      <c r="R9" s="70">
        <f t="shared" si="0"/>
        <v>3.50694444444445E-2</v>
      </c>
      <c r="S9" s="71">
        <f t="shared" ref="S9:S18" si="4">S8+$T$9</f>
        <v>7.2916666666666703E-3</v>
      </c>
      <c r="T9" s="643">
        <v>1.7361111111111099E-3</v>
      </c>
      <c r="V9" s="184"/>
      <c r="W9" s="59">
        <v>5</v>
      </c>
      <c r="X9" s="52">
        <f t="shared" si="1"/>
        <v>2.2222222222222199E-2</v>
      </c>
      <c r="Y9" s="53">
        <f>Y8+$Z$5</f>
        <v>8.3333333333333193E-3</v>
      </c>
      <c r="Z9" s="201"/>
      <c r="AB9" s="184"/>
      <c r="AC9" s="59">
        <v>5</v>
      </c>
      <c r="AD9" s="52">
        <f t="shared" si="2"/>
        <v>2.2222222222222199E-2</v>
      </c>
      <c r="AE9" s="53">
        <f>AE8+$Z$5</f>
        <v>8.3333333333333193E-3</v>
      </c>
      <c r="AF9" s="201"/>
    </row>
    <row r="10" spans="1:32" ht="15" customHeight="1" thickBot="1" x14ac:dyDescent="0.3">
      <c r="A10" s="329" t="s">
        <v>40</v>
      </c>
      <c r="B10" s="17">
        <f>IF(E9&gt;0,B9,0)</f>
        <v>0</v>
      </c>
      <c r="C10" s="382">
        <f>C8/7</f>
        <v>0</v>
      </c>
      <c r="D10" s="421" t="s">
        <v>41</v>
      </c>
      <c r="E10" s="115"/>
      <c r="I10" s="4">
        <v>700</v>
      </c>
      <c r="J10" s="15">
        <v>3.81944444444444E-3</v>
      </c>
      <c r="K10" s="4">
        <v>70</v>
      </c>
      <c r="L10" s="15">
        <f t="shared" si="3"/>
        <v>4.5138888888888902E-2</v>
      </c>
      <c r="P10" s="91"/>
      <c r="Q10" s="69">
        <v>7</v>
      </c>
      <c r="R10" s="70">
        <f t="shared" si="0"/>
        <v>3.6805555555555598E-2</v>
      </c>
      <c r="S10" s="71">
        <f t="shared" si="4"/>
        <v>9.0277777777777804E-3</v>
      </c>
      <c r="T10" s="623"/>
      <c r="V10" s="68" t="s">
        <v>42</v>
      </c>
      <c r="W10" s="69">
        <v>6</v>
      </c>
      <c r="X10" s="52">
        <f t="shared" si="1"/>
        <v>2.4652777777777801E-2</v>
      </c>
      <c r="Y10" s="71">
        <f t="shared" ref="Y10:Y19" si="5">Y9+$Z$10</f>
        <v>1.0763888888888899E-2</v>
      </c>
      <c r="Z10" s="202">
        <v>2.4305555555555599E-3</v>
      </c>
      <c r="AB10" s="68" t="s">
        <v>42</v>
      </c>
      <c r="AC10" s="69">
        <v>6</v>
      </c>
      <c r="AD10" s="52">
        <f t="shared" si="2"/>
        <v>2.4652777777777801E-2</v>
      </c>
      <c r="AE10" s="71">
        <f t="shared" ref="AE10:AE19" si="6">AE9+$AF$10</f>
        <v>1.0763888888888899E-2</v>
      </c>
      <c r="AF10" s="202">
        <v>2.4305555555555599E-3</v>
      </c>
    </row>
    <row r="11" spans="1:32" ht="15" customHeight="1" thickBot="1" x14ac:dyDescent="0.3">
      <c r="A11" s="30"/>
      <c r="B11" s="30"/>
      <c r="C11" s="383"/>
      <c r="D11" s="3" t="s">
        <v>43</v>
      </c>
      <c r="E11" s="422"/>
      <c r="I11" s="4">
        <v>800</v>
      </c>
      <c r="J11" s="15">
        <v>4.5138888888888902E-3</v>
      </c>
      <c r="K11" s="4">
        <v>80</v>
      </c>
      <c r="L11" s="15">
        <f t="shared" si="3"/>
        <v>4.8611111111111098E-2</v>
      </c>
      <c r="P11" s="91"/>
      <c r="Q11" s="69">
        <v>8</v>
      </c>
      <c r="R11" s="70">
        <f t="shared" si="0"/>
        <v>3.8541666666666703E-2</v>
      </c>
      <c r="S11" s="71">
        <f t="shared" si="4"/>
        <v>1.0763888888888899E-2</v>
      </c>
      <c r="T11" s="623"/>
      <c r="V11" s="68"/>
      <c r="W11" s="69">
        <v>7</v>
      </c>
      <c r="X11" s="52">
        <f t="shared" si="1"/>
        <v>2.70833333333334E-2</v>
      </c>
      <c r="Y11" s="71">
        <f t="shared" si="5"/>
        <v>1.31944444444445E-2</v>
      </c>
      <c r="Z11" s="187"/>
      <c r="AB11" s="68"/>
      <c r="AC11" s="69">
        <v>7</v>
      </c>
      <c r="AD11" s="52">
        <f t="shared" si="2"/>
        <v>2.70833333333334E-2</v>
      </c>
      <c r="AE11" s="71">
        <f t="shared" si="6"/>
        <v>1.31944444444445E-2</v>
      </c>
      <c r="AF11" s="187"/>
    </row>
    <row r="12" spans="1:32" ht="15" customHeight="1" thickBot="1" x14ac:dyDescent="0.3">
      <c r="A12" s="337" t="s">
        <v>44</v>
      </c>
      <c r="B12" s="340"/>
      <c r="C12" s="244"/>
      <c r="D12" s="421" t="s">
        <v>45</v>
      </c>
      <c r="E12" s="115"/>
      <c r="I12" s="4">
        <v>900</v>
      </c>
      <c r="J12" s="15">
        <v>4.8611111111111103E-3</v>
      </c>
      <c r="K12" s="4">
        <v>90</v>
      </c>
      <c r="L12" s="15">
        <f t="shared" si="3"/>
        <v>5.2083333333333301E-2</v>
      </c>
      <c r="P12" s="91"/>
      <c r="Q12" s="69">
        <v>9</v>
      </c>
      <c r="R12" s="70">
        <f t="shared" si="0"/>
        <v>4.0277777777777801E-2</v>
      </c>
      <c r="S12" s="71">
        <f t="shared" si="4"/>
        <v>1.2500000000000001E-2</v>
      </c>
      <c r="T12" s="623"/>
      <c r="V12" s="68"/>
      <c r="W12" s="69">
        <v>8</v>
      </c>
      <c r="X12" s="52">
        <f t="shared" si="1"/>
        <v>2.9513888888888999E-2</v>
      </c>
      <c r="Y12" s="71">
        <f t="shared" si="5"/>
        <v>1.5625000000000101E-2</v>
      </c>
      <c r="Z12" s="187"/>
      <c r="AB12" s="68"/>
      <c r="AC12" s="69">
        <v>8</v>
      </c>
      <c r="AD12" s="52">
        <f t="shared" si="2"/>
        <v>2.9513888888888999E-2</v>
      </c>
      <c r="AE12" s="71">
        <f t="shared" si="6"/>
        <v>1.5625000000000101E-2</v>
      </c>
      <c r="AF12" s="187"/>
    </row>
    <row r="13" spans="1:32" ht="15" customHeight="1" x14ac:dyDescent="0.25">
      <c r="A13" s="106" t="s">
        <v>46</v>
      </c>
      <c r="B13" s="107"/>
      <c r="C13" s="244"/>
      <c r="D13" s="3" t="s">
        <v>47</v>
      </c>
      <c r="E13" s="422"/>
      <c r="I13" s="4">
        <v>1000</v>
      </c>
      <c r="J13" s="15">
        <v>5.9027777777777802E-3</v>
      </c>
      <c r="K13" s="4">
        <v>100</v>
      </c>
      <c r="L13" s="15">
        <f t="shared" si="3"/>
        <v>5.5555555555555497E-2</v>
      </c>
      <c r="P13" s="91"/>
      <c r="Q13" s="69">
        <v>10</v>
      </c>
      <c r="R13" s="70">
        <f t="shared" si="0"/>
        <v>4.2013888888888899E-2</v>
      </c>
      <c r="S13" s="71">
        <f t="shared" si="4"/>
        <v>1.42361111111111E-2</v>
      </c>
      <c r="T13" s="623"/>
      <c r="V13" s="68"/>
      <c r="W13" s="69">
        <v>9</v>
      </c>
      <c r="X13" s="52">
        <f t="shared" si="1"/>
        <v>3.1944444444444602E-2</v>
      </c>
      <c r="Y13" s="71">
        <f t="shared" si="5"/>
        <v>1.80555555555557E-2</v>
      </c>
      <c r="Z13" s="187"/>
      <c r="AB13" s="68"/>
      <c r="AC13" s="69">
        <v>9</v>
      </c>
      <c r="AD13" s="52">
        <f t="shared" si="2"/>
        <v>3.1944444444444602E-2</v>
      </c>
      <c r="AE13" s="71">
        <f t="shared" si="6"/>
        <v>1.80555555555557E-2</v>
      </c>
      <c r="AF13" s="187"/>
    </row>
    <row r="14" spans="1:32" ht="15" customHeight="1" x14ac:dyDescent="0.25">
      <c r="A14" s="5" t="s">
        <v>48</v>
      </c>
      <c r="B14" s="108">
        <f>H29</f>
        <v>1.38888888888889E-2</v>
      </c>
      <c r="C14" s="244"/>
      <c r="D14" s="421" t="s">
        <v>49</v>
      </c>
      <c r="E14" s="115"/>
      <c r="I14" s="4">
        <v>1100</v>
      </c>
      <c r="J14" s="15">
        <v>6.2500000000000003E-3</v>
      </c>
      <c r="K14" s="4">
        <v>110</v>
      </c>
      <c r="L14" s="15">
        <f t="shared" si="3"/>
        <v>5.9027777777777797E-2</v>
      </c>
      <c r="P14" s="91"/>
      <c r="Q14" s="69">
        <v>11</v>
      </c>
      <c r="R14" s="70">
        <f t="shared" si="0"/>
        <v>4.3749999999999997E-2</v>
      </c>
      <c r="S14" s="71">
        <f t="shared" si="4"/>
        <v>1.59722222222222E-2</v>
      </c>
      <c r="T14" s="623"/>
      <c r="V14" s="68"/>
      <c r="W14" s="69">
        <v>10</v>
      </c>
      <c r="X14" s="52">
        <f t="shared" si="1"/>
        <v>3.4375000000000197E-2</v>
      </c>
      <c r="Y14" s="71">
        <f t="shared" si="5"/>
        <v>2.0486111111111299E-2</v>
      </c>
      <c r="Z14" s="187"/>
      <c r="AB14" s="68"/>
      <c r="AC14" s="69">
        <v>10</v>
      </c>
      <c r="AD14" s="52">
        <f t="shared" si="2"/>
        <v>3.4375000000000197E-2</v>
      </c>
      <c r="AE14" s="71">
        <f t="shared" si="6"/>
        <v>2.0486111111111299E-2</v>
      </c>
      <c r="AF14" s="187"/>
    </row>
    <row r="15" spans="1:32" ht="14.65" customHeight="1" x14ac:dyDescent="0.25">
      <c r="A15" s="5" t="s">
        <v>50</v>
      </c>
      <c r="B15" s="108">
        <f>(B14*E7)*2</f>
        <v>0</v>
      </c>
      <c r="C15" s="244"/>
      <c r="D15" s="421" t="s">
        <v>51</v>
      </c>
      <c r="E15" s="115"/>
      <c r="I15" s="4">
        <v>1200</v>
      </c>
      <c r="J15" s="15">
        <v>6.5972222222222196E-3</v>
      </c>
      <c r="K15" s="4">
        <v>120</v>
      </c>
      <c r="L15" s="15">
        <f t="shared" si="3"/>
        <v>6.25E-2</v>
      </c>
      <c r="P15" s="91"/>
      <c r="Q15" s="69">
        <v>12</v>
      </c>
      <c r="R15" s="70">
        <f t="shared" si="0"/>
        <v>4.5486111111111102E-2</v>
      </c>
      <c r="S15" s="71">
        <f t="shared" si="4"/>
        <v>1.7708333333333302E-2</v>
      </c>
      <c r="T15" s="623"/>
      <c r="V15" s="68"/>
      <c r="W15" s="69">
        <v>11</v>
      </c>
      <c r="X15" s="52">
        <f t="shared" si="1"/>
        <v>3.6805555555555799E-2</v>
      </c>
      <c r="Y15" s="71">
        <f t="shared" si="5"/>
        <v>2.2916666666666901E-2</v>
      </c>
      <c r="Z15" s="187"/>
      <c r="AB15" s="68"/>
      <c r="AC15" s="69">
        <v>11</v>
      </c>
      <c r="AD15" s="52">
        <f t="shared" si="2"/>
        <v>3.6805555555555799E-2</v>
      </c>
      <c r="AE15" s="71">
        <f t="shared" si="6"/>
        <v>2.2916666666666901E-2</v>
      </c>
      <c r="AF15" s="187"/>
    </row>
    <row r="16" spans="1:32" ht="15" customHeight="1" x14ac:dyDescent="0.25">
      <c r="A16" s="5" t="s">
        <v>52</v>
      </c>
      <c r="B16" s="109">
        <f>SUM(B14:B15)</f>
        <v>1.38888888888889E-2</v>
      </c>
      <c r="C16" s="244"/>
      <c r="D16" s="3" t="s">
        <v>53</v>
      </c>
      <c r="E16" s="115"/>
      <c r="I16" s="4">
        <v>1300</v>
      </c>
      <c r="J16" s="15">
        <v>6.9444444444444397E-3</v>
      </c>
      <c r="K16" s="4">
        <v>130</v>
      </c>
      <c r="L16" s="15">
        <f t="shared" si="3"/>
        <v>6.5972222222222196E-2</v>
      </c>
      <c r="P16" s="91"/>
      <c r="Q16" s="69">
        <v>13</v>
      </c>
      <c r="R16" s="70">
        <f t="shared" si="0"/>
        <v>4.72222222222222E-2</v>
      </c>
      <c r="S16" s="71">
        <f t="shared" si="4"/>
        <v>1.94444444444444E-2</v>
      </c>
      <c r="T16" s="623"/>
      <c r="V16" s="68"/>
      <c r="W16" s="69">
        <v>12</v>
      </c>
      <c r="X16" s="52">
        <f t="shared" si="1"/>
        <v>3.9236111111111402E-2</v>
      </c>
      <c r="Y16" s="71">
        <f t="shared" si="5"/>
        <v>2.53472222222225E-2</v>
      </c>
      <c r="Z16" s="187"/>
      <c r="AB16" s="68"/>
      <c r="AC16" s="69">
        <v>12</v>
      </c>
      <c r="AD16" s="52">
        <f t="shared" si="2"/>
        <v>3.9236111111111402E-2</v>
      </c>
      <c r="AE16" s="71">
        <f t="shared" si="6"/>
        <v>2.53472222222225E-2</v>
      </c>
      <c r="AF16" s="187"/>
    </row>
    <row r="17" spans="1:32" ht="15" customHeight="1" thickBot="1" x14ac:dyDescent="0.3">
      <c r="A17" s="10"/>
      <c r="B17" s="325">
        <f>IF(E9&gt;0,B16,0)</f>
        <v>0</v>
      </c>
      <c r="C17" s="244"/>
      <c r="K17" s="4">
        <v>140</v>
      </c>
      <c r="L17" s="15">
        <f t="shared" si="3"/>
        <v>6.9444444444444406E-2</v>
      </c>
      <c r="P17" s="91"/>
      <c r="Q17" s="69">
        <v>14</v>
      </c>
      <c r="R17" s="70">
        <f t="shared" si="0"/>
        <v>4.8958333333333298E-2</v>
      </c>
      <c r="S17" s="71">
        <f t="shared" si="4"/>
        <v>2.1180555555555501E-2</v>
      </c>
      <c r="T17" s="623"/>
      <c r="V17" s="68"/>
      <c r="W17" s="69">
        <v>13</v>
      </c>
      <c r="X17" s="52">
        <f t="shared" si="1"/>
        <v>4.1666666666666997E-2</v>
      </c>
      <c r="Y17" s="71">
        <f t="shared" si="5"/>
        <v>2.7777777777778099E-2</v>
      </c>
      <c r="Z17" s="187"/>
      <c r="AB17" s="68"/>
      <c r="AC17" s="69">
        <v>13</v>
      </c>
      <c r="AD17" s="52">
        <f t="shared" si="2"/>
        <v>4.1666666666666997E-2</v>
      </c>
      <c r="AE17" s="71">
        <f t="shared" si="6"/>
        <v>2.7777777777778099E-2</v>
      </c>
      <c r="AF17" s="187"/>
    </row>
    <row r="18" spans="1:32" ht="14.65" customHeight="1" x14ac:dyDescent="0.25">
      <c r="A18" s="333" t="s">
        <v>54</v>
      </c>
      <c r="B18" s="1"/>
      <c r="C18" s="244"/>
      <c r="K18" s="4">
        <v>150</v>
      </c>
      <c r="L18" s="15">
        <f t="shared" si="3"/>
        <v>7.2916666666666602E-2</v>
      </c>
      <c r="P18" s="91"/>
      <c r="Q18" s="69">
        <v>15</v>
      </c>
      <c r="R18" s="70">
        <f t="shared" si="0"/>
        <v>5.0694444444444403E-2</v>
      </c>
      <c r="S18" s="71">
        <f t="shared" si="4"/>
        <v>2.2916666666666599E-2</v>
      </c>
      <c r="T18" s="624"/>
      <c r="V18" s="68"/>
      <c r="W18" s="69">
        <v>14</v>
      </c>
      <c r="X18" s="52">
        <f t="shared" si="1"/>
        <v>4.40972222222226E-2</v>
      </c>
      <c r="Y18" s="71">
        <f t="shared" si="5"/>
        <v>3.0208333333333701E-2</v>
      </c>
      <c r="Z18" s="187"/>
      <c r="AB18" s="68"/>
      <c r="AC18" s="69">
        <v>14</v>
      </c>
      <c r="AD18" s="52">
        <f t="shared" si="2"/>
        <v>4.40972222222226E-2</v>
      </c>
      <c r="AE18" s="71">
        <f t="shared" si="6"/>
        <v>3.0208333333333701E-2</v>
      </c>
      <c r="AF18" s="187"/>
    </row>
    <row r="19" spans="1:32" ht="21" customHeight="1" x14ac:dyDescent="0.35">
      <c r="A19" s="4" t="s">
        <v>55</v>
      </c>
      <c r="B19" s="15">
        <f>INDEX(X4:X154,MATCH(E10,W4:W154,0))</f>
        <v>0</v>
      </c>
      <c r="C19" s="244"/>
      <c r="G19" s="266" t="s">
        <v>5</v>
      </c>
      <c r="H19" s="322" t="s">
        <v>56</v>
      </c>
      <c r="I19" s="323" t="s">
        <v>57</v>
      </c>
      <c r="K19" s="4">
        <v>160</v>
      </c>
      <c r="L19" s="15">
        <f t="shared" si="3"/>
        <v>7.6388888888888895E-2</v>
      </c>
      <c r="P19" s="92" t="s">
        <v>58</v>
      </c>
      <c r="Q19" s="63">
        <v>16</v>
      </c>
      <c r="R19" s="55">
        <f t="shared" si="0"/>
        <v>5.2604166666666598E-2</v>
      </c>
      <c r="S19" s="56">
        <f t="shared" ref="S19:S28" si="7">S18+$T$19</f>
        <v>2.4826388888888801E-2</v>
      </c>
      <c r="T19" s="622">
        <v>1.90972222222222E-3</v>
      </c>
      <c r="V19" s="68"/>
      <c r="W19" s="69">
        <v>15</v>
      </c>
      <c r="X19" s="52">
        <f t="shared" si="1"/>
        <v>4.6527777777778202E-2</v>
      </c>
      <c r="Y19" s="71">
        <f t="shared" si="5"/>
        <v>3.26388888888893E-2</v>
      </c>
      <c r="Z19" s="86"/>
      <c r="AB19" s="68"/>
      <c r="AC19" s="69">
        <v>15</v>
      </c>
      <c r="AD19" s="52">
        <f t="shared" si="2"/>
        <v>4.6527777777778202E-2</v>
      </c>
      <c r="AE19" s="71">
        <f t="shared" si="6"/>
        <v>3.26388888888893E-2</v>
      </c>
      <c r="AF19" s="86"/>
    </row>
    <row r="20" spans="1:32" ht="14.65" customHeight="1" x14ac:dyDescent="0.25">
      <c r="A20" s="4" t="s">
        <v>59</v>
      </c>
      <c r="B20" s="15">
        <f>INDEX(AD4:AD64,MATCH(E12,AC4:AC64,0))</f>
        <v>0</v>
      </c>
      <c r="C20" s="244"/>
      <c r="G20" s="267" t="s">
        <v>60</v>
      </c>
      <c r="H20" s="116">
        <v>1.0416666666666701E-2</v>
      </c>
      <c r="I20" s="15">
        <v>2.0833333333333301E-2</v>
      </c>
      <c r="K20" s="4">
        <v>170</v>
      </c>
      <c r="L20" s="15">
        <f t="shared" si="3"/>
        <v>7.9861111111111105E-2</v>
      </c>
      <c r="P20" s="92"/>
      <c r="Q20" s="63">
        <v>17</v>
      </c>
      <c r="R20" s="55">
        <f t="shared" si="0"/>
        <v>5.4513888888888799E-2</v>
      </c>
      <c r="S20" s="56">
        <f t="shared" si="7"/>
        <v>2.6736111111110999E-2</v>
      </c>
      <c r="T20" s="623"/>
      <c r="V20" s="62" t="s">
        <v>61</v>
      </c>
      <c r="W20" s="63">
        <v>16</v>
      </c>
      <c r="X20" s="52">
        <f t="shared" si="1"/>
        <v>4.9652777777778198E-2</v>
      </c>
      <c r="Y20" s="56">
        <f t="shared" ref="Y20:Y29" si="8">Y19+$Z$20</f>
        <v>3.5763888888889303E-2</v>
      </c>
      <c r="Z20" s="198">
        <v>3.1250000000000002E-3</v>
      </c>
      <c r="AB20" s="62" t="s">
        <v>61</v>
      </c>
      <c r="AC20" s="63">
        <v>16</v>
      </c>
      <c r="AD20" s="52">
        <f t="shared" si="2"/>
        <v>4.9652777777778198E-2</v>
      </c>
      <c r="AE20" s="56">
        <f t="shared" ref="AE20:AE29" si="9">AE19+$AF$20</f>
        <v>3.5763888888889303E-2</v>
      </c>
      <c r="AF20" s="198">
        <v>3.1250000000000002E-3</v>
      </c>
    </row>
    <row r="21" spans="1:32" ht="14.65" customHeight="1" x14ac:dyDescent="0.25">
      <c r="A21" s="4" t="s">
        <v>62</v>
      </c>
      <c r="B21" s="116">
        <f>H33*E10</f>
        <v>0</v>
      </c>
      <c r="C21" s="244"/>
      <c r="G21" s="267" t="s">
        <v>63</v>
      </c>
      <c r="H21" s="252">
        <v>1.0416666666666701E-2</v>
      </c>
      <c r="I21" s="264">
        <v>3.125E-2</v>
      </c>
      <c r="K21" s="4">
        <v>180</v>
      </c>
      <c r="L21" s="15">
        <f t="shared" si="3"/>
        <v>8.3333333333333301E-2</v>
      </c>
      <c r="P21" s="92"/>
      <c r="Q21" s="63">
        <v>18</v>
      </c>
      <c r="R21" s="55">
        <f t="shared" si="0"/>
        <v>5.6423611111111001E-2</v>
      </c>
      <c r="S21" s="56">
        <f t="shared" si="7"/>
        <v>2.86458333333332E-2</v>
      </c>
      <c r="T21" s="623"/>
      <c r="V21" s="62"/>
      <c r="W21" s="63">
        <v>17</v>
      </c>
      <c r="X21" s="52">
        <f t="shared" si="1"/>
        <v>5.2777777777778201E-2</v>
      </c>
      <c r="Y21" s="56">
        <f t="shared" si="8"/>
        <v>3.8888888888889299E-2</v>
      </c>
      <c r="Z21" s="199"/>
      <c r="AB21" s="62"/>
      <c r="AC21" s="63">
        <v>17</v>
      </c>
      <c r="AD21" s="52">
        <f t="shared" si="2"/>
        <v>5.2777777777778201E-2</v>
      </c>
      <c r="AE21" s="56">
        <f t="shared" si="9"/>
        <v>3.8888888888889299E-2</v>
      </c>
      <c r="AF21" s="199"/>
    </row>
    <row r="22" spans="1:32" ht="14.65" customHeight="1" x14ac:dyDescent="0.25">
      <c r="A22" s="4" t="s">
        <v>64</v>
      </c>
      <c r="B22" s="15">
        <f>B21/2</f>
        <v>0</v>
      </c>
      <c r="C22" s="244"/>
      <c r="G22" s="267" t="s">
        <v>65</v>
      </c>
      <c r="H22" s="50" t="s">
        <v>66</v>
      </c>
      <c r="I22" s="4"/>
      <c r="K22" s="4">
        <v>190</v>
      </c>
      <c r="L22" s="15">
        <f t="shared" si="3"/>
        <v>8.6805555555555497E-2</v>
      </c>
      <c r="P22" s="92"/>
      <c r="Q22" s="63">
        <v>19</v>
      </c>
      <c r="R22" s="55">
        <f t="shared" si="0"/>
        <v>5.8333333333333202E-2</v>
      </c>
      <c r="S22" s="56">
        <f t="shared" si="7"/>
        <v>3.0555555555555398E-2</v>
      </c>
      <c r="T22" s="623"/>
      <c r="V22" s="62"/>
      <c r="W22" s="63">
        <v>18</v>
      </c>
      <c r="X22" s="52">
        <f t="shared" si="1"/>
        <v>5.5902777777778197E-2</v>
      </c>
      <c r="Y22" s="56">
        <f t="shared" si="8"/>
        <v>4.2013888888889302E-2</v>
      </c>
      <c r="Z22" s="199"/>
      <c r="AB22" s="62"/>
      <c r="AC22" s="63">
        <v>18</v>
      </c>
      <c r="AD22" s="52">
        <f t="shared" si="2"/>
        <v>5.5902777777778197E-2</v>
      </c>
      <c r="AE22" s="56">
        <f t="shared" si="9"/>
        <v>4.2013888888889302E-2</v>
      </c>
      <c r="AF22" s="199"/>
    </row>
    <row r="23" spans="1:32" ht="14.65" customHeight="1" x14ac:dyDescent="0.25">
      <c r="A23" s="4" t="s">
        <v>67</v>
      </c>
      <c r="B23" s="15">
        <f>H33*E12</f>
        <v>0</v>
      </c>
      <c r="C23" s="244"/>
      <c r="G23" s="267" t="s">
        <v>30</v>
      </c>
      <c r="H23" s="252">
        <v>0</v>
      </c>
      <c r="I23" s="51">
        <v>0</v>
      </c>
      <c r="K23" s="4">
        <v>200</v>
      </c>
      <c r="L23" s="15">
        <f t="shared" si="3"/>
        <v>9.0277777777777707E-2</v>
      </c>
      <c r="P23" s="92"/>
      <c r="Q23" s="63">
        <v>20</v>
      </c>
      <c r="R23" s="55">
        <f t="shared" si="0"/>
        <v>6.0243055555555397E-2</v>
      </c>
      <c r="S23" s="56">
        <f t="shared" si="7"/>
        <v>3.24652777777776E-2</v>
      </c>
      <c r="T23" s="623"/>
      <c r="V23" s="62"/>
      <c r="W23" s="63">
        <v>19</v>
      </c>
      <c r="X23" s="52">
        <f t="shared" si="1"/>
        <v>5.90277777777782E-2</v>
      </c>
      <c r="Y23" s="56">
        <f t="shared" si="8"/>
        <v>4.5138888888889298E-2</v>
      </c>
      <c r="Z23" s="199"/>
      <c r="AB23" s="62"/>
      <c r="AC23" s="63">
        <v>19</v>
      </c>
      <c r="AD23" s="52">
        <f t="shared" si="2"/>
        <v>5.90277777777782E-2</v>
      </c>
      <c r="AE23" s="56">
        <f t="shared" si="9"/>
        <v>4.5138888888889298E-2</v>
      </c>
      <c r="AF23" s="199"/>
    </row>
    <row r="24" spans="1:32" ht="14.65" customHeight="1" x14ac:dyDescent="0.25">
      <c r="A24" s="4" t="s">
        <v>68</v>
      </c>
      <c r="B24" s="15">
        <f>B23</f>
        <v>0</v>
      </c>
      <c r="C24" s="380">
        <f>B26*24</f>
        <v>0.75</v>
      </c>
      <c r="G24" s="267" t="s">
        <v>69</v>
      </c>
      <c r="H24" s="116">
        <v>2.7777777777777801E-2</v>
      </c>
      <c r="I24" s="15">
        <v>2.7777777777777801E-2</v>
      </c>
      <c r="K24" s="4">
        <v>210</v>
      </c>
      <c r="L24" s="15">
        <f t="shared" si="3"/>
        <v>9.375E-2</v>
      </c>
      <c r="P24" s="92"/>
      <c r="Q24" s="63">
        <v>21</v>
      </c>
      <c r="R24" s="55">
        <f t="shared" si="0"/>
        <v>6.2152777777777599E-2</v>
      </c>
      <c r="S24" s="56">
        <f t="shared" si="7"/>
        <v>3.4374999999999802E-2</v>
      </c>
      <c r="T24" s="623"/>
      <c r="V24" s="62"/>
      <c r="W24" s="63">
        <v>20</v>
      </c>
      <c r="X24" s="52">
        <f t="shared" si="1"/>
        <v>6.2152777777778202E-2</v>
      </c>
      <c r="Y24" s="56">
        <f t="shared" si="8"/>
        <v>4.82638888888893E-2</v>
      </c>
      <c r="Z24" s="199"/>
      <c r="AB24" s="62"/>
      <c r="AC24" s="63">
        <v>20</v>
      </c>
      <c r="AD24" s="52">
        <f t="shared" si="2"/>
        <v>6.2152777777778202E-2</v>
      </c>
      <c r="AE24" s="56">
        <f t="shared" si="9"/>
        <v>4.82638888888893E-2</v>
      </c>
      <c r="AF24" s="199"/>
    </row>
    <row r="25" spans="1:32" ht="21" customHeight="1" x14ac:dyDescent="0.35">
      <c r="A25" s="4" t="s">
        <v>70</v>
      </c>
      <c r="B25" s="116">
        <f>H26+(H27*E8)</f>
        <v>3.125E-2</v>
      </c>
      <c r="C25" s="381" t="s">
        <v>37</v>
      </c>
      <c r="G25" s="268" t="s">
        <v>14</v>
      </c>
      <c r="H25" s="4"/>
      <c r="I25" s="4"/>
      <c r="K25" s="4">
        <v>220</v>
      </c>
      <c r="L25" s="15">
        <f t="shared" si="3"/>
        <v>9.7222222222222196E-2</v>
      </c>
      <c r="P25" s="92"/>
      <c r="Q25" s="63">
        <v>22</v>
      </c>
      <c r="R25" s="55">
        <f t="shared" si="0"/>
        <v>6.40624999999998E-2</v>
      </c>
      <c r="S25" s="56">
        <f t="shared" si="7"/>
        <v>3.6284722222222003E-2</v>
      </c>
      <c r="T25" s="623"/>
      <c r="V25" s="62"/>
      <c r="W25" s="63">
        <v>21</v>
      </c>
      <c r="X25" s="52">
        <f t="shared" si="1"/>
        <v>6.5277777777778198E-2</v>
      </c>
      <c r="Y25" s="56">
        <f t="shared" si="8"/>
        <v>5.1388888888889303E-2</v>
      </c>
      <c r="Z25" s="199"/>
      <c r="AB25" s="62"/>
      <c r="AC25" s="63">
        <v>21</v>
      </c>
      <c r="AD25" s="52">
        <f t="shared" si="2"/>
        <v>6.5277777777778198E-2</v>
      </c>
      <c r="AE25" s="56">
        <f t="shared" si="9"/>
        <v>5.1388888888889303E-2</v>
      </c>
      <c r="AF25" s="199"/>
    </row>
    <row r="26" spans="1:32" ht="14.65" customHeight="1" x14ac:dyDescent="0.25">
      <c r="A26" s="49" t="s">
        <v>71</v>
      </c>
      <c r="B26" s="332">
        <f>SUM(B17:B25)</f>
        <v>3.125E-2</v>
      </c>
      <c r="C26" s="382">
        <f>C24/7</f>
        <v>0.11</v>
      </c>
      <c r="F26" s="169"/>
      <c r="G26" s="267" t="s">
        <v>72</v>
      </c>
      <c r="H26" s="51">
        <v>3.125E-2</v>
      </c>
      <c r="I26" s="4"/>
      <c r="K26" s="4">
        <v>230</v>
      </c>
      <c r="L26" s="15">
        <f t="shared" si="3"/>
        <v>0.100694444444444</v>
      </c>
      <c r="P26" s="92"/>
      <c r="Q26" s="63">
        <v>23</v>
      </c>
      <c r="R26" s="55">
        <f t="shared" si="0"/>
        <v>6.5972222222222002E-2</v>
      </c>
      <c r="S26" s="56">
        <f t="shared" si="7"/>
        <v>3.8194444444444198E-2</v>
      </c>
      <c r="T26" s="623"/>
      <c r="V26" s="62"/>
      <c r="W26" s="63">
        <v>22</v>
      </c>
      <c r="X26" s="52">
        <f t="shared" si="1"/>
        <v>6.8402777777778201E-2</v>
      </c>
      <c r="Y26" s="56">
        <f t="shared" si="8"/>
        <v>5.4513888888889299E-2</v>
      </c>
      <c r="Z26" s="199"/>
      <c r="AB26" s="62"/>
      <c r="AC26" s="63">
        <v>22</v>
      </c>
      <c r="AD26" s="52">
        <f t="shared" si="2"/>
        <v>6.8402777777778201E-2</v>
      </c>
      <c r="AE26" s="56">
        <f t="shared" si="9"/>
        <v>5.4513888888889299E-2</v>
      </c>
      <c r="AF26" s="199"/>
    </row>
    <row r="27" spans="1:32" ht="15" customHeight="1" thickBot="1" x14ac:dyDescent="0.3">
      <c r="A27" s="30"/>
      <c r="B27" s="30"/>
      <c r="C27" s="244"/>
      <c r="G27" s="267" t="s">
        <v>73</v>
      </c>
      <c r="H27" s="51">
        <v>1.0416666666666699E-3</v>
      </c>
      <c r="I27" s="4"/>
      <c r="K27" s="4">
        <v>240</v>
      </c>
      <c r="L27" s="15">
        <f t="shared" si="3"/>
        <v>0.104166666666667</v>
      </c>
      <c r="P27" s="92"/>
      <c r="Q27" s="63">
        <v>24</v>
      </c>
      <c r="R27" s="55">
        <f t="shared" si="0"/>
        <v>6.7881944444444203E-2</v>
      </c>
      <c r="S27" s="56">
        <f t="shared" si="7"/>
        <v>4.0104166666666399E-2</v>
      </c>
      <c r="T27" s="623"/>
      <c r="V27" s="62"/>
      <c r="W27" s="63">
        <v>23</v>
      </c>
      <c r="X27" s="52">
        <f t="shared" si="1"/>
        <v>7.1527777777778204E-2</v>
      </c>
      <c r="Y27" s="56">
        <f t="shared" si="8"/>
        <v>5.7638888888889302E-2</v>
      </c>
      <c r="Z27" s="199"/>
      <c r="AB27" s="62"/>
      <c r="AC27" s="63">
        <v>23</v>
      </c>
      <c r="AD27" s="52">
        <f t="shared" si="2"/>
        <v>7.1527777777778204E-2</v>
      </c>
      <c r="AE27" s="56">
        <f t="shared" si="9"/>
        <v>5.7638888888889302E-2</v>
      </c>
      <c r="AF27" s="199"/>
    </row>
    <row r="28" spans="1:32" ht="21.4" customHeight="1" thickBot="1" x14ac:dyDescent="0.4">
      <c r="A28" s="163" t="s">
        <v>74</v>
      </c>
      <c r="B28" s="164"/>
      <c r="C28" s="244"/>
      <c r="G28" s="268" t="s">
        <v>75</v>
      </c>
      <c r="H28" s="38">
        <v>1.0416666666666699E-3</v>
      </c>
      <c r="I28" s="4"/>
      <c r="K28" s="4">
        <v>250</v>
      </c>
      <c r="L28" s="15">
        <f t="shared" si="3"/>
        <v>0.10763888888888901</v>
      </c>
      <c r="P28" s="92"/>
      <c r="Q28" s="63">
        <v>25</v>
      </c>
      <c r="R28" s="55">
        <f t="shared" si="0"/>
        <v>6.9791666666666405E-2</v>
      </c>
      <c r="S28" s="56">
        <f t="shared" si="7"/>
        <v>4.2013888888888601E-2</v>
      </c>
      <c r="T28" s="624"/>
      <c r="V28" s="62"/>
      <c r="W28" s="63">
        <v>24</v>
      </c>
      <c r="X28" s="52">
        <f t="shared" si="1"/>
        <v>7.4652777777778206E-2</v>
      </c>
      <c r="Y28" s="56">
        <f t="shared" si="8"/>
        <v>6.0763888888889298E-2</v>
      </c>
      <c r="Z28" s="199"/>
      <c r="AB28" s="62"/>
      <c r="AC28" s="63">
        <v>24</v>
      </c>
      <c r="AD28" s="52">
        <f t="shared" si="2"/>
        <v>7.4652777777778206E-2</v>
      </c>
      <c r="AE28" s="56">
        <f t="shared" si="9"/>
        <v>6.0763888888889298E-2</v>
      </c>
      <c r="AF28" s="199"/>
    </row>
    <row r="29" spans="1:32" ht="14.65" customHeight="1" x14ac:dyDescent="0.25">
      <c r="A29" s="8" t="s">
        <v>76</v>
      </c>
      <c r="B29" s="36">
        <f>H28</f>
        <v>1.0416666666666699E-3</v>
      </c>
      <c r="C29" s="244"/>
      <c r="G29" s="267" t="s">
        <v>77</v>
      </c>
      <c r="H29" s="252">
        <v>1.38888888888889E-2</v>
      </c>
      <c r="I29" s="4"/>
      <c r="K29" s="4">
        <v>260</v>
      </c>
      <c r="L29" s="15">
        <f t="shared" si="3"/>
        <v>0.11111111111111099</v>
      </c>
      <c r="P29" s="93" t="s">
        <v>78</v>
      </c>
      <c r="Q29" s="73">
        <v>26</v>
      </c>
      <c r="R29" s="74">
        <f t="shared" si="0"/>
        <v>7.1874999999999703E-2</v>
      </c>
      <c r="S29" s="75">
        <f t="shared" ref="S29:S38" si="10">S28+$T$29</f>
        <v>4.4097222222221899E-2</v>
      </c>
      <c r="T29" s="634">
        <v>2.0833333333333298E-3</v>
      </c>
      <c r="V29" s="62"/>
      <c r="W29" s="63">
        <v>25</v>
      </c>
      <c r="X29" s="52">
        <f t="shared" si="1"/>
        <v>7.7777777777778195E-2</v>
      </c>
      <c r="Y29" s="56">
        <f t="shared" si="8"/>
        <v>6.38888888888893E-2</v>
      </c>
      <c r="Z29" s="200"/>
      <c r="AB29" s="62"/>
      <c r="AC29" s="63">
        <v>25</v>
      </c>
      <c r="AD29" s="52">
        <f t="shared" si="2"/>
        <v>7.7777777777778195E-2</v>
      </c>
      <c r="AE29" s="56">
        <f t="shared" si="9"/>
        <v>6.38888888888893E-2</v>
      </c>
      <c r="AF29" s="200"/>
    </row>
    <row r="30" spans="1:32" ht="14.65" customHeight="1" x14ac:dyDescent="0.25">
      <c r="A30" s="5" t="s">
        <v>79</v>
      </c>
      <c r="B30" s="21" t="e">
        <f>B29*E5</f>
        <v>#DIV/0!</v>
      </c>
      <c r="C30" s="244"/>
      <c r="F30" s="169"/>
      <c r="G30" s="267" t="s">
        <v>80</v>
      </c>
      <c r="H30" s="38">
        <v>1.38888888888889E-2</v>
      </c>
      <c r="I30" s="38">
        <v>1.38888888888889E-2</v>
      </c>
      <c r="K30" s="4">
        <v>270</v>
      </c>
      <c r="L30" s="15">
        <f t="shared" si="3"/>
        <v>0.114583333333333</v>
      </c>
      <c r="P30" s="93"/>
      <c r="Q30" s="73">
        <v>27</v>
      </c>
      <c r="R30" s="74">
        <f t="shared" si="0"/>
        <v>7.3958333333333001E-2</v>
      </c>
      <c r="S30" s="75">
        <f t="shared" si="10"/>
        <v>4.6180555555555197E-2</v>
      </c>
      <c r="T30" s="623"/>
      <c r="V30" s="72" t="s">
        <v>81</v>
      </c>
      <c r="W30" s="73">
        <v>26</v>
      </c>
      <c r="X30" s="52">
        <f t="shared" si="1"/>
        <v>8.0902777777778198E-2</v>
      </c>
      <c r="Y30" s="75">
        <f t="shared" ref="Y30:Y39" si="11">Y29+$Z$30</f>
        <v>6.7013888888889303E-2</v>
      </c>
      <c r="Z30" s="194">
        <v>3.1250000000000002E-3</v>
      </c>
      <c r="AB30" s="72" t="s">
        <v>81</v>
      </c>
      <c r="AC30" s="73">
        <v>26</v>
      </c>
      <c r="AD30" s="52">
        <f t="shared" si="2"/>
        <v>8.0902777777778198E-2</v>
      </c>
      <c r="AE30" s="75">
        <f t="shared" ref="AE30:AE39" si="12">AE29+$AF$30</f>
        <v>6.7013888888889303E-2</v>
      </c>
      <c r="AF30" s="194">
        <v>3.1250000000000002E-3</v>
      </c>
    </row>
    <row r="31" spans="1:32" ht="14.65" customHeight="1" x14ac:dyDescent="0.25">
      <c r="A31" s="4" t="s">
        <v>82</v>
      </c>
      <c r="B31" s="37">
        <f>H30</f>
        <v>1.38888888888889E-2</v>
      </c>
      <c r="C31" s="244"/>
      <c r="G31" s="267" t="s">
        <v>55</v>
      </c>
      <c r="H31" s="51" t="s">
        <v>66</v>
      </c>
      <c r="I31" s="4"/>
      <c r="K31" s="4">
        <v>280</v>
      </c>
      <c r="L31" s="15">
        <f t="shared" si="3"/>
        <v>0.118055555555555</v>
      </c>
      <c r="P31" s="93"/>
      <c r="Q31" s="73">
        <v>28</v>
      </c>
      <c r="R31" s="74">
        <f t="shared" si="0"/>
        <v>7.6041666666666299E-2</v>
      </c>
      <c r="S31" s="75">
        <f t="shared" si="10"/>
        <v>4.8263888888888502E-2</v>
      </c>
      <c r="T31" s="623"/>
      <c r="V31" s="72"/>
      <c r="W31" s="73">
        <v>27</v>
      </c>
      <c r="X31" s="52">
        <f t="shared" si="1"/>
        <v>8.4027777777778201E-2</v>
      </c>
      <c r="Y31" s="75">
        <f t="shared" si="11"/>
        <v>7.0138888888889306E-2</v>
      </c>
      <c r="Z31" s="195"/>
      <c r="AB31" s="72"/>
      <c r="AC31" s="73">
        <v>27</v>
      </c>
      <c r="AD31" s="52">
        <f t="shared" si="2"/>
        <v>8.4027777777778201E-2</v>
      </c>
      <c r="AE31" s="75">
        <f t="shared" si="12"/>
        <v>7.0138888888889306E-2</v>
      </c>
      <c r="AF31" s="195"/>
    </row>
    <row r="32" spans="1:32" ht="21" customHeight="1" x14ac:dyDescent="0.35">
      <c r="A32" s="4" t="s">
        <v>83</v>
      </c>
      <c r="B32" s="15">
        <f>H43</f>
        <v>3.4722222222222202E-4</v>
      </c>
      <c r="C32" s="244"/>
      <c r="G32" s="268" t="s">
        <v>84</v>
      </c>
      <c r="H32" s="38">
        <v>1.1574074074074101E-5</v>
      </c>
      <c r="I32" s="4"/>
      <c r="K32" s="4">
        <v>290</v>
      </c>
      <c r="L32" s="15">
        <f t="shared" si="3"/>
        <v>0.121527777777778</v>
      </c>
      <c r="P32" s="93"/>
      <c r="Q32" s="73">
        <v>29</v>
      </c>
      <c r="R32" s="74">
        <f t="shared" si="0"/>
        <v>7.8124999999999598E-2</v>
      </c>
      <c r="S32" s="75">
        <f t="shared" si="10"/>
        <v>5.03472222222218E-2</v>
      </c>
      <c r="T32" s="623"/>
      <c r="V32" s="72"/>
      <c r="W32" s="73">
        <v>28</v>
      </c>
      <c r="X32" s="52">
        <f t="shared" si="1"/>
        <v>8.7152777777778204E-2</v>
      </c>
      <c r="Y32" s="75">
        <f t="shared" si="11"/>
        <v>7.3263888888889295E-2</v>
      </c>
      <c r="Z32" s="195"/>
      <c r="AB32" s="72"/>
      <c r="AC32" s="73">
        <v>28</v>
      </c>
      <c r="AD32" s="52">
        <f t="shared" si="2"/>
        <v>8.7152777777778204E-2</v>
      </c>
      <c r="AE32" s="75">
        <f t="shared" si="12"/>
        <v>7.3263888888889295E-2</v>
      </c>
      <c r="AF32" s="195"/>
    </row>
    <row r="33" spans="1:32" ht="14.65" customHeight="1" x14ac:dyDescent="0.25">
      <c r="A33" s="4" t="s">
        <v>85</v>
      </c>
      <c r="B33" s="15" t="e">
        <f>B32*E5</f>
        <v>#DIV/0!</v>
      </c>
      <c r="C33" s="244"/>
      <c r="G33" s="267" t="s">
        <v>86</v>
      </c>
      <c r="H33" s="51">
        <v>1.38888888888889E-3</v>
      </c>
      <c r="I33" s="4"/>
      <c r="K33" s="4">
        <v>300</v>
      </c>
      <c r="L33" s="15">
        <f t="shared" si="3"/>
        <v>0.125</v>
      </c>
      <c r="P33" s="93"/>
      <c r="Q33" s="73">
        <v>30</v>
      </c>
      <c r="R33" s="74">
        <f t="shared" si="0"/>
        <v>8.0208333333332896E-2</v>
      </c>
      <c r="S33" s="75">
        <f t="shared" si="10"/>
        <v>5.2430555555555099E-2</v>
      </c>
      <c r="T33" s="623"/>
      <c r="V33" s="72"/>
      <c r="W33" s="73">
        <v>29</v>
      </c>
      <c r="X33" s="52">
        <f t="shared" si="1"/>
        <v>9.0277777777778206E-2</v>
      </c>
      <c r="Y33" s="75">
        <f t="shared" si="11"/>
        <v>7.6388888888889298E-2</v>
      </c>
      <c r="Z33" s="195"/>
      <c r="AB33" s="72"/>
      <c r="AC33" s="73">
        <v>29</v>
      </c>
      <c r="AD33" s="52">
        <f t="shared" si="2"/>
        <v>9.0277777777778206E-2</v>
      </c>
      <c r="AE33" s="75">
        <f t="shared" si="12"/>
        <v>7.6388888888889298E-2</v>
      </c>
      <c r="AF33" s="195"/>
    </row>
    <row r="34" spans="1:32" ht="14.65" customHeight="1" x14ac:dyDescent="0.25">
      <c r="A34" s="4" t="s">
        <v>87</v>
      </c>
      <c r="B34" s="37" t="e">
        <f>B30+B31+B33</f>
        <v>#DIV/0!</v>
      </c>
      <c r="C34" s="244"/>
      <c r="G34" s="269" t="s">
        <v>88</v>
      </c>
      <c r="H34" s="4">
        <f>E11*E3</f>
        <v>0</v>
      </c>
      <c r="I34" s="4"/>
      <c r="K34" s="4">
        <v>310</v>
      </c>
      <c r="L34" s="15">
        <f t="shared" si="3"/>
        <v>0.12847222222222199</v>
      </c>
      <c r="P34" s="93"/>
      <c r="Q34" s="73">
        <v>31</v>
      </c>
      <c r="R34" s="74">
        <f t="shared" si="0"/>
        <v>8.2291666666666194E-2</v>
      </c>
      <c r="S34" s="75">
        <f t="shared" si="10"/>
        <v>5.4513888888888397E-2</v>
      </c>
      <c r="T34" s="623"/>
      <c r="V34" s="72"/>
      <c r="W34" s="73">
        <v>30</v>
      </c>
      <c r="X34" s="52">
        <f t="shared" si="1"/>
        <v>9.3402777777778195E-2</v>
      </c>
      <c r="Y34" s="75">
        <f t="shared" si="11"/>
        <v>7.95138888888893E-2</v>
      </c>
      <c r="Z34" s="195"/>
      <c r="AB34" s="72"/>
      <c r="AC34" s="73">
        <v>30</v>
      </c>
      <c r="AD34" s="52">
        <f t="shared" si="2"/>
        <v>9.3402777777778195E-2</v>
      </c>
      <c r="AE34" s="75">
        <f t="shared" si="12"/>
        <v>7.95138888888893E-2</v>
      </c>
      <c r="AF34" s="195"/>
    </row>
    <row r="35" spans="1:32" ht="21" customHeight="1" x14ac:dyDescent="0.35">
      <c r="A35" s="31" t="s">
        <v>89</v>
      </c>
      <c r="B35" s="9">
        <f>E7</f>
        <v>0</v>
      </c>
      <c r="C35" s="244"/>
      <c r="G35" s="268" t="s">
        <v>90</v>
      </c>
      <c r="H35" s="38">
        <f>final!G31</f>
        <v>2.31481481481481E-5</v>
      </c>
      <c r="I35" s="38">
        <v>3.4722222222222202E-5</v>
      </c>
      <c r="K35" s="4">
        <v>320</v>
      </c>
      <c r="L35" s="15">
        <f t="shared" si="3"/>
        <v>0.131944444444444</v>
      </c>
      <c r="P35" s="93"/>
      <c r="Q35" s="73">
        <v>32</v>
      </c>
      <c r="R35" s="74">
        <f t="shared" si="0"/>
        <v>8.4374999999999506E-2</v>
      </c>
      <c r="S35" s="75">
        <f t="shared" si="10"/>
        <v>5.6597222222221702E-2</v>
      </c>
      <c r="T35" s="623"/>
      <c r="V35" s="72"/>
      <c r="W35" s="73">
        <v>31</v>
      </c>
      <c r="X35" s="52">
        <f t="shared" si="1"/>
        <v>9.6527777777778198E-2</v>
      </c>
      <c r="Y35" s="75">
        <f t="shared" si="11"/>
        <v>8.2638888888889303E-2</v>
      </c>
      <c r="Z35" s="195"/>
      <c r="AB35" s="72"/>
      <c r="AC35" s="73">
        <v>31</v>
      </c>
      <c r="AD35" s="52">
        <f t="shared" si="2"/>
        <v>9.6527777777778198E-2</v>
      </c>
      <c r="AE35" s="75">
        <f t="shared" si="12"/>
        <v>8.2638888888889303E-2</v>
      </c>
      <c r="AF35" s="195"/>
    </row>
    <row r="36" spans="1:32" ht="14.65" customHeight="1" x14ac:dyDescent="0.25">
      <c r="A36" s="32" t="s">
        <v>91</v>
      </c>
      <c r="B36" s="16" t="str">
        <f>IF(B35&gt;0,B34+0,"0")</f>
        <v>0</v>
      </c>
      <c r="C36" s="244"/>
      <c r="G36" s="267" t="s">
        <v>59</v>
      </c>
      <c r="H36" s="51" t="s">
        <v>66</v>
      </c>
      <c r="I36" s="4"/>
      <c r="K36" s="4">
        <v>330</v>
      </c>
      <c r="L36" s="15">
        <f t="shared" si="3"/>
        <v>0.13541666666666699</v>
      </c>
      <c r="P36" s="93"/>
      <c r="Q36" s="73">
        <v>33</v>
      </c>
      <c r="R36" s="74">
        <f t="shared" si="0"/>
        <v>8.6458333333332804E-2</v>
      </c>
      <c r="S36" s="75">
        <f t="shared" si="10"/>
        <v>5.8680555555555E-2</v>
      </c>
      <c r="T36" s="623"/>
      <c r="V36" s="72"/>
      <c r="W36" s="73">
        <v>32</v>
      </c>
      <c r="X36" s="52">
        <f t="shared" si="1"/>
        <v>9.9652777777778201E-2</v>
      </c>
      <c r="Y36" s="75">
        <f t="shared" si="11"/>
        <v>8.5763888888889306E-2</v>
      </c>
      <c r="Z36" s="195"/>
      <c r="AB36" s="72"/>
      <c r="AC36" s="73">
        <v>32</v>
      </c>
      <c r="AD36" s="52">
        <f t="shared" si="2"/>
        <v>9.9652777777778201E-2</v>
      </c>
      <c r="AE36" s="75">
        <f t="shared" si="12"/>
        <v>8.5763888888889306E-2</v>
      </c>
      <c r="AF36" s="195"/>
    </row>
    <row r="37" spans="1:32" ht="14.65" customHeight="1" x14ac:dyDescent="0.25">
      <c r="A37" s="32" t="s">
        <v>92</v>
      </c>
      <c r="B37" s="16" t="str">
        <f>IF(B35&gt;0,B31*2,"0")</f>
        <v>0</v>
      </c>
      <c r="C37" s="244"/>
      <c r="G37" s="269" t="s">
        <v>93</v>
      </c>
      <c r="H37" s="4">
        <f>E13*E3</f>
        <v>0</v>
      </c>
      <c r="I37" s="4"/>
      <c r="K37" s="4">
        <v>340</v>
      </c>
      <c r="L37" s="15">
        <f t="shared" si="3"/>
        <v>0.13888888888888901</v>
      </c>
      <c r="P37" s="93"/>
      <c r="Q37" s="73">
        <v>34</v>
      </c>
      <c r="R37" s="74">
        <f t="shared" ref="R37:R68" si="13">$R$4+S37</f>
        <v>8.8541666666666102E-2</v>
      </c>
      <c r="S37" s="75">
        <f t="shared" si="10"/>
        <v>6.0763888888888298E-2</v>
      </c>
      <c r="T37" s="623"/>
      <c r="V37" s="72"/>
      <c r="W37" s="73">
        <v>33</v>
      </c>
      <c r="X37" s="52">
        <f t="shared" si="1"/>
        <v>0.102777777777778</v>
      </c>
      <c r="Y37" s="75">
        <f t="shared" si="11"/>
        <v>8.8888888888889295E-2</v>
      </c>
      <c r="Z37" s="195"/>
      <c r="AB37" s="72"/>
      <c r="AC37" s="73">
        <v>33</v>
      </c>
      <c r="AD37" s="52">
        <f t="shared" si="2"/>
        <v>0.102777777777778</v>
      </c>
      <c r="AE37" s="75">
        <f t="shared" si="12"/>
        <v>8.8888888888889295E-2</v>
      </c>
      <c r="AF37" s="195"/>
    </row>
    <row r="38" spans="1:32" ht="21" customHeight="1" x14ac:dyDescent="0.35">
      <c r="A38" s="32" t="s">
        <v>94</v>
      </c>
      <c r="B38" s="16">
        <f>B36+B37</f>
        <v>0</v>
      </c>
      <c r="C38" s="244"/>
      <c r="G38" s="268" t="s">
        <v>95</v>
      </c>
      <c r="I38" s="4"/>
      <c r="K38" s="4">
        <v>350</v>
      </c>
      <c r="L38" s="15">
        <f t="shared" si="3"/>
        <v>0.14236111111111099</v>
      </c>
      <c r="P38" s="93"/>
      <c r="Q38" s="73">
        <v>35</v>
      </c>
      <c r="R38" s="74">
        <f t="shared" si="13"/>
        <v>9.06249999999994E-2</v>
      </c>
      <c r="S38" s="75">
        <f t="shared" si="10"/>
        <v>6.2847222222221596E-2</v>
      </c>
      <c r="T38" s="624"/>
      <c r="V38" s="72"/>
      <c r="W38" s="73">
        <v>34</v>
      </c>
      <c r="X38" s="52">
        <f t="shared" ref="X38:X69" si="14">$X$5+Y38</f>
        <v>0.105902777777778</v>
      </c>
      <c r="Y38" s="75">
        <f t="shared" si="11"/>
        <v>9.2013888888889298E-2</v>
      </c>
      <c r="Z38" s="195"/>
      <c r="AB38" s="72"/>
      <c r="AC38" s="73">
        <v>34</v>
      </c>
      <c r="AD38" s="52">
        <f t="shared" ref="AD38:AD69" si="15">$AD$5+AE38</f>
        <v>0.105902777777778</v>
      </c>
      <c r="AE38" s="75">
        <f t="shared" si="12"/>
        <v>9.2013888888889298E-2</v>
      </c>
      <c r="AF38" s="195"/>
    </row>
    <row r="39" spans="1:32" x14ac:dyDescent="0.25">
      <c r="A39" s="3" t="s">
        <v>96</v>
      </c>
      <c r="B39" s="15" t="e">
        <f>(B38+B34)/E4</f>
        <v>#DIV/0!</v>
      </c>
      <c r="C39" s="244"/>
      <c r="G39" s="270" t="s">
        <v>97</v>
      </c>
      <c r="H39" s="38">
        <v>5.20833333333333E-4</v>
      </c>
      <c r="I39" s="37">
        <v>1.7361111111111101E-4</v>
      </c>
      <c r="K39" s="4">
        <v>360</v>
      </c>
      <c r="L39" s="15">
        <f t="shared" si="3"/>
        <v>0.14583333333333301</v>
      </c>
      <c r="P39" s="94" t="s">
        <v>98</v>
      </c>
      <c r="Q39" s="77">
        <v>36</v>
      </c>
      <c r="R39" s="78">
        <f t="shared" si="13"/>
        <v>9.3055555555555003E-2</v>
      </c>
      <c r="S39" s="79">
        <f t="shared" ref="S39:S46" si="16">S38+$T$39</f>
        <v>6.5277777777777199E-2</v>
      </c>
      <c r="T39" s="95">
        <v>2.4305555555555599E-3</v>
      </c>
      <c r="V39" s="72"/>
      <c r="W39" s="73">
        <v>35</v>
      </c>
      <c r="X39" s="52">
        <f t="shared" si="14"/>
        <v>0.109027777777778</v>
      </c>
      <c r="Y39" s="75">
        <f t="shared" si="11"/>
        <v>9.51388888888893E-2</v>
      </c>
      <c r="Z39" s="196"/>
      <c r="AB39" s="72"/>
      <c r="AC39" s="73">
        <v>35</v>
      </c>
      <c r="AD39" s="52">
        <f t="shared" si="15"/>
        <v>0.109027777777778</v>
      </c>
      <c r="AE39" s="75">
        <f t="shared" si="12"/>
        <v>9.51388888888893E-2</v>
      </c>
      <c r="AF39" s="196"/>
    </row>
    <row r="40" spans="1:32" x14ac:dyDescent="0.25">
      <c r="A40" s="3" t="s">
        <v>99</v>
      </c>
      <c r="B40" s="15" t="e">
        <f>(B38+B34)/E5</f>
        <v>#DIV/0!</v>
      </c>
      <c r="C40" s="380">
        <f>B42*24</f>
        <v>0</v>
      </c>
      <c r="G40" s="273" t="s">
        <v>100</v>
      </c>
      <c r="H40" s="274" t="s">
        <v>101</v>
      </c>
      <c r="I40" s="72">
        <f>IF(E14&gt;1, H58, 0)</f>
        <v>0</v>
      </c>
      <c r="K40" s="4">
        <v>370</v>
      </c>
      <c r="L40" s="15">
        <f t="shared" si="3"/>
        <v>0.149305555555555</v>
      </c>
      <c r="P40" s="94"/>
      <c r="Q40" s="77">
        <v>37</v>
      </c>
      <c r="R40" s="78">
        <f t="shared" si="13"/>
        <v>9.5486111111110605E-2</v>
      </c>
      <c r="S40" s="79">
        <f t="shared" si="16"/>
        <v>6.7708333333332801E-2</v>
      </c>
      <c r="T40" s="96"/>
      <c r="V40" s="76" t="s">
        <v>102</v>
      </c>
      <c r="W40" s="77">
        <v>36</v>
      </c>
      <c r="X40" s="52">
        <f t="shared" si="14"/>
        <v>0.112152777777778</v>
      </c>
      <c r="Y40" s="79">
        <f t="shared" ref="Y40:Y47" si="17">Y39+$Z$40</f>
        <v>9.8263888888889303E-2</v>
      </c>
      <c r="Z40" s="87">
        <v>3.1250000000000002E-3</v>
      </c>
      <c r="AB40" s="76" t="s">
        <v>102</v>
      </c>
      <c r="AC40" s="77">
        <v>36</v>
      </c>
      <c r="AD40" s="52">
        <f t="shared" si="15"/>
        <v>0.112152777777778</v>
      </c>
      <c r="AE40" s="79">
        <f t="shared" ref="AE40:AE47" si="18">AE39+$AF$40</f>
        <v>9.8263888888889303E-2</v>
      </c>
      <c r="AF40" s="87">
        <v>3.1250000000000002E-3</v>
      </c>
    </row>
    <row r="41" spans="1:32" ht="21.4" customHeight="1" thickBot="1" x14ac:dyDescent="0.4">
      <c r="A41" s="10" t="s">
        <v>103</v>
      </c>
      <c r="B41" s="325" t="e">
        <f>B34+B38</f>
        <v>#DIV/0!</v>
      </c>
      <c r="C41" s="381" t="s">
        <v>37</v>
      </c>
      <c r="G41" s="276" t="s">
        <v>104</v>
      </c>
      <c r="H41" s="72" t="s">
        <v>66</v>
      </c>
      <c r="I41" s="72"/>
      <c r="K41" s="4">
        <v>380</v>
      </c>
      <c r="L41" s="15">
        <f t="shared" ref="L41:L72" si="19">$L$6+(((K41-$K$6)/10)*$M$2)</f>
        <v>0.15277777777777801</v>
      </c>
      <c r="P41" s="94"/>
      <c r="Q41" s="77">
        <v>38</v>
      </c>
      <c r="R41" s="78">
        <f t="shared" si="13"/>
        <v>9.7916666666666194E-2</v>
      </c>
      <c r="S41" s="79">
        <f t="shared" si="16"/>
        <v>7.0138888888888404E-2</v>
      </c>
      <c r="T41" s="96"/>
      <c r="V41" s="76"/>
      <c r="W41" s="77">
        <v>37</v>
      </c>
      <c r="X41" s="52">
        <f t="shared" si="14"/>
        <v>0.11527777777777801</v>
      </c>
      <c r="Y41" s="79">
        <f t="shared" si="17"/>
        <v>0.101388888888889</v>
      </c>
      <c r="Z41" s="88"/>
      <c r="AB41" s="76"/>
      <c r="AC41" s="77">
        <v>37</v>
      </c>
      <c r="AD41" s="52">
        <f t="shared" si="15"/>
        <v>0.11527777777777801</v>
      </c>
      <c r="AE41" s="79">
        <f t="shared" si="18"/>
        <v>0.101388888888889</v>
      </c>
      <c r="AF41" s="88"/>
    </row>
    <row r="42" spans="1:32" ht="21.4" customHeight="1" thickBot="1" x14ac:dyDescent="0.4">
      <c r="A42" s="10" t="s">
        <v>105</v>
      </c>
      <c r="B42" s="17">
        <f>IF(E9&gt;0,B41,0)</f>
        <v>0</v>
      </c>
      <c r="C42" s="382">
        <f>C40/7</f>
        <v>0</v>
      </c>
      <c r="G42" s="276" t="s">
        <v>106</v>
      </c>
      <c r="H42" s="72" t="s">
        <v>66</v>
      </c>
      <c r="I42" s="74" t="e">
        <f>B139</f>
        <v>#DIV/0!</v>
      </c>
      <c r="K42" s="4">
        <v>390</v>
      </c>
      <c r="L42" s="15">
        <f t="shared" si="19"/>
        <v>0.15625</v>
      </c>
      <c r="P42" s="94"/>
      <c r="Q42" s="77">
        <v>39</v>
      </c>
      <c r="R42" s="78">
        <f t="shared" si="13"/>
        <v>0.100347222222222</v>
      </c>
      <c r="S42" s="79">
        <f t="shared" si="16"/>
        <v>7.2569444444444006E-2</v>
      </c>
      <c r="T42" s="96"/>
      <c r="V42" s="76"/>
      <c r="W42" s="77">
        <v>38</v>
      </c>
      <c r="X42" s="52">
        <f t="shared" si="14"/>
        <v>0.118402777777778</v>
      </c>
      <c r="Y42" s="79">
        <f t="shared" si="17"/>
        <v>0.104513888888889</v>
      </c>
      <c r="Z42" s="88"/>
      <c r="AB42" s="76"/>
      <c r="AC42" s="77">
        <v>38</v>
      </c>
      <c r="AD42" s="52">
        <f t="shared" si="15"/>
        <v>0.118402777777778</v>
      </c>
      <c r="AE42" s="79">
        <f t="shared" si="18"/>
        <v>0.104513888888889</v>
      </c>
      <c r="AF42" s="88"/>
    </row>
    <row r="43" spans="1:32" ht="21" customHeight="1" x14ac:dyDescent="0.35">
      <c r="A43" s="30" t="s">
        <v>107</v>
      </c>
      <c r="B43" s="30">
        <v>8.1597222222222196E-2</v>
      </c>
      <c r="C43" s="34" t="s">
        <v>108</v>
      </c>
      <c r="G43" s="276" t="s">
        <v>109</v>
      </c>
      <c r="H43" s="275">
        <v>3.4722222222222202E-4</v>
      </c>
      <c r="I43" s="72"/>
      <c r="K43" s="4">
        <v>400</v>
      </c>
      <c r="L43" s="15">
        <f t="shared" si="19"/>
        <v>0.15972222222222199</v>
      </c>
      <c r="P43" s="94"/>
      <c r="Q43" s="77">
        <v>40</v>
      </c>
      <c r="R43" s="78">
        <f t="shared" si="13"/>
        <v>0.102777777777777</v>
      </c>
      <c r="S43" s="79">
        <f t="shared" si="16"/>
        <v>7.4999999999999595E-2</v>
      </c>
      <c r="T43" s="96"/>
      <c r="V43" s="76"/>
      <c r="W43" s="77">
        <v>39</v>
      </c>
      <c r="X43" s="52">
        <f t="shared" si="14"/>
        <v>0.121527777777778</v>
      </c>
      <c r="Y43" s="79">
        <f t="shared" si="17"/>
        <v>0.10763888888888901</v>
      </c>
      <c r="Z43" s="88"/>
      <c r="AB43" s="76"/>
      <c r="AC43" s="77">
        <v>39</v>
      </c>
      <c r="AD43" s="52">
        <f t="shared" si="15"/>
        <v>0.121527777777778</v>
      </c>
      <c r="AE43" s="79">
        <f t="shared" si="18"/>
        <v>0.10763888888888901</v>
      </c>
      <c r="AF43" s="88"/>
    </row>
    <row r="44" spans="1:32" ht="21" customHeight="1" x14ac:dyDescent="0.35">
      <c r="A44" s="327" t="s">
        <v>110</v>
      </c>
      <c r="B44" s="38">
        <f>H32</f>
        <v>1.1574074074074101E-5</v>
      </c>
      <c r="C44" s="244" t="s">
        <v>111</v>
      </c>
      <c r="G44" s="277" t="s">
        <v>112</v>
      </c>
      <c r="H44" s="4"/>
      <c r="I44" s="4"/>
      <c r="K44" s="4">
        <v>410</v>
      </c>
      <c r="L44" s="15">
        <f t="shared" si="19"/>
        <v>0.163194444444444</v>
      </c>
      <c r="P44" s="94"/>
      <c r="Q44" s="77">
        <v>41</v>
      </c>
      <c r="R44" s="78">
        <f t="shared" si="13"/>
        <v>0.105208333333333</v>
      </c>
      <c r="S44" s="79">
        <f t="shared" si="16"/>
        <v>7.7430555555555197E-2</v>
      </c>
      <c r="T44" s="96"/>
      <c r="V44" s="76"/>
      <c r="W44" s="77">
        <v>40</v>
      </c>
      <c r="X44" s="52">
        <f t="shared" si="14"/>
        <v>0.124652777777778</v>
      </c>
      <c r="Y44" s="79">
        <f t="shared" si="17"/>
        <v>0.11076388888888899</v>
      </c>
      <c r="Z44" s="88"/>
      <c r="AB44" s="76"/>
      <c r="AC44" s="77">
        <v>40</v>
      </c>
      <c r="AD44" s="52">
        <f t="shared" si="15"/>
        <v>0.124652777777778</v>
      </c>
      <c r="AE44" s="79">
        <f t="shared" si="18"/>
        <v>0.11076388888888899</v>
      </c>
      <c r="AF44" s="88"/>
    </row>
    <row r="45" spans="1:32" x14ac:dyDescent="0.25">
      <c r="A45" s="4" t="s">
        <v>113</v>
      </c>
      <c r="B45" s="15">
        <f>((B44/final!G30)*(H34))</f>
        <v>0</v>
      </c>
      <c r="C45" s="244"/>
      <c r="G45" s="269" t="s">
        <v>114</v>
      </c>
      <c r="H45" s="4">
        <f>E3*E15</f>
        <v>0</v>
      </c>
      <c r="I45" s="4"/>
      <c r="K45" s="4">
        <v>420</v>
      </c>
      <c r="L45" s="15">
        <f t="shared" si="19"/>
        <v>0.16666666666666699</v>
      </c>
      <c r="P45" s="94"/>
      <c r="Q45" s="77">
        <v>42</v>
      </c>
      <c r="R45" s="78">
        <f t="shared" si="13"/>
        <v>0.10763888888888901</v>
      </c>
      <c r="S45" s="79">
        <f t="shared" si="16"/>
        <v>7.98611111111108E-2</v>
      </c>
      <c r="T45" s="96"/>
      <c r="V45" s="76"/>
      <c r="W45" s="77">
        <v>41</v>
      </c>
      <c r="X45" s="52">
        <f t="shared" si="14"/>
        <v>0.12777777777777799</v>
      </c>
      <c r="Y45" s="79">
        <f t="shared" si="17"/>
        <v>0.113888888888889</v>
      </c>
      <c r="Z45" s="88"/>
      <c r="AB45" s="76"/>
      <c r="AC45" s="77">
        <v>41</v>
      </c>
      <c r="AD45" s="52">
        <f t="shared" si="15"/>
        <v>0.12777777777777799</v>
      </c>
      <c r="AE45" s="79">
        <f t="shared" si="18"/>
        <v>0.113888888888889</v>
      </c>
      <c r="AF45" s="88"/>
    </row>
    <row r="46" spans="1:32" x14ac:dyDescent="0.25">
      <c r="A46" s="4" t="s">
        <v>109</v>
      </c>
      <c r="B46" s="15" t="e">
        <f>H43*E5</f>
        <v>#DIV/0!</v>
      </c>
      <c r="C46" s="244"/>
      <c r="G46" s="270" t="s">
        <v>115</v>
      </c>
      <c r="H46" s="29">
        <f>E16*E4</f>
        <v>0</v>
      </c>
      <c r="I46" s="4"/>
      <c r="K46" s="4">
        <v>430</v>
      </c>
      <c r="L46" s="15">
        <f t="shared" si="19"/>
        <v>0.17013888888888901</v>
      </c>
      <c r="P46" s="94"/>
      <c r="Q46" s="77">
        <v>43</v>
      </c>
      <c r="R46" s="78">
        <f t="shared" si="13"/>
        <v>0.110069444444444</v>
      </c>
      <c r="S46" s="79">
        <f t="shared" si="16"/>
        <v>8.2291666666666402E-2</v>
      </c>
      <c r="T46" s="96"/>
      <c r="V46" s="76"/>
      <c r="W46" s="77">
        <v>42</v>
      </c>
      <c r="X46" s="52">
        <f t="shared" si="14"/>
        <v>0.13090277777777801</v>
      </c>
      <c r="Y46" s="79">
        <f t="shared" si="17"/>
        <v>0.117013888888889</v>
      </c>
      <c r="Z46" s="88"/>
      <c r="AB46" s="76"/>
      <c r="AC46" s="77">
        <v>42</v>
      </c>
      <c r="AD46" s="52">
        <f t="shared" si="15"/>
        <v>0.13090277777777801</v>
      </c>
      <c r="AE46" s="79">
        <f t="shared" si="18"/>
        <v>0.117013888888889</v>
      </c>
      <c r="AF46" s="88"/>
    </row>
    <row r="47" spans="1:32" ht="14.65" customHeight="1" x14ac:dyDescent="0.25">
      <c r="A47" s="4" t="s">
        <v>116</v>
      </c>
      <c r="B47" s="15" t="e">
        <f>B45*E5</f>
        <v>#DIV/0!</v>
      </c>
      <c r="C47" s="384"/>
      <c r="G47" s="267" t="s">
        <v>117</v>
      </c>
      <c r="H47" s="309">
        <v>5.78703703703704E-4</v>
      </c>
      <c r="I47" s="38">
        <v>4.6296296296296298E-4</v>
      </c>
      <c r="K47" s="4">
        <v>440</v>
      </c>
      <c r="L47" s="15">
        <f t="shared" si="19"/>
        <v>0.17361111111111099</v>
      </c>
      <c r="P47" s="97" t="s">
        <v>118</v>
      </c>
      <c r="Q47" s="61">
        <v>44</v>
      </c>
      <c r="R47" s="28">
        <f t="shared" si="13"/>
        <v>0.112847222222222</v>
      </c>
      <c r="S47" s="54">
        <f>S46+$T$47</f>
        <v>8.5069444444444198E-2</v>
      </c>
      <c r="T47" s="625">
        <v>2.7777777777777801E-3</v>
      </c>
      <c r="V47" s="76"/>
      <c r="W47" s="77">
        <v>43</v>
      </c>
      <c r="X47" s="52">
        <f t="shared" si="14"/>
        <v>0.134027777777778</v>
      </c>
      <c r="Y47" s="79">
        <f t="shared" si="17"/>
        <v>0.120138888888889</v>
      </c>
      <c r="Z47" s="88"/>
      <c r="AB47" s="76"/>
      <c r="AC47" s="77">
        <v>43</v>
      </c>
      <c r="AD47" s="52">
        <f t="shared" si="15"/>
        <v>0.134027777777778</v>
      </c>
      <c r="AE47" s="79">
        <f t="shared" si="18"/>
        <v>0.120138888888889</v>
      </c>
      <c r="AF47" s="88"/>
    </row>
    <row r="48" spans="1:32" ht="14.65" customHeight="1" x14ac:dyDescent="0.25">
      <c r="A48" s="4" t="s">
        <v>119</v>
      </c>
      <c r="B48" s="15" t="e">
        <f>(B45*E5)+B46</f>
        <v>#DIV/0!</v>
      </c>
      <c r="C48" s="244"/>
      <c r="G48" s="267" t="s">
        <v>120</v>
      </c>
      <c r="H48" s="309">
        <v>8.1018518518518503E-5</v>
      </c>
      <c r="I48" s="37">
        <v>1.15740740740741E-4</v>
      </c>
      <c r="K48" s="4">
        <v>450</v>
      </c>
      <c r="L48" s="15">
        <f t="shared" si="19"/>
        <v>0.17708333333333301</v>
      </c>
      <c r="P48" s="97"/>
      <c r="Q48" s="61">
        <v>45</v>
      </c>
      <c r="R48" s="28">
        <f t="shared" si="13"/>
        <v>0.11527777777777801</v>
      </c>
      <c r="S48" s="54">
        <f t="shared" ref="S48:S53" si="20">S47+$T$39</f>
        <v>8.74999999999998E-2</v>
      </c>
      <c r="T48" s="623"/>
      <c r="V48" s="60" t="s">
        <v>121</v>
      </c>
      <c r="W48" s="61">
        <v>44</v>
      </c>
      <c r="X48" s="52">
        <f t="shared" si="14"/>
        <v>0.13819444444444501</v>
      </c>
      <c r="Y48" s="54">
        <f t="shared" ref="Y48:Y64" si="21">Y47+$Z$48</f>
        <v>0.124305555555556</v>
      </c>
      <c r="Z48" s="197">
        <v>4.1666666666666701E-3</v>
      </c>
      <c r="AB48" s="60" t="s">
        <v>121</v>
      </c>
      <c r="AC48" s="61">
        <v>44</v>
      </c>
      <c r="AD48" s="52">
        <f t="shared" si="15"/>
        <v>0.13819444444444501</v>
      </c>
      <c r="AE48" s="54">
        <f t="shared" ref="AE48:AE64" si="22">AE47+$AF$48</f>
        <v>0.124305555555556</v>
      </c>
      <c r="AF48" s="197">
        <v>4.1666666666666701E-3</v>
      </c>
    </row>
    <row r="49" spans="1:32" ht="14.65" customHeight="1" x14ac:dyDescent="0.25">
      <c r="A49" s="4" t="s">
        <v>122</v>
      </c>
      <c r="B49" s="38">
        <f>$H$57</f>
        <v>1.38888888888889E-2</v>
      </c>
      <c r="C49" s="244"/>
      <c r="G49" s="267" t="s">
        <v>123</v>
      </c>
      <c r="H49" s="309">
        <v>2.3148148148148201E-5</v>
      </c>
      <c r="I49" s="15">
        <v>3.4722222222222202E-5</v>
      </c>
      <c r="K49" s="4">
        <v>460</v>
      </c>
      <c r="L49" s="15">
        <f t="shared" si="19"/>
        <v>0.180555555555555</v>
      </c>
      <c r="P49" s="97"/>
      <c r="Q49" s="61">
        <v>46</v>
      </c>
      <c r="R49" s="28">
        <f t="shared" si="13"/>
        <v>0.117708333333333</v>
      </c>
      <c r="S49" s="54">
        <f t="shared" si="20"/>
        <v>8.9930555555555403E-2</v>
      </c>
      <c r="T49" s="623"/>
      <c r="V49" s="60"/>
      <c r="W49" s="61">
        <v>45</v>
      </c>
      <c r="X49" s="52">
        <f t="shared" si="14"/>
        <v>0.14236111111111199</v>
      </c>
      <c r="Y49" s="54">
        <f t="shared" si="21"/>
        <v>0.12847222222222299</v>
      </c>
      <c r="Z49" s="197"/>
      <c r="AB49" s="60"/>
      <c r="AC49" s="61">
        <v>45</v>
      </c>
      <c r="AD49" s="52">
        <f t="shared" si="15"/>
        <v>0.14236111111111199</v>
      </c>
      <c r="AE49" s="54">
        <f t="shared" si="22"/>
        <v>0.12847222222222299</v>
      </c>
      <c r="AF49" s="197"/>
    </row>
    <row r="50" spans="1:32" ht="21" customHeight="1" x14ac:dyDescent="0.35">
      <c r="A50" s="4" t="s">
        <v>124</v>
      </c>
      <c r="B50" s="15" t="e">
        <f>B49+B48</f>
        <v>#DIV/0!</v>
      </c>
      <c r="C50" s="244"/>
      <c r="G50" s="268" t="s">
        <v>125</v>
      </c>
      <c r="H50" s="309">
        <v>3.4722222222222199E-3</v>
      </c>
      <c r="I50" s="37">
        <v>6.9444444444444404E-4</v>
      </c>
      <c r="K50" s="4">
        <v>470</v>
      </c>
      <c r="L50" s="15">
        <f t="shared" si="19"/>
        <v>0.18402777777777801</v>
      </c>
      <c r="P50" s="97"/>
      <c r="Q50" s="61">
        <v>47</v>
      </c>
      <c r="R50" s="28">
        <f t="shared" si="13"/>
        <v>0.120138888888889</v>
      </c>
      <c r="S50" s="54">
        <f t="shared" si="20"/>
        <v>9.2361111111111005E-2</v>
      </c>
      <c r="T50" s="623"/>
      <c r="V50" s="60"/>
      <c r="W50" s="61">
        <v>46</v>
      </c>
      <c r="X50" s="52">
        <f t="shared" si="14"/>
        <v>0.14652777777777901</v>
      </c>
      <c r="Y50" s="54">
        <f t="shared" si="21"/>
        <v>0.13263888888889</v>
      </c>
      <c r="Z50" s="197"/>
      <c r="AB50" s="60"/>
      <c r="AC50" s="61">
        <v>46</v>
      </c>
      <c r="AD50" s="52">
        <f t="shared" si="15"/>
        <v>0.14652777777777901</v>
      </c>
      <c r="AE50" s="54">
        <f t="shared" si="22"/>
        <v>0.13263888888889</v>
      </c>
      <c r="AF50" s="197"/>
    </row>
    <row r="51" spans="1:32" ht="21" customHeight="1" x14ac:dyDescent="0.35">
      <c r="A51" s="265" t="s">
        <v>126</v>
      </c>
      <c r="B51" s="161">
        <f>E7</f>
        <v>0</v>
      </c>
      <c r="C51" s="385"/>
      <c r="G51" s="268" t="s">
        <v>127</v>
      </c>
      <c r="H51" s="265"/>
      <c r="I51" s="4"/>
      <c r="K51" s="4">
        <v>480</v>
      </c>
      <c r="L51" s="15">
        <f t="shared" si="19"/>
        <v>0.1875</v>
      </c>
      <c r="P51" s="97"/>
      <c r="Q51" s="61">
        <v>48</v>
      </c>
      <c r="R51" s="28">
        <f t="shared" si="13"/>
        <v>0.122569444444444</v>
      </c>
      <c r="S51" s="54">
        <f t="shared" si="20"/>
        <v>9.4791666666666594E-2</v>
      </c>
      <c r="T51" s="623"/>
      <c r="V51" s="60"/>
      <c r="W51" s="61">
        <v>47</v>
      </c>
      <c r="X51" s="52">
        <f t="shared" si="14"/>
        <v>0.15069444444444599</v>
      </c>
      <c r="Y51" s="54">
        <f t="shared" si="21"/>
        <v>0.13680555555555701</v>
      </c>
      <c r="Z51" s="197"/>
      <c r="AB51" s="60"/>
      <c r="AC51" s="61">
        <v>47</v>
      </c>
      <c r="AD51" s="52">
        <f t="shared" si="15"/>
        <v>0.15069444444444599</v>
      </c>
      <c r="AE51" s="54">
        <f t="shared" si="22"/>
        <v>0.13680555555555701</v>
      </c>
      <c r="AF51" s="197"/>
    </row>
    <row r="52" spans="1:32" ht="14.65" customHeight="1" x14ac:dyDescent="0.25">
      <c r="A52" s="3" t="s">
        <v>128</v>
      </c>
      <c r="B52" s="15" t="str">
        <f>IF(B51&gt;0,B48+0,"0")</f>
        <v>0</v>
      </c>
      <c r="C52" s="244"/>
      <c r="G52" s="267" t="s">
        <v>129</v>
      </c>
      <c r="H52" s="309">
        <v>4.6296296296296298E-4</v>
      </c>
      <c r="I52" s="263">
        <v>6.9444444444444404E-4</v>
      </c>
      <c r="K52" s="4">
        <v>490</v>
      </c>
      <c r="L52" s="15">
        <f t="shared" si="19"/>
        <v>0.19097222222222199</v>
      </c>
      <c r="P52" s="97"/>
      <c r="Q52" s="61">
        <v>49</v>
      </c>
      <c r="R52" s="28">
        <f t="shared" si="13"/>
        <v>0.125</v>
      </c>
      <c r="S52" s="54">
        <f t="shared" si="20"/>
        <v>9.7222222222222196E-2</v>
      </c>
      <c r="T52" s="623"/>
      <c r="V52" s="60"/>
      <c r="W52" s="61">
        <v>48</v>
      </c>
      <c r="X52" s="52">
        <f t="shared" si="14"/>
        <v>0.154861111111113</v>
      </c>
      <c r="Y52" s="54">
        <f t="shared" si="21"/>
        <v>0.140972222222224</v>
      </c>
      <c r="Z52" s="197"/>
      <c r="AB52" s="60"/>
      <c r="AC52" s="61">
        <v>48</v>
      </c>
      <c r="AD52" s="52">
        <f t="shared" si="15"/>
        <v>0.154861111111113</v>
      </c>
      <c r="AE52" s="54">
        <f t="shared" si="22"/>
        <v>0.140972222222224</v>
      </c>
      <c r="AF52" s="197"/>
    </row>
    <row r="53" spans="1:32" ht="21" customHeight="1" x14ac:dyDescent="0.35">
      <c r="A53" s="3" t="s">
        <v>130</v>
      </c>
      <c r="B53" s="15">
        <f>B51*B49</f>
        <v>0</v>
      </c>
      <c r="C53" s="244"/>
      <c r="G53" s="268" t="s">
        <v>131</v>
      </c>
      <c r="H53" s="265"/>
      <c r="I53" s="4"/>
      <c r="K53" s="4">
        <v>500</v>
      </c>
      <c r="L53" s="15">
        <f t="shared" si="19"/>
        <v>0.194444444444444</v>
      </c>
      <c r="P53" s="97"/>
      <c r="Q53" s="61">
        <v>50</v>
      </c>
      <c r="R53" s="28">
        <f t="shared" si="13"/>
        <v>0.12743055555555599</v>
      </c>
      <c r="S53" s="54">
        <f t="shared" si="20"/>
        <v>9.9652777777777798E-2</v>
      </c>
      <c r="T53" s="623"/>
      <c r="V53" s="60"/>
      <c r="W53" s="61">
        <v>49</v>
      </c>
      <c r="X53" s="52">
        <f t="shared" si="14"/>
        <v>0.15902777777777999</v>
      </c>
      <c r="Y53" s="54">
        <f t="shared" si="21"/>
        <v>0.14513888888889101</v>
      </c>
      <c r="Z53" s="197"/>
      <c r="AB53" s="60"/>
      <c r="AC53" s="61">
        <v>49</v>
      </c>
      <c r="AD53" s="52">
        <f t="shared" si="15"/>
        <v>0.15902777777777999</v>
      </c>
      <c r="AE53" s="54">
        <f t="shared" si="22"/>
        <v>0.14513888888889101</v>
      </c>
      <c r="AF53" s="197"/>
    </row>
    <row r="54" spans="1:32" ht="14.65" customHeight="1" x14ac:dyDescent="0.25">
      <c r="A54" s="3" t="s">
        <v>132</v>
      </c>
      <c r="B54" s="15">
        <f>B52+B53</f>
        <v>0</v>
      </c>
      <c r="C54" s="386"/>
      <c r="G54" s="267" t="s">
        <v>133</v>
      </c>
      <c r="H54" s="309">
        <v>6.9444444444444404E-4</v>
      </c>
      <c r="I54" s="37">
        <v>6.9444444444444404E-4</v>
      </c>
      <c r="K54" s="4">
        <v>510</v>
      </c>
      <c r="L54" s="15">
        <f t="shared" si="19"/>
        <v>0.19791666666666699</v>
      </c>
      <c r="P54" s="97"/>
      <c r="Q54" s="61">
        <v>51</v>
      </c>
      <c r="R54" s="28">
        <f t="shared" si="13"/>
        <v>0.13020833333333401</v>
      </c>
      <c r="S54" s="54">
        <f t="shared" ref="S54:S63" si="23">S53+$T$47</f>
        <v>0.102430555555556</v>
      </c>
      <c r="T54" s="623"/>
      <c r="V54" s="60"/>
      <c r="W54" s="61">
        <v>50</v>
      </c>
      <c r="X54" s="52">
        <f t="shared" si="14"/>
        <v>0.163194444444447</v>
      </c>
      <c r="Y54" s="54">
        <f t="shared" si="21"/>
        <v>0.14930555555555799</v>
      </c>
      <c r="Z54" s="197"/>
      <c r="AB54" s="60"/>
      <c r="AC54" s="61">
        <v>50</v>
      </c>
      <c r="AD54" s="52">
        <f t="shared" si="15"/>
        <v>0.163194444444447</v>
      </c>
      <c r="AE54" s="54">
        <f t="shared" si="22"/>
        <v>0.14930555555555799</v>
      </c>
      <c r="AF54" s="197"/>
    </row>
    <row r="55" spans="1:32" ht="21" customHeight="1" x14ac:dyDescent="0.35">
      <c r="A55" s="4" t="s">
        <v>134</v>
      </c>
      <c r="B55" s="15" t="e">
        <f>(B50+B54)/E5</f>
        <v>#DIV/0!</v>
      </c>
      <c r="C55" s="380">
        <f>B57*24</f>
        <v>0</v>
      </c>
      <c r="G55" s="268" t="s">
        <v>135</v>
      </c>
      <c r="H55" s="309">
        <v>6.9444444444444404E-4</v>
      </c>
      <c r="I55" s="37">
        <v>0</v>
      </c>
      <c r="K55" s="4">
        <v>520</v>
      </c>
      <c r="L55" s="15">
        <f t="shared" si="19"/>
        <v>0.20138888888888901</v>
      </c>
      <c r="P55" s="97"/>
      <c r="Q55" s="61">
        <v>52</v>
      </c>
      <c r="R55" s="28">
        <f t="shared" si="13"/>
        <v>0.132986111111112</v>
      </c>
      <c r="S55" s="54">
        <f t="shared" si="23"/>
        <v>0.105208333333334</v>
      </c>
      <c r="T55" s="623"/>
      <c r="V55" s="60"/>
      <c r="W55" s="61">
        <v>51</v>
      </c>
      <c r="X55" s="52">
        <f t="shared" si="14"/>
        <v>0.16736111111111401</v>
      </c>
      <c r="Y55" s="54">
        <f t="shared" si="21"/>
        <v>0.15347222222222501</v>
      </c>
      <c r="Z55" s="197"/>
      <c r="AB55" s="60"/>
      <c r="AC55" s="61">
        <v>51</v>
      </c>
      <c r="AD55" s="52">
        <f t="shared" si="15"/>
        <v>0.16736111111111401</v>
      </c>
      <c r="AE55" s="54">
        <f t="shared" si="22"/>
        <v>0.15347222222222501</v>
      </c>
      <c r="AF55" s="197"/>
    </row>
    <row r="56" spans="1:32" ht="23.65" customHeight="1" x14ac:dyDescent="0.35">
      <c r="A56" s="4" t="s">
        <v>136</v>
      </c>
      <c r="B56" s="37" t="e">
        <f>B50+B54</f>
        <v>#DIV/0!</v>
      </c>
      <c r="C56" s="381" t="s">
        <v>37</v>
      </c>
      <c r="E56" s="254"/>
      <c r="G56" s="268" t="s">
        <v>137</v>
      </c>
      <c r="H56" s="309">
        <v>0</v>
      </c>
      <c r="I56" s="4">
        <v>0</v>
      </c>
      <c r="K56" s="4">
        <v>530</v>
      </c>
      <c r="L56" s="15">
        <f t="shared" si="19"/>
        <v>0.20486111111111099</v>
      </c>
      <c r="P56" s="97"/>
      <c r="Q56" s="61">
        <v>53</v>
      </c>
      <c r="R56" s="28">
        <f t="shared" si="13"/>
        <v>0.13576388888888999</v>
      </c>
      <c r="S56" s="54">
        <f t="shared" si="23"/>
        <v>0.107986111111112</v>
      </c>
      <c r="T56" s="623"/>
      <c r="V56" s="60"/>
      <c r="W56" s="61">
        <v>52</v>
      </c>
      <c r="X56" s="52">
        <f t="shared" si="14"/>
        <v>0.171527777777781</v>
      </c>
      <c r="Y56" s="54">
        <f t="shared" si="21"/>
        <v>0.15763888888889199</v>
      </c>
      <c r="Z56" s="197"/>
      <c r="AB56" s="60"/>
      <c r="AC56" s="61">
        <v>52</v>
      </c>
      <c r="AD56" s="52">
        <f t="shared" si="15"/>
        <v>0.171527777777781</v>
      </c>
      <c r="AE56" s="54">
        <f t="shared" si="22"/>
        <v>0.15763888888889199</v>
      </c>
      <c r="AF56" s="197"/>
    </row>
    <row r="57" spans="1:32" ht="14.65" customHeight="1" x14ac:dyDescent="0.25">
      <c r="A57" s="3" t="s">
        <v>138</v>
      </c>
      <c r="B57" s="28">
        <f>IF(E11&gt;0,B56,0)</f>
        <v>0</v>
      </c>
      <c r="C57" s="382">
        <f>C55/7</f>
        <v>0</v>
      </c>
      <c r="G57" s="267" t="s">
        <v>139</v>
      </c>
      <c r="H57" s="38">
        <v>1.38888888888889E-2</v>
      </c>
      <c r="I57" s="38">
        <v>2.0833333333333301E-2</v>
      </c>
      <c r="K57" s="4">
        <v>540</v>
      </c>
      <c r="L57" s="15">
        <f t="shared" si="19"/>
        <v>0.20833333333333301</v>
      </c>
      <c r="P57" s="97"/>
      <c r="Q57" s="61">
        <v>54</v>
      </c>
      <c r="R57" s="28">
        <f t="shared" si="13"/>
        <v>0.13854166666666801</v>
      </c>
      <c r="S57" s="54">
        <f t="shared" si="23"/>
        <v>0.11076388888888999</v>
      </c>
      <c r="T57" s="623"/>
      <c r="V57" s="60"/>
      <c r="W57" s="61">
        <v>53</v>
      </c>
      <c r="X57" s="52">
        <f t="shared" si="14"/>
        <v>0.17569444444444801</v>
      </c>
      <c r="Y57" s="54">
        <f t="shared" si="21"/>
        <v>0.16180555555555901</v>
      </c>
      <c r="Z57" s="197"/>
      <c r="AB57" s="60"/>
      <c r="AC57" s="61">
        <v>53</v>
      </c>
      <c r="AD57" s="52">
        <f t="shared" si="15"/>
        <v>0.17569444444444801</v>
      </c>
      <c r="AE57" s="54">
        <f t="shared" si="22"/>
        <v>0.16180555555555901</v>
      </c>
      <c r="AF57" s="197"/>
    </row>
    <row r="58" spans="1:32" ht="14.65" customHeight="1" x14ac:dyDescent="0.25">
      <c r="A58" s="30"/>
      <c r="B58" s="30"/>
      <c r="C58" s="244"/>
      <c r="G58" s="267" t="s">
        <v>140</v>
      </c>
      <c r="H58" s="38">
        <v>1.38888888888889E-2</v>
      </c>
      <c r="I58" s="37">
        <v>1.0416666666666701E-2</v>
      </c>
      <c r="K58" s="4">
        <v>550</v>
      </c>
      <c r="L58" s="15">
        <f t="shared" si="19"/>
        <v>0.211805555555555</v>
      </c>
      <c r="P58" s="97"/>
      <c r="Q58" s="61">
        <v>55</v>
      </c>
      <c r="R58" s="28">
        <f t="shared" si="13"/>
        <v>0.141319444444446</v>
      </c>
      <c r="S58" s="54">
        <f t="shared" si="23"/>
        <v>0.113541666666668</v>
      </c>
      <c r="T58" s="623"/>
      <c r="V58" s="60"/>
      <c r="W58" s="61">
        <v>54</v>
      </c>
      <c r="X58" s="52">
        <f t="shared" si="14"/>
        <v>0.179861111111115</v>
      </c>
      <c r="Y58" s="54">
        <f t="shared" si="21"/>
        <v>0.16597222222222599</v>
      </c>
      <c r="Z58" s="197"/>
      <c r="AB58" s="60"/>
      <c r="AC58" s="61">
        <v>54</v>
      </c>
      <c r="AD58" s="52">
        <f t="shared" si="15"/>
        <v>0.179861111111115</v>
      </c>
      <c r="AE58" s="54">
        <f t="shared" si="22"/>
        <v>0.16597222222222599</v>
      </c>
      <c r="AF58" s="197"/>
    </row>
    <row r="59" spans="1:32" ht="14.65" customHeight="1" x14ac:dyDescent="0.25">
      <c r="A59" s="327" t="s">
        <v>141</v>
      </c>
      <c r="B59" s="38">
        <f>H35</f>
        <v>2.31481481481481E-5</v>
      </c>
      <c r="C59" s="244"/>
      <c r="G59" s="271" t="s">
        <v>142</v>
      </c>
      <c r="H59" s="248"/>
      <c r="I59" s="248"/>
      <c r="K59" s="4">
        <v>560</v>
      </c>
      <c r="L59" s="15">
        <f t="shared" si="19"/>
        <v>0.21527777777777801</v>
      </c>
      <c r="P59" s="97"/>
      <c r="Q59" s="61">
        <v>56</v>
      </c>
      <c r="R59" s="28">
        <f t="shared" si="13"/>
        <v>0.14409722222222399</v>
      </c>
      <c r="S59" s="54">
        <f t="shared" si="23"/>
        <v>0.116319444444446</v>
      </c>
      <c r="T59" s="623"/>
      <c r="V59" s="60"/>
      <c r="W59" s="61">
        <v>55</v>
      </c>
      <c r="X59" s="52">
        <f t="shared" si="14"/>
        <v>0.18402777777778201</v>
      </c>
      <c r="Y59" s="54">
        <f t="shared" si="21"/>
        <v>0.170138888888893</v>
      </c>
      <c r="Z59" s="197"/>
      <c r="AB59" s="60"/>
      <c r="AC59" s="61">
        <v>55</v>
      </c>
      <c r="AD59" s="52">
        <f t="shared" si="15"/>
        <v>0.18402777777778201</v>
      </c>
      <c r="AE59" s="54">
        <f t="shared" si="22"/>
        <v>0.170138888888893</v>
      </c>
      <c r="AF59" s="197"/>
    </row>
    <row r="60" spans="1:32" ht="14.65" customHeight="1" x14ac:dyDescent="0.25">
      <c r="A60" s="4" t="s">
        <v>113</v>
      </c>
      <c r="B60" s="15">
        <f>((B59)*(H37))</f>
        <v>0</v>
      </c>
      <c r="C60" s="244"/>
      <c r="G60" s="272" t="s">
        <v>143</v>
      </c>
      <c r="H60" s="249">
        <v>0</v>
      </c>
      <c r="I60" s="248"/>
      <c r="K60" s="4">
        <v>570</v>
      </c>
      <c r="L60" s="15">
        <f t="shared" si="19"/>
        <v>0.21875</v>
      </c>
      <c r="P60" s="97"/>
      <c r="Q60" s="61">
        <v>57</v>
      </c>
      <c r="R60" s="28">
        <f t="shared" si="13"/>
        <v>0.146875000000002</v>
      </c>
      <c r="S60" s="54">
        <f t="shared" si="23"/>
        <v>0.11909722222222401</v>
      </c>
      <c r="T60" s="623"/>
      <c r="V60" s="60"/>
      <c r="W60" s="61">
        <v>56</v>
      </c>
      <c r="X60" s="52">
        <f t="shared" si="14"/>
        <v>0.18819444444444899</v>
      </c>
      <c r="Y60" s="54">
        <f t="shared" si="21"/>
        <v>0.17430555555555999</v>
      </c>
      <c r="Z60" s="197"/>
      <c r="AB60" s="60"/>
      <c r="AC60" s="61">
        <v>56</v>
      </c>
      <c r="AD60" s="52">
        <f t="shared" si="15"/>
        <v>0.18819444444444899</v>
      </c>
      <c r="AE60" s="54">
        <f t="shared" si="22"/>
        <v>0.17430555555555999</v>
      </c>
      <c r="AF60" s="197"/>
    </row>
    <row r="61" spans="1:32" ht="14.65" customHeight="1" x14ac:dyDescent="0.25">
      <c r="A61" s="4" t="s">
        <v>109</v>
      </c>
      <c r="B61" s="15" t="e">
        <f>H43*E5</f>
        <v>#DIV/0!</v>
      </c>
      <c r="C61" s="244"/>
      <c r="D61" s="255"/>
      <c r="G61" s="272" t="s">
        <v>144</v>
      </c>
      <c r="H61" s="250">
        <v>3.4722222222222202E-4</v>
      </c>
      <c r="I61" s="251">
        <v>3.4722222222222202E-4</v>
      </c>
      <c r="K61" s="4">
        <v>580</v>
      </c>
      <c r="L61" s="15">
        <f t="shared" si="19"/>
        <v>0.22222222222222199</v>
      </c>
      <c r="P61" s="97"/>
      <c r="Q61" s="61">
        <v>58</v>
      </c>
      <c r="R61" s="28">
        <f t="shared" si="13"/>
        <v>0.14965277777777999</v>
      </c>
      <c r="S61" s="54">
        <f t="shared" si="23"/>
        <v>0.121875000000002</v>
      </c>
      <c r="T61" s="623"/>
      <c r="V61" s="60"/>
      <c r="W61" s="61">
        <v>57</v>
      </c>
      <c r="X61" s="52">
        <f t="shared" si="14"/>
        <v>0.19236111111111601</v>
      </c>
      <c r="Y61" s="54">
        <f t="shared" si="21"/>
        <v>0.178472222222227</v>
      </c>
      <c r="Z61" s="197"/>
      <c r="AB61" s="60"/>
      <c r="AC61" s="61">
        <v>57</v>
      </c>
      <c r="AD61" s="52">
        <f t="shared" si="15"/>
        <v>0.19236111111111601</v>
      </c>
      <c r="AE61" s="54">
        <f t="shared" si="22"/>
        <v>0.178472222222227</v>
      </c>
      <c r="AF61" s="197"/>
    </row>
    <row r="62" spans="1:32" ht="14.65" customHeight="1" x14ac:dyDescent="0.25">
      <c r="A62" s="4" t="s">
        <v>116</v>
      </c>
      <c r="B62" s="15" t="e">
        <f>B60*E5</f>
        <v>#DIV/0!</v>
      </c>
      <c r="C62" s="244"/>
      <c r="G62" s="272" t="s">
        <v>145</v>
      </c>
      <c r="H62" s="250">
        <v>8.1018518518518503E-5</v>
      </c>
      <c r="I62" s="251">
        <v>8.1018518518518503E-5</v>
      </c>
      <c r="K62" s="4">
        <v>590</v>
      </c>
      <c r="L62" s="15">
        <f t="shared" si="19"/>
        <v>0.225694444444444</v>
      </c>
      <c r="P62" s="97"/>
      <c r="Q62" s="61">
        <v>59</v>
      </c>
      <c r="R62" s="28">
        <f t="shared" si="13"/>
        <v>0.15243055555555801</v>
      </c>
      <c r="S62" s="54">
        <f t="shared" si="23"/>
        <v>0.12465277777778</v>
      </c>
      <c r="T62" s="623"/>
      <c r="V62" s="60"/>
      <c r="W62" s="61">
        <v>58</v>
      </c>
      <c r="X62" s="52">
        <f t="shared" si="14"/>
        <v>0.19652777777778299</v>
      </c>
      <c r="Y62" s="54">
        <f t="shared" si="21"/>
        <v>0.18263888888889401</v>
      </c>
      <c r="Z62" s="197"/>
      <c r="AB62" s="60"/>
      <c r="AC62" s="61">
        <v>58</v>
      </c>
      <c r="AD62" s="52">
        <f t="shared" si="15"/>
        <v>0.19652777777778299</v>
      </c>
      <c r="AE62" s="54">
        <f t="shared" si="22"/>
        <v>0.18263888888889401</v>
      </c>
      <c r="AF62" s="197"/>
    </row>
    <row r="63" spans="1:32" ht="14.65" customHeight="1" x14ac:dyDescent="0.25">
      <c r="A63" s="4" t="s">
        <v>119</v>
      </c>
      <c r="B63" s="15" t="e">
        <f>(B60*E5)+B61</f>
        <v>#DIV/0!</v>
      </c>
      <c r="C63" s="387"/>
      <c r="G63" s="272" t="s">
        <v>146</v>
      </c>
      <c r="H63" s="250">
        <v>0</v>
      </c>
      <c r="I63" s="251">
        <v>6.9444444444444404E-4</v>
      </c>
      <c r="K63" s="4">
        <v>600</v>
      </c>
      <c r="L63" s="15">
        <f t="shared" si="19"/>
        <v>0.22916666666666699</v>
      </c>
      <c r="P63" s="97"/>
      <c r="Q63" s="61">
        <v>60</v>
      </c>
      <c r="R63" s="28">
        <f t="shared" si="13"/>
        <v>0.155208333333336</v>
      </c>
      <c r="S63" s="54">
        <f t="shared" si="23"/>
        <v>0.12743055555555799</v>
      </c>
      <c r="T63" s="624"/>
      <c r="V63" s="60"/>
      <c r="W63" s="61">
        <v>59</v>
      </c>
      <c r="X63" s="52">
        <f t="shared" si="14"/>
        <v>0.20069444444445</v>
      </c>
      <c r="Y63" s="54">
        <f t="shared" si="21"/>
        <v>0.186805555555561</v>
      </c>
      <c r="Z63" s="197"/>
      <c r="AB63" s="60"/>
      <c r="AC63" s="61">
        <v>59</v>
      </c>
      <c r="AD63" s="52">
        <f t="shared" si="15"/>
        <v>0.20069444444445</v>
      </c>
      <c r="AE63" s="54">
        <f t="shared" si="22"/>
        <v>0.186805555555561</v>
      </c>
      <c r="AF63" s="197"/>
    </row>
    <row r="64" spans="1:32" ht="14.65" customHeight="1" x14ac:dyDescent="0.25">
      <c r="A64" s="4" t="s">
        <v>122</v>
      </c>
      <c r="B64" s="38">
        <f>$H$57</f>
        <v>1.38888888888889E-2</v>
      </c>
      <c r="C64" s="387"/>
      <c r="K64" s="4">
        <v>610</v>
      </c>
      <c r="L64" s="15">
        <f t="shared" si="19"/>
        <v>0.23263888888888901</v>
      </c>
      <c r="P64" s="98" t="s">
        <v>147</v>
      </c>
      <c r="Q64" s="82">
        <v>61</v>
      </c>
      <c r="R64" s="83">
        <f t="shared" si="13"/>
        <v>0.15833333333333599</v>
      </c>
      <c r="S64" s="84">
        <f t="shared" ref="S64:S73" si="24">S63+$T$64</f>
        <v>0.13055555555555801</v>
      </c>
      <c r="T64" s="642">
        <v>3.1250000000000002E-3</v>
      </c>
      <c r="V64" s="60"/>
      <c r="W64" s="61">
        <v>60</v>
      </c>
      <c r="X64" s="52">
        <f t="shared" si="14"/>
        <v>0.20486111111111699</v>
      </c>
      <c r="Y64" s="54">
        <f t="shared" si="21"/>
        <v>0.19097222222222801</v>
      </c>
      <c r="Z64" s="197"/>
      <c r="AB64" s="60"/>
      <c r="AC64" s="61">
        <v>60</v>
      </c>
      <c r="AD64" s="52">
        <f t="shared" si="15"/>
        <v>0.20486111111111699</v>
      </c>
      <c r="AE64" s="54">
        <f t="shared" si="22"/>
        <v>0.19097222222222801</v>
      </c>
      <c r="AF64" s="197"/>
    </row>
    <row r="65" spans="1:32" ht="14.65" customHeight="1" x14ac:dyDescent="0.25">
      <c r="A65" s="3" t="s">
        <v>124</v>
      </c>
      <c r="B65" s="37" t="e">
        <f>B64+B63</f>
        <v>#DIV/0!</v>
      </c>
      <c r="C65" s="387"/>
      <c r="G65" s="46"/>
      <c r="H65" s="256"/>
      <c r="K65" s="4">
        <v>620</v>
      </c>
      <c r="L65" s="15">
        <f t="shared" si="19"/>
        <v>0.23611111111111099</v>
      </c>
      <c r="P65" s="98"/>
      <c r="Q65" s="82">
        <v>62</v>
      </c>
      <c r="R65" s="83">
        <f t="shared" si="13"/>
        <v>0.16145833333333601</v>
      </c>
      <c r="S65" s="84">
        <f t="shared" si="24"/>
        <v>0.13368055555555799</v>
      </c>
      <c r="T65" s="623"/>
      <c r="V65" s="81" t="s">
        <v>148</v>
      </c>
      <c r="W65" s="82">
        <v>61</v>
      </c>
      <c r="X65" s="52">
        <f t="shared" si="14"/>
        <v>0.209027777777784</v>
      </c>
      <c r="Y65" s="84">
        <f t="shared" ref="Y65:Y74" si="25">Y64+$Z$65</f>
        <v>0.195138888888895</v>
      </c>
      <c r="Z65" s="188">
        <v>4.1666666666666701E-3</v>
      </c>
      <c r="AB65" s="81" t="s">
        <v>148</v>
      </c>
      <c r="AC65" s="82">
        <v>61</v>
      </c>
      <c r="AD65" s="52">
        <f t="shared" si="15"/>
        <v>0.209027777777784</v>
      </c>
      <c r="AE65" s="84">
        <f t="shared" ref="AE65:AE74" si="26">AE64+$AF$65</f>
        <v>0.195138888888895</v>
      </c>
      <c r="AF65" s="188">
        <v>4.1666666666666701E-3</v>
      </c>
    </row>
    <row r="66" spans="1:32" ht="14.65" customHeight="1" x14ac:dyDescent="0.25">
      <c r="A66" s="265" t="s">
        <v>126</v>
      </c>
      <c r="B66" s="265">
        <f>E7</f>
        <v>0</v>
      </c>
      <c r="C66" s="387"/>
      <c r="D66" s="47"/>
      <c r="E66" s="47"/>
      <c r="F66" s="47"/>
      <c r="K66" s="4">
        <v>630</v>
      </c>
      <c r="L66" s="15">
        <f t="shared" si="19"/>
        <v>0.23958333333333301</v>
      </c>
      <c r="P66" s="98"/>
      <c r="Q66" s="82">
        <v>63</v>
      </c>
      <c r="R66" s="83">
        <f t="shared" si="13"/>
        <v>0.164583333333336</v>
      </c>
      <c r="S66" s="84">
        <f t="shared" si="24"/>
        <v>0.13680555555555801</v>
      </c>
      <c r="T66" s="623"/>
      <c r="V66" s="81"/>
      <c r="W66" s="82">
        <v>62</v>
      </c>
      <c r="X66" s="52">
        <f t="shared" si="14"/>
        <v>0.21319444444445099</v>
      </c>
      <c r="Y66" s="84">
        <f t="shared" si="25"/>
        <v>0.19930555555556201</v>
      </c>
      <c r="Z66" s="189"/>
      <c r="AB66" s="81"/>
      <c r="AC66" s="82">
        <v>62</v>
      </c>
      <c r="AD66" s="52">
        <f t="shared" si="15"/>
        <v>0.21319444444445099</v>
      </c>
      <c r="AE66" s="84">
        <f t="shared" si="26"/>
        <v>0.19930555555556201</v>
      </c>
      <c r="AF66" s="189"/>
    </row>
    <row r="67" spans="1:32" ht="14.65" customHeight="1" x14ac:dyDescent="0.25">
      <c r="A67" s="3" t="s">
        <v>128</v>
      </c>
      <c r="B67" s="37" t="str">
        <f>IF(B66&gt;0,B63+0,"0")</f>
        <v>0</v>
      </c>
      <c r="C67" s="387" t="s">
        <v>149</v>
      </c>
      <c r="D67" s="47"/>
      <c r="E67" s="47"/>
      <c r="F67" s="47"/>
      <c r="K67" s="4">
        <v>640</v>
      </c>
      <c r="L67" s="15">
        <f t="shared" si="19"/>
        <v>0.243055555555555</v>
      </c>
      <c r="P67" s="98"/>
      <c r="Q67" s="82">
        <v>64</v>
      </c>
      <c r="R67" s="83">
        <f t="shared" si="13"/>
        <v>0.16770833333333601</v>
      </c>
      <c r="S67" s="84">
        <f t="shared" si="24"/>
        <v>0.139930555555558</v>
      </c>
      <c r="T67" s="623"/>
      <c r="V67" s="81"/>
      <c r="W67" s="82">
        <v>63</v>
      </c>
      <c r="X67" s="52">
        <f t="shared" si="14"/>
        <v>0.217361111111118</v>
      </c>
      <c r="Y67" s="84">
        <f t="shared" si="25"/>
        <v>0.20347222222222899</v>
      </c>
      <c r="Z67" s="189"/>
      <c r="AB67" s="81"/>
      <c r="AC67" s="82">
        <v>63</v>
      </c>
      <c r="AD67" s="52">
        <f t="shared" si="15"/>
        <v>0.217361111111118</v>
      </c>
      <c r="AE67" s="84">
        <f t="shared" si="26"/>
        <v>0.20347222222222899</v>
      </c>
      <c r="AF67" s="189"/>
    </row>
    <row r="68" spans="1:32" ht="14.65" customHeight="1" x14ac:dyDescent="0.25">
      <c r="A68" s="3" t="s">
        <v>130</v>
      </c>
      <c r="B68" s="37">
        <f>B66*B64</f>
        <v>0</v>
      </c>
      <c r="C68" s="387"/>
      <c r="K68" s="4">
        <v>650</v>
      </c>
      <c r="L68" s="15">
        <f t="shared" si="19"/>
        <v>0.24652777777777801</v>
      </c>
      <c r="P68" s="98"/>
      <c r="Q68" s="82">
        <v>65</v>
      </c>
      <c r="R68" s="83">
        <f t="shared" si="13"/>
        <v>0.170833333333336</v>
      </c>
      <c r="S68" s="84">
        <f t="shared" si="24"/>
        <v>0.14305555555555799</v>
      </c>
      <c r="T68" s="623"/>
      <c r="V68" s="81"/>
      <c r="W68" s="82">
        <v>64</v>
      </c>
      <c r="X68" s="52">
        <f t="shared" si="14"/>
        <v>0.22152777777778501</v>
      </c>
      <c r="Y68" s="84">
        <f t="shared" si="25"/>
        <v>0.20763888888889601</v>
      </c>
      <c r="Z68" s="189"/>
      <c r="AB68" s="81"/>
      <c r="AC68" s="82">
        <v>64</v>
      </c>
      <c r="AD68" s="52">
        <f t="shared" si="15"/>
        <v>0.22152777777778501</v>
      </c>
      <c r="AE68" s="84">
        <f t="shared" si="26"/>
        <v>0.20763888888889601</v>
      </c>
      <c r="AF68" s="189"/>
    </row>
    <row r="69" spans="1:32" ht="14.65" customHeight="1" x14ac:dyDescent="0.25">
      <c r="A69" s="3" t="s">
        <v>132</v>
      </c>
      <c r="B69" s="37">
        <f>B67+B68</f>
        <v>0</v>
      </c>
      <c r="C69" s="387"/>
      <c r="K69" s="4">
        <v>660</v>
      </c>
      <c r="L69" s="15">
        <f t="shared" si="19"/>
        <v>0.25</v>
      </c>
      <c r="P69" s="98"/>
      <c r="Q69" s="82">
        <v>66</v>
      </c>
      <c r="R69" s="83">
        <f t="shared" ref="R69:R100" si="27">$R$4+S69</f>
        <v>0.17395833333333599</v>
      </c>
      <c r="S69" s="84">
        <f t="shared" si="24"/>
        <v>0.14618055555555801</v>
      </c>
      <c r="T69" s="623"/>
      <c r="V69" s="81"/>
      <c r="W69" s="82">
        <v>65</v>
      </c>
      <c r="X69" s="52">
        <f t="shared" si="14"/>
        <v>0.225694444444452</v>
      </c>
      <c r="Y69" s="84">
        <f t="shared" si="25"/>
        <v>0.21180555555556299</v>
      </c>
      <c r="Z69" s="189"/>
      <c r="AB69" s="81"/>
      <c r="AC69" s="82">
        <v>65</v>
      </c>
      <c r="AD69" s="52">
        <f t="shared" si="15"/>
        <v>0.225694444444452</v>
      </c>
      <c r="AE69" s="84">
        <f t="shared" si="26"/>
        <v>0.21180555555556299</v>
      </c>
      <c r="AF69" s="189"/>
    </row>
    <row r="70" spans="1:32" ht="14.65" customHeight="1" x14ac:dyDescent="0.25">
      <c r="A70" s="3" t="s">
        <v>134</v>
      </c>
      <c r="B70" s="37" t="e">
        <f>(B65+B69)/E5</f>
        <v>#DIV/0!</v>
      </c>
      <c r="C70" s="380">
        <f>B72*24</f>
        <v>0</v>
      </c>
      <c r="G70" s="46"/>
      <c r="K70" s="4">
        <v>670</v>
      </c>
      <c r="L70" s="15">
        <f t="shared" si="19"/>
        <v>0.25347222222222199</v>
      </c>
      <c r="P70" s="98"/>
      <c r="Q70" s="82">
        <v>67</v>
      </c>
      <c r="R70" s="83">
        <f t="shared" si="27"/>
        <v>0.17708333333333601</v>
      </c>
      <c r="S70" s="84">
        <f t="shared" si="24"/>
        <v>0.14930555555555799</v>
      </c>
      <c r="T70" s="623"/>
      <c r="V70" s="81"/>
      <c r="W70" s="82">
        <v>66</v>
      </c>
      <c r="X70" s="52">
        <f t="shared" ref="X70:X101" si="28">$X$5+Y70</f>
        <v>0.22986111111111901</v>
      </c>
      <c r="Y70" s="84">
        <f t="shared" si="25"/>
        <v>0.21597222222223</v>
      </c>
      <c r="Z70" s="189"/>
      <c r="AB70" s="81"/>
      <c r="AC70" s="82">
        <v>66</v>
      </c>
      <c r="AD70" s="52">
        <f t="shared" ref="AD70:AD101" si="29">$AD$5+AE70</f>
        <v>0.22986111111111901</v>
      </c>
      <c r="AE70" s="84">
        <f t="shared" si="26"/>
        <v>0.21597222222223</v>
      </c>
      <c r="AF70" s="189"/>
    </row>
    <row r="71" spans="1:32" ht="14.65" customHeight="1" x14ac:dyDescent="0.25">
      <c r="A71" s="4" t="s">
        <v>150</v>
      </c>
      <c r="B71" s="37" t="e">
        <f>B65+B69</f>
        <v>#DIV/0!</v>
      </c>
      <c r="C71" s="381" t="s">
        <v>37</v>
      </c>
      <c r="G71" s="46"/>
      <c r="K71" s="4">
        <v>680</v>
      </c>
      <c r="L71" s="15">
        <f t="shared" si="19"/>
        <v>0.25694444444444398</v>
      </c>
      <c r="P71" s="98"/>
      <c r="Q71" s="82">
        <v>68</v>
      </c>
      <c r="R71" s="83">
        <f t="shared" si="27"/>
        <v>0.180208333333336</v>
      </c>
      <c r="S71" s="84">
        <f t="shared" si="24"/>
        <v>0.15243055555555801</v>
      </c>
      <c r="T71" s="623"/>
      <c r="V71" s="81"/>
      <c r="W71" s="82">
        <v>67</v>
      </c>
      <c r="X71" s="52">
        <f t="shared" si="28"/>
        <v>0.23402777777778599</v>
      </c>
      <c r="Y71" s="84">
        <f t="shared" si="25"/>
        <v>0.22013888888889699</v>
      </c>
      <c r="Z71" s="189"/>
      <c r="AB71" s="81"/>
      <c r="AC71" s="82">
        <v>67</v>
      </c>
      <c r="AD71" s="52">
        <f t="shared" si="29"/>
        <v>0.23402777777778599</v>
      </c>
      <c r="AE71" s="84">
        <f t="shared" si="26"/>
        <v>0.22013888888889699</v>
      </c>
      <c r="AF71" s="189"/>
    </row>
    <row r="72" spans="1:32" ht="14.65" customHeight="1" x14ac:dyDescent="0.25">
      <c r="A72" s="3" t="s">
        <v>138</v>
      </c>
      <c r="B72" s="28">
        <f>IF(E13&gt;0,B71,0)</f>
        <v>0</v>
      </c>
      <c r="C72" s="382">
        <f>C70/7</f>
        <v>0</v>
      </c>
      <c r="K72" s="4">
        <v>690</v>
      </c>
      <c r="L72" s="15">
        <f t="shared" si="19"/>
        <v>0.26041666666666702</v>
      </c>
      <c r="P72" s="98"/>
      <c r="Q72" s="82">
        <v>69</v>
      </c>
      <c r="R72" s="83">
        <f t="shared" si="27"/>
        <v>0.18333333333333601</v>
      </c>
      <c r="S72" s="84">
        <f t="shared" si="24"/>
        <v>0.155555555555558</v>
      </c>
      <c r="T72" s="623"/>
      <c r="V72" s="81"/>
      <c r="W72" s="82">
        <v>68</v>
      </c>
      <c r="X72" s="52">
        <f t="shared" si="28"/>
        <v>0.23819444444445301</v>
      </c>
      <c r="Y72" s="84">
        <f t="shared" si="25"/>
        <v>0.224305555555564</v>
      </c>
      <c r="Z72" s="189"/>
      <c r="AB72" s="81"/>
      <c r="AC72" s="82">
        <v>68</v>
      </c>
      <c r="AD72" s="52">
        <f t="shared" si="29"/>
        <v>0.23819444444445301</v>
      </c>
      <c r="AE72" s="84">
        <f t="shared" si="26"/>
        <v>0.224305555555564</v>
      </c>
      <c r="AF72" s="189"/>
    </row>
    <row r="73" spans="1:32" ht="15" customHeight="1" thickBot="1" x14ac:dyDescent="0.3">
      <c r="A73" s="30"/>
      <c r="B73" s="30"/>
      <c r="C73" s="387"/>
      <c r="K73" s="4">
        <v>700</v>
      </c>
      <c r="L73" s="15">
        <f t="shared" ref="L73:L104" si="30">$L$6+(((K73-$K$6)/10)*$M$2)</f>
        <v>0.26388888888888901</v>
      </c>
      <c r="P73" s="98"/>
      <c r="Q73" s="82">
        <v>70</v>
      </c>
      <c r="R73" s="83">
        <f t="shared" si="27"/>
        <v>0.186458333333336</v>
      </c>
      <c r="S73" s="84">
        <f t="shared" si="24"/>
        <v>0.15868055555555799</v>
      </c>
      <c r="T73" s="624"/>
      <c r="V73" s="81"/>
      <c r="W73" s="82">
        <v>69</v>
      </c>
      <c r="X73" s="52">
        <f t="shared" si="28"/>
        <v>0.24236111111111999</v>
      </c>
      <c r="Y73" s="84">
        <f t="shared" si="25"/>
        <v>0.22847222222223099</v>
      </c>
      <c r="Z73" s="189"/>
      <c r="AB73" s="81"/>
      <c r="AC73" s="82">
        <v>69</v>
      </c>
      <c r="AD73" s="52">
        <f t="shared" si="29"/>
        <v>0.24236111111111999</v>
      </c>
      <c r="AE73" s="84">
        <f t="shared" si="26"/>
        <v>0.22847222222223099</v>
      </c>
      <c r="AF73" s="189"/>
    </row>
    <row r="74" spans="1:32" ht="14.65" customHeight="1" x14ac:dyDescent="0.25">
      <c r="A74" s="8" t="s">
        <v>97</v>
      </c>
      <c r="B74" s="36">
        <f>H39</f>
        <v>5.20833333333333E-4</v>
      </c>
      <c r="C74" s="387"/>
      <c r="K74" s="4">
        <v>710</v>
      </c>
      <c r="L74" s="15">
        <f t="shared" si="30"/>
        <v>0.26736111111111099</v>
      </c>
      <c r="P74" s="99" t="s">
        <v>151</v>
      </c>
      <c r="Q74" s="65">
        <v>71</v>
      </c>
      <c r="R74" s="57">
        <f t="shared" si="27"/>
        <v>0.18993055555555799</v>
      </c>
      <c r="S74" s="58">
        <f>S73+$T$74</f>
        <v>0.16215277777778001</v>
      </c>
      <c r="T74" s="635">
        <v>3.4722222222222199E-3</v>
      </c>
      <c r="V74" s="81"/>
      <c r="W74" s="82">
        <v>70</v>
      </c>
      <c r="X74" s="52">
        <f t="shared" si="28"/>
        <v>0.246527777777787</v>
      </c>
      <c r="Y74" s="84">
        <f t="shared" si="25"/>
        <v>0.232638888888898</v>
      </c>
      <c r="Z74" s="190"/>
      <c r="AB74" s="81"/>
      <c r="AC74" s="82">
        <v>70</v>
      </c>
      <c r="AD74" s="52">
        <f t="shared" si="29"/>
        <v>0.246527777777787</v>
      </c>
      <c r="AE74" s="84">
        <f t="shared" si="26"/>
        <v>0.232638888888898</v>
      </c>
      <c r="AF74" s="190"/>
    </row>
    <row r="75" spans="1:32" ht="14.65" customHeight="1" x14ac:dyDescent="0.25">
      <c r="A75" s="5" t="s">
        <v>152</v>
      </c>
      <c r="B75" s="4">
        <f>E14*E4</f>
        <v>0</v>
      </c>
      <c r="C75" s="387"/>
      <c r="K75" s="4">
        <v>720</v>
      </c>
      <c r="L75" s="15">
        <f t="shared" si="30"/>
        <v>0.27083333333333298</v>
      </c>
      <c r="P75" s="99"/>
      <c r="Q75" s="65">
        <v>72</v>
      </c>
      <c r="R75" s="57">
        <f t="shared" si="27"/>
        <v>0.19305555555555801</v>
      </c>
      <c r="S75" s="58">
        <f t="shared" ref="S75:S83" si="31">S74+$T$64</f>
        <v>0.16527777777777999</v>
      </c>
      <c r="T75" s="623"/>
      <c r="V75" s="64" t="s">
        <v>153</v>
      </c>
      <c r="W75" s="65">
        <v>71</v>
      </c>
      <c r="X75" s="52">
        <f t="shared" si="28"/>
        <v>0.25138888888889799</v>
      </c>
      <c r="Y75" s="58">
        <f t="shared" ref="Y75:Y84" si="32">Y74+$Z$75</f>
        <v>0.23750000000000901</v>
      </c>
      <c r="Z75" s="191">
        <v>4.8611111111111103E-3</v>
      </c>
      <c r="AB75" s="64" t="s">
        <v>153</v>
      </c>
      <c r="AC75" s="65">
        <v>71</v>
      </c>
      <c r="AD75" s="52">
        <f t="shared" si="29"/>
        <v>0.25138888888889799</v>
      </c>
      <c r="AE75" s="58">
        <f t="shared" ref="AE75:AE84" si="33">AE74+$AF$75</f>
        <v>0.23750000000000901</v>
      </c>
      <c r="AF75" s="191">
        <v>4.8611111111111103E-3</v>
      </c>
    </row>
    <row r="76" spans="1:32" ht="14.65" customHeight="1" x14ac:dyDescent="0.25">
      <c r="A76" s="4" t="s">
        <v>154</v>
      </c>
      <c r="B76" s="116">
        <f>H58</f>
        <v>1.38888888888889E-2</v>
      </c>
      <c r="C76" s="244"/>
      <c r="K76" s="4">
        <v>730</v>
      </c>
      <c r="L76" s="15">
        <f t="shared" si="30"/>
        <v>0.27430555555555503</v>
      </c>
      <c r="P76" s="99"/>
      <c r="Q76" s="65">
        <v>73</v>
      </c>
      <c r="R76" s="57">
        <f t="shared" si="27"/>
        <v>0.19618055555555799</v>
      </c>
      <c r="S76" s="58">
        <f t="shared" si="31"/>
        <v>0.16840277777778001</v>
      </c>
      <c r="T76" s="623"/>
      <c r="V76" s="64"/>
      <c r="W76" s="65">
        <v>72</v>
      </c>
      <c r="X76" s="52">
        <f t="shared" si="28"/>
        <v>0.25625000000000903</v>
      </c>
      <c r="Y76" s="58">
        <f t="shared" si="32"/>
        <v>0.24236111111111999</v>
      </c>
      <c r="Z76" s="192"/>
      <c r="AB76" s="64"/>
      <c r="AC76" s="65">
        <v>72</v>
      </c>
      <c r="AD76" s="52">
        <f t="shared" si="29"/>
        <v>0.25625000000000903</v>
      </c>
      <c r="AE76" s="58">
        <f t="shared" si="33"/>
        <v>0.24236111111111999</v>
      </c>
      <c r="AF76" s="192"/>
    </row>
    <row r="77" spans="1:32" ht="14.65" customHeight="1" x14ac:dyDescent="0.25">
      <c r="A77" s="5" t="s">
        <v>155</v>
      </c>
      <c r="B77" s="16" t="e">
        <f>(B74*B75)/E4</f>
        <v>#DIV/0!</v>
      </c>
      <c r="C77" s="380">
        <f>B79*24</f>
        <v>0</v>
      </c>
      <c r="K77" s="4">
        <v>740</v>
      </c>
      <c r="L77" s="15">
        <f t="shared" si="30"/>
        <v>0.27777777777777801</v>
      </c>
      <c r="P77" s="99"/>
      <c r="Q77" s="65">
        <v>74</v>
      </c>
      <c r="R77" s="57">
        <f t="shared" si="27"/>
        <v>0.19930555555555801</v>
      </c>
      <c r="S77" s="58">
        <f t="shared" si="31"/>
        <v>0.17152777777778</v>
      </c>
      <c r="T77" s="623"/>
      <c r="V77" s="64"/>
      <c r="W77" s="65">
        <v>73</v>
      </c>
      <c r="X77" s="52">
        <f t="shared" si="28"/>
        <v>0.26111111111112001</v>
      </c>
      <c r="Y77" s="58">
        <f t="shared" si="32"/>
        <v>0.247222222222231</v>
      </c>
      <c r="Z77" s="192"/>
      <c r="AB77" s="64"/>
      <c r="AC77" s="65">
        <v>73</v>
      </c>
      <c r="AD77" s="52">
        <f t="shared" si="29"/>
        <v>0.26111111111112001</v>
      </c>
      <c r="AE77" s="58">
        <f t="shared" si="33"/>
        <v>0.247222222222231</v>
      </c>
      <c r="AF77" s="192"/>
    </row>
    <row r="78" spans="1:32" ht="15" customHeight="1" thickBot="1" x14ac:dyDescent="0.3">
      <c r="A78" s="41" t="s">
        <v>156</v>
      </c>
      <c r="B78" s="326">
        <f>(B74*B75)+B76</f>
        <v>1.38888888888889E-2</v>
      </c>
      <c r="C78" s="381" t="s">
        <v>37</v>
      </c>
      <c r="K78" s="4">
        <v>750</v>
      </c>
      <c r="L78" s="15">
        <f t="shared" si="30"/>
        <v>0.28125</v>
      </c>
      <c r="P78" s="99"/>
      <c r="Q78" s="65">
        <v>75</v>
      </c>
      <c r="R78" s="57">
        <f t="shared" si="27"/>
        <v>0.202430555555558</v>
      </c>
      <c r="S78" s="58">
        <f t="shared" si="31"/>
        <v>0.17465277777777999</v>
      </c>
      <c r="T78" s="623"/>
      <c r="V78" s="64"/>
      <c r="W78" s="65">
        <v>74</v>
      </c>
      <c r="X78" s="52">
        <f t="shared" si="28"/>
        <v>0.26597222222223099</v>
      </c>
      <c r="Y78" s="58">
        <f t="shared" si="32"/>
        <v>0.25208333333334199</v>
      </c>
      <c r="Z78" s="192"/>
      <c r="AB78" s="64"/>
      <c r="AC78" s="65">
        <v>74</v>
      </c>
      <c r="AD78" s="52">
        <f t="shared" si="29"/>
        <v>0.26597222222223099</v>
      </c>
      <c r="AE78" s="58">
        <f t="shared" si="33"/>
        <v>0.25208333333334199</v>
      </c>
      <c r="AF78" s="192"/>
    </row>
    <row r="79" spans="1:32" ht="14.65" customHeight="1" x14ac:dyDescent="0.25">
      <c r="A79" s="331" t="s">
        <v>157</v>
      </c>
      <c r="B79" s="28">
        <f>IF(E14&gt;0,B78,0)</f>
        <v>0</v>
      </c>
      <c r="C79" s="382">
        <f>C77/7</f>
        <v>0</v>
      </c>
      <c r="K79" s="4">
        <v>760</v>
      </c>
      <c r="L79" s="15">
        <f t="shared" si="30"/>
        <v>0.28472222222222199</v>
      </c>
      <c r="P79" s="99"/>
      <c r="Q79" s="65">
        <v>76</v>
      </c>
      <c r="R79" s="57">
        <f t="shared" si="27"/>
        <v>0.20555555555555799</v>
      </c>
      <c r="S79" s="58">
        <f t="shared" si="31"/>
        <v>0.17777777777778001</v>
      </c>
      <c r="T79" s="623"/>
      <c r="V79" s="64"/>
      <c r="W79" s="65">
        <v>75</v>
      </c>
      <c r="X79" s="52">
        <f t="shared" si="28"/>
        <v>0.27083333333334197</v>
      </c>
      <c r="Y79" s="58">
        <f t="shared" si="32"/>
        <v>0.25694444444445302</v>
      </c>
      <c r="Z79" s="192"/>
      <c r="AB79" s="64"/>
      <c r="AC79" s="65">
        <v>75</v>
      </c>
      <c r="AD79" s="52">
        <f t="shared" si="29"/>
        <v>0.27083333333334197</v>
      </c>
      <c r="AE79" s="58">
        <f t="shared" si="33"/>
        <v>0.25694444444445302</v>
      </c>
      <c r="AF79" s="192"/>
    </row>
    <row r="80" spans="1:32" ht="15" customHeight="1" thickBot="1" x14ac:dyDescent="0.3">
      <c r="A80" s="30"/>
      <c r="B80" s="33"/>
      <c r="C80" s="242"/>
      <c r="K80" s="4">
        <v>770</v>
      </c>
      <c r="L80" s="15">
        <f t="shared" si="30"/>
        <v>0.28819444444444398</v>
      </c>
      <c r="P80" s="99"/>
      <c r="Q80" s="65">
        <v>77</v>
      </c>
      <c r="R80" s="57">
        <f t="shared" si="27"/>
        <v>0.20868055555555801</v>
      </c>
      <c r="S80" s="58">
        <f t="shared" si="31"/>
        <v>0.18090277777777999</v>
      </c>
      <c r="T80" s="623"/>
      <c r="V80" s="64"/>
      <c r="W80" s="65">
        <v>76</v>
      </c>
      <c r="X80" s="52">
        <f t="shared" si="28"/>
        <v>0.27569444444445301</v>
      </c>
      <c r="Y80" s="58">
        <f t="shared" si="32"/>
        <v>0.26180555555556401</v>
      </c>
      <c r="Z80" s="192"/>
      <c r="AB80" s="64"/>
      <c r="AC80" s="65">
        <v>76</v>
      </c>
      <c r="AD80" s="52">
        <f t="shared" si="29"/>
        <v>0.27569444444445301</v>
      </c>
      <c r="AE80" s="58">
        <f t="shared" si="33"/>
        <v>0.26180555555556401</v>
      </c>
      <c r="AF80" s="192"/>
    </row>
    <row r="81" spans="1:32" ht="14.65" customHeight="1" x14ac:dyDescent="0.25">
      <c r="A81" s="8" t="s">
        <v>12</v>
      </c>
      <c r="B81" s="20" t="e">
        <f>INDEX(L3:L415,MATCH(E5,K3:K415,1))</f>
        <v>#DIV/0!</v>
      </c>
      <c r="C81" s="244"/>
      <c r="K81" s="4">
        <v>780</v>
      </c>
      <c r="L81" s="15">
        <f t="shared" si="30"/>
        <v>0.29166666666666602</v>
      </c>
      <c r="P81" s="99"/>
      <c r="Q81" s="65">
        <v>78</v>
      </c>
      <c r="R81" s="57">
        <f t="shared" si="27"/>
        <v>0.21180555555555799</v>
      </c>
      <c r="S81" s="58">
        <f t="shared" si="31"/>
        <v>0.18402777777778001</v>
      </c>
      <c r="T81" s="623"/>
      <c r="V81" s="64"/>
      <c r="W81" s="65">
        <v>77</v>
      </c>
      <c r="X81" s="52">
        <f t="shared" si="28"/>
        <v>0.280555555555564</v>
      </c>
      <c r="Y81" s="58">
        <f t="shared" si="32"/>
        <v>0.26666666666667499</v>
      </c>
      <c r="Z81" s="192"/>
      <c r="AB81" s="64"/>
      <c r="AC81" s="65">
        <v>77</v>
      </c>
      <c r="AD81" s="52">
        <f t="shared" si="29"/>
        <v>0.280555555555564</v>
      </c>
      <c r="AE81" s="58">
        <f t="shared" si="33"/>
        <v>0.26666666666667499</v>
      </c>
      <c r="AF81" s="192"/>
    </row>
    <row r="82" spans="1:32" ht="14.65" customHeight="1" x14ac:dyDescent="0.25">
      <c r="A82" s="5" t="s">
        <v>158</v>
      </c>
      <c r="B82" s="16" t="e">
        <f>(B81)</f>
        <v>#DIV/0!</v>
      </c>
      <c r="C82" s="244"/>
      <c r="K82" s="4">
        <v>790</v>
      </c>
      <c r="L82" s="15">
        <f t="shared" si="30"/>
        <v>0.29513888888888901</v>
      </c>
      <c r="P82" s="99"/>
      <c r="Q82" s="65">
        <v>79</v>
      </c>
      <c r="R82" s="57">
        <f t="shared" si="27"/>
        <v>0.21493055555555801</v>
      </c>
      <c r="S82" s="58">
        <f t="shared" si="31"/>
        <v>0.18715277777778</v>
      </c>
      <c r="T82" s="623"/>
      <c r="V82" s="64"/>
      <c r="W82" s="65">
        <v>78</v>
      </c>
      <c r="X82" s="52">
        <f t="shared" si="28"/>
        <v>0.28541666666667498</v>
      </c>
      <c r="Y82" s="58">
        <f t="shared" si="32"/>
        <v>0.27152777777778597</v>
      </c>
      <c r="Z82" s="192"/>
      <c r="AB82" s="64"/>
      <c r="AC82" s="65">
        <v>78</v>
      </c>
      <c r="AD82" s="52">
        <f t="shared" si="29"/>
        <v>0.28541666666667498</v>
      </c>
      <c r="AE82" s="58">
        <f t="shared" si="33"/>
        <v>0.27152777777778597</v>
      </c>
      <c r="AF82" s="192"/>
    </row>
    <row r="83" spans="1:32" ht="14.65" customHeight="1" x14ac:dyDescent="0.25">
      <c r="A83" s="7" t="s">
        <v>126</v>
      </c>
      <c r="B83" s="6">
        <f>E7</f>
        <v>0</v>
      </c>
      <c r="C83" s="244"/>
      <c r="K83" s="4">
        <v>800</v>
      </c>
      <c r="L83" s="15">
        <f t="shared" si="30"/>
        <v>0.29861111111111099</v>
      </c>
      <c r="P83" s="99"/>
      <c r="Q83" s="65">
        <v>80</v>
      </c>
      <c r="R83" s="57">
        <f t="shared" si="27"/>
        <v>0.218055555555558</v>
      </c>
      <c r="S83" s="58">
        <f t="shared" si="31"/>
        <v>0.19027777777777999</v>
      </c>
      <c r="T83" s="624"/>
      <c r="V83" s="64"/>
      <c r="W83" s="65">
        <v>79</v>
      </c>
      <c r="X83" s="52">
        <f t="shared" si="28"/>
        <v>0.29027777777778602</v>
      </c>
      <c r="Y83" s="58">
        <f t="shared" si="32"/>
        <v>0.27638888888889701</v>
      </c>
      <c r="Z83" s="192"/>
      <c r="AB83" s="64"/>
      <c r="AC83" s="65">
        <v>79</v>
      </c>
      <c r="AD83" s="52">
        <f t="shared" si="29"/>
        <v>0.29027777777778602</v>
      </c>
      <c r="AE83" s="58">
        <f t="shared" si="33"/>
        <v>0.27638888888889701</v>
      </c>
      <c r="AF83" s="192"/>
    </row>
    <row r="84" spans="1:32" ht="14.65" customHeight="1" x14ac:dyDescent="0.25">
      <c r="A84" s="5" t="s">
        <v>159</v>
      </c>
      <c r="B84" s="16" t="e">
        <f>B82*B83</f>
        <v>#DIV/0!</v>
      </c>
      <c r="C84" s="244"/>
      <c r="K84" s="4">
        <v>810</v>
      </c>
      <c r="L84" s="15">
        <f t="shared" si="30"/>
        <v>0.30208333333333298</v>
      </c>
      <c r="P84" s="100" t="s">
        <v>160</v>
      </c>
      <c r="Q84" s="67">
        <v>81</v>
      </c>
      <c r="R84" s="80">
        <f t="shared" si="27"/>
        <v>0.22291666666666901</v>
      </c>
      <c r="S84" s="85">
        <f t="shared" ref="S84:S102" si="34">S83+$T$84</f>
        <v>0.195138888888891</v>
      </c>
      <c r="T84" s="630">
        <v>4.8611111111111103E-3</v>
      </c>
      <c r="V84" s="64"/>
      <c r="W84" s="65">
        <v>80</v>
      </c>
      <c r="X84" s="52">
        <f t="shared" si="28"/>
        <v>0.295138888888897</v>
      </c>
      <c r="Y84" s="58">
        <f t="shared" si="32"/>
        <v>0.28125000000000799</v>
      </c>
      <c r="Z84" s="193"/>
      <c r="AB84" s="64"/>
      <c r="AC84" s="65">
        <v>80</v>
      </c>
      <c r="AD84" s="52">
        <f t="shared" si="29"/>
        <v>0.295138888888897</v>
      </c>
      <c r="AE84" s="58">
        <f t="shared" si="33"/>
        <v>0.28125000000000799</v>
      </c>
      <c r="AF84" s="193"/>
    </row>
    <row r="85" spans="1:32" ht="14.65" customHeight="1" x14ac:dyDescent="0.25">
      <c r="A85" s="5" t="s">
        <v>161</v>
      </c>
      <c r="B85" s="16" t="e">
        <f>(B84)</f>
        <v>#DIV/0!</v>
      </c>
      <c r="C85" s="244"/>
      <c r="K85" s="4">
        <v>820</v>
      </c>
      <c r="L85" s="15">
        <f t="shared" si="30"/>
        <v>0.30555555555555503</v>
      </c>
      <c r="P85" s="100"/>
      <c r="Q85" s="67">
        <v>82</v>
      </c>
      <c r="R85" s="80">
        <f t="shared" si="27"/>
        <v>0.22777777777777999</v>
      </c>
      <c r="S85" s="85">
        <f t="shared" si="34"/>
        <v>0.20000000000000201</v>
      </c>
      <c r="T85" s="623"/>
      <c r="V85" s="66" t="s">
        <v>162</v>
      </c>
      <c r="W85" s="67">
        <v>81</v>
      </c>
      <c r="X85" s="52">
        <f t="shared" si="28"/>
        <v>0.30000000000000798</v>
      </c>
      <c r="Y85" s="85">
        <f t="shared" ref="Y85:Y103" si="35">Y84+$Z$85</f>
        <v>0.28611111111111898</v>
      </c>
      <c r="Z85" s="185">
        <v>4.8611111111111103E-3</v>
      </c>
      <c r="AB85" s="66" t="s">
        <v>162</v>
      </c>
      <c r="AC85" s="67">
        <v>81</v>
      </c>
      <c r="AD85" s="52">
        <f t="shared" si="29"/>
        <v>0.30000000000000798</v>
      </c>
      <c r="AE85" s="85">
        <f t="shared" ref="AE85:AE103" si="36">AE84+$AF$85</f>
        <v>0.28611111111111898</v>
      </c>
      <c r="AF85" s="185">
        <v>4.8611111111111103E-3</v>
      </c>
    </row>
    <row r="86" spans="1:32" ht="14.65" customHeight="1" x14ac:dyDescent="0.25">
      <c r="A86" s="23" t="s">
        <v>163</v>
      </c>
      <c r="B86" s="334" t="e">
        <f>(B85+B82)/E5</f>
        <v>#DIV/0!</v>
      </c>
      <c r="C86" s="380">
        <f>B88*24</f>
        <v>0</v>
      </c>
      <c r="K86" s="4">
        <v>830</v>
      </c>
      <c r="L86" s="15">
        <f t="shared" si="30"/>
        <v>0.30902777777777801</v>
      </c>
      <c r="P86" s="100"/>
      <c r="Q86" s="67">
        <v>83</v>
      </c>
      <c r="R86" s="80">
        <f t="shared" si="27"/>
        <v>0.232638888888891</v>
      </c>
      <c r="S86" s="85">
        <f t="shared" si="34"/>
        <v>0.20486111111111299</v>
      </c>
      <c r="T86" s="623"/>
      <c r="V86" s="66"/>
      <c r="W86" s="67">
        <v>82</v>
      </c>
      <c r="X86" s="52">
        <f t="shared" si="28"/>
        <v>0.30486111111111902</v>
      </c>
      <c r="Y86" s="85">
        <f t="shared" si="35"/>
        <v>0.29097222222223001</v>
      </c>
      <c r="Z86" s="186"/>
      <c r="AB86" s="66"/>
      <c r="AC86" s="67">
        <v>82</v>
      </c>
      <c r="AD86" s="52">
        <f t="shared" si="29"/>
        <v>0.30486111111111902</v>
      </c>
      <c r="AE86" s="85">
        <f t="shared" si="36"/>
        <v>0.29097222222223001</v>
      </c>
      <c r="AF86" s="186"/>
    </row>
    <row r="87" spans="1:32" ht="15" customHeight="1" thickBot="1" x14ac:dyDescent="0.3">
      <c r="A87" s="10" t="s">
        <v>164</v>
      </c>
      <c r="B87" s="325" t="e">
        <f>B82+B85</f>
        <v>#DIV/0!</v>
      </c>
      <c r="C87" s="381" t="s">
        <v>37</v>
      </c>
      <c r="K87" s="4">
        <v>840</v>
      </c>
      <c r="L87" s="15">
        <f t="shared" si="30"/>
        <v>0.3125</v>
      </c>
      <c r="P87" s="100"/>
      <c r="Q87" s="67">
        <v>84</v>
      </c>
      <c r="R87" s="80">
        <f t="shared" si="27"/>
        <v>0.23750000000000199</v>
      </c>
      <c r="S87" s="85">
        <f t="shared" si="34"/>
        <v>0.209722222222224</v>
      </c>
      <c r="T87" s="623"/>
      <c r="V87" s="66"/>
      <c r="W87" s="67">
        <v>83</v>
      </c>
      <c r="X87" s="52">
        <f t="shared" si="28"/>
        <v>0.30972222222223</v>
      </c>
      <c r="Y87" s="85">
        <f t="shared" si="35"/>
        <v>0.295833333333341</v>
      </c>
      <c r="Z87" s="186"/>
      <c r="AB87" s="66"/>
      <c r="AC87" s="67">
        <v>83</v>
      </c>
      <c r="AD87" s="52">
        <f t="shared" si="29"/>
        <v>0.30972222222223</v>
      </c>
      <c r="AE87" s="85">
        <f t="shared" si="36"/>
        <v>0.295833333333341</v>
      </c>
      <c r="AF87" s="186"/>
    </row>
    <row r="88" spans="1:32" ht="15" customHeight="1" thickBot="1" x14ac:dyDescent="0.3">
      <c r="A88" s="24" t="s">
        <v>165</v>
      </c>
      <c r="B88" s="17">
        <f>IF(E9&gt;0,B87,0)</f>
        <v>0</v>
      </c>
      <c r="C88" s="382">
        <f>C86/7</f>
        <v>0</v>
      </c>
      <c r="K88" s="4">
        <v>850</v>
      </c>
      <c r="L88" s="15">
        <f t="shared" si="30"/>
        <v>0.31597222222222199</v>
      </c>
      <c r="P88" s="100"/>
      <c r="Q88" s="67">
        <v>85</v>
      </c>
      <c r="R88" s="80">
        <f t="shared" si="27"/>
        <v>0.242361111111113</v>
      </c>
      <c r="S88" s="85">
        <f t="shared" si="34"/>
        <v>0.21458333333333501</v>
      </c>
      <c r="T88" s="623"/>
      <c r="V88" s="66"/>
      <c r="W88" s="67">
        <v>84</v>
      </c>
      <c r="X88" s="52">
        <f t="shared" si="28"/>
        <v>0.31458333333334099</v>
      </c>
      <c r="Y88" s="85">
        <f t="shared" si="35"/>
        <v>0.30069444444445198</v>
      </c>
      <c r="Z88" s="186"/>
      <c r="AB88" s="66"/>
      <c r="AC88" s="67">
        <v>84</v>
      </c>
      <c r="AD88" s="52">
        <f t="shared" si="29"/>
        <v>0.31458333333334099</v>
      </c>
      <c r="AE88" s="85">
        <f t="shared" si="36"/>
        <v>0.30069444444445198</v>
      </c>
      <c r="AF88" s="186"/>
    </row>
    <row r="89" spans="1:32" ht="14.65" customHeight="1" x14ac:dyDescent="0.25">
      <c r="A89" s="30"/>
      <c r="B89" s="33"/>
      <c r="C89" s="380">
        <f>B91*24</f>
        <v>0.33</v>
      </c>
      <c r="H89" s="42"/>
      <c r="K89" s="4">
        <v>860</v>
      </c>
      <c r="L89" s="15">
        <f t="shared" si="30"/>
        <v>0.31944444444444398</v>
      </c>
      <c r="P89" s="100"/>
      <c r="Q89" s="67">
        <v>86</v>
      </c>
      <c r="R89" s="80">
        <f t="shared" si="27"/>
        <v>0.24722222222222401</v>
      </c>
      <c r="S89" s="85">
        <f t="shared" si="34"/>
        <v>0.219444444444446</v>
      </c>
      <c r="T89" s="623"/>
      <c r="V89" s="66"/>
      <c r="W89" s="67">
        <v>85</v>
      </c>
      <c r="X89" s="52">
        <f t="shared" si="28"/>
        <v>0.31944444444445202</v>
      </c>
      <c r="Y89" s="85">
        <f t="shared" si="35"/>
        <v>0.30555555555556302</v>
      </c>
      <c r="Z89" s="186"/>
      <c r="AB89" s="66"/>
      <c r="AC89" s="67">
        <v>85</v>
      </c>
      <c r="AD89" s="52">
        <f t="shared" si="29"/>
        <v>0.31944444444445202</v>
      </c>
      <c r="AE89" s="85">
        <f t="shared" si="36"/>
        <v>0.30555555555556302</v>
      </c>
      <c r="AF89" s="186"/>
    </row>
    <row r="90" spans="1:32" ht="14.65" customHeight="1" x14ac:dyDescent="0.25">
      <c r="A90" s="330" t="s">
        <v>166</v>
      </c>
      <c r="B90" s="335" t="e">
        <f>B91/E5</f>
        <v>#DIV/0!</v>
      </c>
      <c r="C90" s="381" t="s">
        <v>37</v>
      </c>
      <c r="H90" s="43"/>
      <c r="K90" s="4">
        <v>870</v>
      </c>
      <c r="L90" s="15">
        <f t="shared" si="30"/>
        <v>0.32291666666666602</v>
      </c>
      <c r="P90" s="100"/>
      <c r="Q90" s="67">
        <v>87</v>
      </c>
      <c r="R90" s="80">
        <f t="shared" si="27"/>
        <v>0.25208333333333499</v>
      </c>
      <c r="S90" s="85">
        <f t="shared" si="34"/>
        <v>0.22430555555555701</v>
      </c>
      <c r="T90" s="623"/>
      <c r="V90" s="66"/>
      <c r="W90" s="67">
        <v>86</v>
      </c>
      <c r="X90" s="52">
        <f t="shared" si="28"/>
        <v>0.32430555555556301</v>
      </c>
      <c r="Y90" s="85">
        <f t="shared" si="35"/>
        <v>0.310416666666674</v>
      </c>
      <c r="Z90" s="186"/>
      <c r="AB90" s="66"/>
      <c r="AC90" s="67">
        <v>86</v>
      </c>
      <c r="AD90" s="52">
        <f t="shared" si="29"/>
        <v>0.32430555555556301</v>
      </c>
      <c r="AE90" s="85">
        <f t="shared" si="36"/>
        <v>0.310416666666674</v>
      </c>
      <c r="AF90" s="186"/>
    </row>
    <row r="91" spans="1:32" ht="15" customHeight="1" thickBot="1" x14ac:dyDescent="0.3">
      <c r="A91" s="314" t="s">
        <v>167</v>
      </c>
      <c r="B91" s="336">
        <f>B42+B57+B72+B78+B88</f>
        <v>1.38888888888889E-2</v>
      </c>
      <c r="C91" s="382">
        <f>C89/7</f>
        <v>0.05</v>
      </c>
      <c r="K91" s="4">
        <v>880</v>
      </c>
      <c r="L91" s="15">
        <f t="shared" si="30"/>
        <v>0.32638888888888901</v>
      </c>
      <c r="P91" s="100"/>
      <c r="Q91" s="67">
        <v>88</v>
      </c>
      <c r="R91" s="80">
        <f t="shared" si="27"/>
        <v>0.25694444444444597</v>
      </c>
      <c r="S91" s="85">
        <f t="shared" si="34"/>
        <v>0.22916666666666799</v>
      </c>
      <c r="T91" s="623"/>
      <c r="V91" s="66"/>
      <c r="W91" s="67">
        <v>87</v>
      </c>
      <c r="X91" s="52">
        <f t="shared" si="28"/>
        <v>0.32916666666667399</v>
      </c>
      <c r="Y91" s="85">
        <f t="shared" si="35"/>
        <v>0.31527777777778498</v>
      </c>
      <c r="Z91" s="186"/>
      <c r="AB91" s="66"/>
      <c r="AC91" s="67">
        <v>87</v>
      </c>
      <c r="AD91" s="52">
        <f t="shared" si="29"/>
        <v>0.32916666666667399</v>
      </c>
      <c r="AE91" s="85">
        <f t="shared" si="36"/>
        <v>0.31527777777778498</v>
      </c>
      <c r="AF91" s="186"/>
    </row>
    <row r="92" spans="1:32" ht="15" customHeight="1" thickBot="1" x14ac:dyDescent="0.3">
      <c r="A92" s="30"/>
      <c r="B92" s="30"/>
      <c r="C92" s="388"/>
      <c r="H92" s="45"/>
      <c r="K92" s="4">
        <v>890</v>
      </c>
      <c r="L92" s="15">
        <f t="shared" si="30"/>
        <v>0.32986111111111099</v>
      </c>
      <c r="P92" s="100"/>
      <c r="Q92" s="67">
        <v>89</v>
      </c>
      <c r="R92" s="80">
        <f t="shared" si="27"/>
        <v>0.26180555555555701</v>
      </c>
      <c r="S92" s="85">
        <f t="shared" si="34"/>
        <v>0.234027777777779</v>
      </c>
      <c r="T92" s="623"/>
      <c r="V92" s="66"/>
      <c r="W92" s="67">
        <v>88</v>
      </c>
      <c r="X92" s="52">
        <f t="shared" si="28"/>
        <v>0.33402777777778497</v>
      </c>
      <c r="Y92" s="85">
        <f t="shared" si="35"/>
        <v>0.32013888888889602</v>
      </c>
      <c r="Z92" s="186"/>
      <c r="AB92" s="66"/>
      <c r="AC92" s="67">
        <v>88</v>
      </c>
      <c r="AD92" s="52">
        <f t="shared" si="29"/>
        <v>0.33402777777778497</v>
      </c>
      <c r="AE92" s="85">
        <f t="shared" si="36"/>
        <v>0.32013888888889602</v>
      </c>
      <c r="AF92" s="186"/>
    </row>
    <row r="93" spans="1:32" ht="14.65" customHeight="1" x14ac:dyDescent="0.25">
      <c r="A93" s="362" t="s">
        <v>168</v>
      </c>
      <c r="B93" s="12">
        <f>H46</f>
        <v>0</v>
      </c>
      <c r="C93" s="389"/>
      <c r="K93" s="4">
        <v>1410</v>
      </c>
      <c r="L93" s="15">
        <f t="shared" si="30"/>
        <v>0.51041666666666596</v>
      </c>
      <c r="P93" s="100"/>
      <c r="Q93" s="67">
        <v>90</v>
      </c>
      <c r="R93" s="80">
        <f t="shared" si="27"/>
        <v>0.266666666666668</v>
      </c>
      <c r="S93" s="85">
        <f t="shared" si="34"/>
        <v>0.23888888888889001</v>
      </c>
      <c r="T93" s="623"/>
      <c r="V93" s="66"/>
      <c r="W93" s="67">
        <v>89</v>
      </c>
      <c r="X93" s="52">
        <f t="shared" si="28"/>
        <v>0.33888888888889601</v>
      </c>
      <c r="Y93" s="85">
        <f t="shared" si="35"/>
        <v>0.32500000000000701</v>
      </c>
      <c r="Z93" s="186"/>
      <c r="AB93" s="66"/>
      <c r="AC93" s="67">
        <v>89</v>
      </c>
      <c r="AD93" s="52">
        <f t="shared" si="29"/>
        <v>0.33888888888889601</v>
      </c>
      <c r="AE93" s="85">
        <f t="shared" si="36"/>
        <v>0.32500000000000701</v>
      </c>
      <c r="AF93" s="186"/>
    </row>
    <row r="94" spans="1:32" ht="14.65" customHeight="1" x14ac:dyDescent="0.25">
      <c r="A94" s="4" t="s">
        <v>120</v>
      </c>
      <c r="B94" s="38">
        <f>H48</f>
        <v>8.1018518518518503E-5</v>
      </c>
      <c r="C94" s="244"/>
      <c r="K94" s="4">
        <v>1420</v>
      </c>
      <c r="L94" s="15">
        <f t="shared" si="30"/>
        <v>0.51388888888888895</v>
      </c>
      <c r="P94" s="100"/>
      <c r="Q94" s="67">
        <v>91</v>
      </c>
      <c r="R94" s="80">
        <f t="shared" si="27"/>
        <v>0.27152777777777898</v>
      </c>
      <c r="S94" s="85">
        <f t="shared" si="34"/>
        <v>0.24375000000000099</v>
      </c>
      <c r="T94" s="623"/>
      <c r="V94" s="66"/>
      <c r="W94" s="67">
        <v>90</v>
      </c>
      <c r="X94" s="52">
        <f t="shared" si="28"/>
        <v>0.34375000000000699</v>
      </c>
      <c r="Y94" s="85">
        <f t="shared" si="35"/>
        <v>0.32986111111111799</v>
      </c>
      <c r="Z94" s="186"/>
      <c r="AB94" s="66"/>
      <c r="AC94" s="67">
        <v>90</v>
      </c>
      <c r="AD94" s="52">
        <f t="shared" si="29"/>
        <v>0.34375000000000699</v>
      </c>
      <c r="AE94" s="85">
        <f t="shared" si="36"/>
        <v>0.32986111111111799</v>
      </c>
      <c r="AF94" s="186"/>
    </row>
    <row r="95" spans="1:32" ht="14.65" customHeight="1" x14ac:dyDescent="0.25">
      <c r="A95" s="4" t="s">
        <v>169</v>
      </c>
      <c r="B95" s="15">
        <f>B93*B94</f>
        <v>0</v>
      </c>
      <c r="C95" s="244"/>
      <c r="D95" s="242"/>
      <c r="E95" s="242"/>
      <c r="F95" s="242"/>
      <c r="K95" s="4">
        <v>1430</v>
      </c>
      <c r="L95" s="15">
        <f t="shared" si="30"/>
        <v>0.51736111111111105</v>
      </c>
      <c r="P95" s="100"/>
      <c r="Q95" s="67">
        <v>92</v>
      </c>
      <c r="R95" s="80">
        <f t="shared" si="27"/>
        <v>0.27638888888889002</v>
      </c>
      <c r="S95" s="85">
        <f t="shared" si="34"/>
        <v>0.248611111111112</v>
      </c>
      <c r="T95" s="623"/>
      <c r="V95" s="66"/>
      <c r="W95" s="67">
        <v>91</v>
      </c>
      <c r="X95" s="52">
        <f t="shared" si="28"/>
        <v>0.34861111111111798</v>
      </c>
      <c r="Y95" s="85">
        <f t="shared" si="35"/>
        <v>0.33472222222222903</v>
      </c>
      <c r="Z95" s="186"/>
      <c r="AB95" s="66"/>
      <c r="AC95" s="67">
        <v>91</v>
      </c>
      <c r="AD95" s="52">
        <f t="shared" si="29"/>
        <v>0.34861111111111798</v>
      </c>
      <c r="AE95" s="85">
        <f t="shared" si="36"/>
        <v>0.33472222222222903</v>
      </c>
      <c r="AF95" s="186"/>
    </row>
    <row r="96" spans="1:32" ht="14.65" customHeight="1" x14ac:dyDescent="0.25">
      <c r="A96" s="4" t="s">
        <v>170</v>
      </c>
      <c r="B96" s="38">
        <f>H58</f>
        <v>1.38888888888889E-2</v>
      </c>
      <c r="C96" s="244"/>
      <c r="E96" s="47"/>
      <c r="F96" s="245"/>
      <c r="K96" s="4">
        <v>1440</v>
      </c>
      <c r="L96" s="15">
        <f t="shared" si="30"/>
        <v>0.52083333333333304</v>
      </c>
      <c r="P96" s="100"/>
      <c r="Q96" s="67">
        <v>93</v>
      </c>
      <c r="R96" s="80">
        <f t="shared" si="27"/>
        <v>0.281250000000001</v>
      </c>
      <c r="S96" s="85">
        <f t="shared" si="34"/>
        <v>0.25347222222222299</v>
      </c>
      <c r="T96" s="623"/>
      <c r="V96" s="66"/>
      <c r="W96" s="67">
        <v>92</v>
      </c>
      <c r="X96" s="52">
        <f t="shared" si="28"/>
        <v>0.35347222222222902</v>
      </c>
      <c r="Y96" s="85">
        <f t="shared" si="35"/>
        <v>0.33958333333334001</v>
      </c>
      <c r="Z96" s="186"/>
      <c r="AB96" s="66"/>
      <c r="AC96" s="67">
        <v>92</v>
      </c>
      <c r="AD96" s="52">
        <f t="shared" si="29"/>
        <v>0.35347222222222902</v>
      </c>
      <c r="AE96" s="85">
        <f t="shared" si="36"/>
        <v>0.33958333333334001</v>
      </c>
      <c r="AF96" s="186"/>
    </row>
    <row r="97" spans="1:32" ht="14.65" customHeight="1" x14ac:dyDescent="0.25">
      <c r="A97" s="4" t="s">
        <v>171</v>
      </c>
      <c r="B97" s="4">
        <f>H45</f>
        <v>0</v>
      </c>
      <c r="C97" s="244"/>
      <c r="F97" s="18"/>
      <c r="K97" s="4">
        <v>1450</v>
      </c>
      <c r="L97" s="15">
        <f t="shared" si="30"/>
        <v>0.52430555555555503</v>
      </c>
      <c r="P97" s="100"/>
      <c r="Q97" s="67">
        <v>94</v>
      </c>
      <c r="R97" s="80">
        <f t="shared" si="27"/>
        <v>0.28611111111111198</v>
      </c>
      <c r="S97" s="85">
        <f t="shared" si="34"/>
        <v>0.25833333333333403</v>
      </c>
      <c r="T97" s="623"/>
      <c r="V97" s="66"/>
      <c r="W97" s="67">
        <v>93</v>
      </c>
      <c r="X97" s="52">
        <f t="shared" si="28"/>
        <v>0.35833333333334</v>
      </c>
      <c r="Y97" s="85">
        <f t="shared" si="35"/>
        <v>0.34444444444445099</v>
      </c>
      <c r="Z97" s="186"/>
      <c r="AB97" s="66"/>
      <c r="AC97" s="67">
        <v>93</v>
      </c>
      <c r="AD97" s="52">
        <f t="shared" si="29"/>
        <v>0.35833333333334</v>
      </c>
      <c r="AE97" s="85">
        <f t="shared" si="36"/>
        <v>0.34444444444445099</v>
      </c>
      <c r="AF97" s="186"/>
    </row>
    <row r="98" spans="1:32" ht="14.65" customHeight="1" x14ac:dyDescent="0.25">
      <c r="A98" s="4" t="s">
        <v>172</v>
      </c>
      <c r="B98" s="116">
        <f>H47*E15</f>
        <v>0</v>
      </c>
      <c r="C98" s="244"/>
      <c r="F98" s="18"/>
      <c r="K98" s="4">
        <v>1460</v>
      </c>
      <c r="L98" s="15">
        <f t="shared" si="30"/>
        <v>0.52777777777777701</v>
      </c>
      <c r="P98" s="100"/>
      <c r="Q98" s="67">
        <v>95</v>
      </c>
      <c r="R98" s="80">
        <f t="shared" si="27"/>
        <v>0.29097222222222302</v>
      </c>
      <c r="S98" s="85">
        <f t="shared" si="34"/>
        <v>0.26319444444444501</v>
      </c>
      <c r="T98" s="623"/>
      <c r="V98" s="66"/>
      <c r="W98" s="67">
        <v>94</v>
      </c>
      <c r="X98" s="52">
        <f t="shared" si="28"/>
        <v>0.36319444444445098</v>
      </c>
      <c r="Y98" s="85">
        <f t="shared" si="35"/>
        <v>0.34930555555556198</v>
      </c>
      <c r="Z98" s="186"/>
      <c r="AB98" s="66"/>
      <c r="AC98" s="67">
        <v>94</v>
      </c>
      <c r="AD98" s="52">
        <f t="shared" si="29"/>
        <v>0.36319444444445098</v>
      </c>
      <c r="AE98" s="85">
        <f t="shared" si="36"/>
        <v>0.34930555555556198</v>
      </c>
      <c r="AF98" s="186"/>
    </row>
    <row r="99" spans="1:32" ht="14.65" customHeight="1" x14ac:dyDescent="0.25">
      <c r="A99" s="4" t="s">
        <v>173</v>
      </c>
      <c r="B99" s="15">
        <f>(H47*E15)*E4</f>
        <v>0</v>
      </c>
      <c r="C99" s="244"/>
      <c r="F99" s="18"/>
      <c r="K99" s="4">
        <v>1470</v>
      </c>
      <c r="L99" s="15">
        <f t="shared" si="30"/>
        <v>0.53125</v>
      </c>
      <c r="P99" s="100"/>
      <c r="Q99" s="67">
        <v>96</v>
      </c>
      <c r="R99" s="80">
        <f t="shared" si="27"/>
        <v>0.295833333333334</v>
      </c>
      <c r="S99" s="85">
        <f t="shared" si="34"/>
        <v>0.26805555555555599</v>
      </c>
      <c r="T99" s="623"/>
      <c r="V99" s="66"/>
      <c r="W99" s="67">
        <v>95</v>
      </c>
      <c r="X99" s="52">
        <f t="shared" si="28"/>
        <v>0.36805555555556202</v>
      </c>
      <c r="Y99" s="85">
        <f t="shared" si="35"/>
        <v>0.35416666666667301</v>
      </c>
      <c r="Z99" s="186"/>
      <c r="AB99" s="66"/>
      <c r="AC99" s="67">
        <v>95</v>
      </c>
      <c r="AD99" s="52">
        <f t="shared" si="29"/>
        <v>0.36805555555556202</v>
      </c>
      <c r="AE99" s="85">
        <f t="shared" si="36"/>
        <v>0.35416666666667301</v>
      </c>
      <c r="AF99" s="186"/>
    </row>
    <row r="100" spans="1:32" ht="14.65" customHeight="1" x14ac:dyDescent="0.25">
      <c r="A100" s="4"/>
      <c r="B100" s="4"/>
      <c r="C100" s="244"/>
      <c r="F100" s="18"/>
      <c r="K100" s="4">
        <v>1480</v>
      </c>
      <c r="L100" s="15">
        <f t="shared" si="30"/>
        <v>0.53472222222222199</v>
      </c>
      <c r="P100" s="100"/>
      <c r="Q100" s="67">
        <v>97</v>
      </c>
      <c r="R100" s="80">
        <f t="shared" si="27"/>
        <v>0.30069444444444499</v>
      </c>
      <c r="S100" s="85">
        <f t="shared" si="34"/>
        <v>0.27291666666666697</v>
      </c>
      <c r="T100" s="623"/>
      <c r="V100" s="66"/>
      <c r="W100" s="67">
        <v>96</v>
      </c>
      <c r="X100" s="52">
        <f t="shared" si="28"/>
        <v>0.372916666666673</v>
      </c>
      <c r="Y100" s="85">
        <f t="shared" si="35"/>
        <v>0.359027777777784</v>
      </c>
      <c r="Z100" s="186"/>
      <c r="AB100" s="66"/>
      <c r="AC100" s="67">
        <v>96</v>
      </c>
      <c r="AD100" s="52">
        <f t="shared" si="29"/>
        <v>0.372916666666673</v>
      </c>
      <c r="AE100" s="85">
        <f t="shared" si="36"/>
        <v>0.359027777777784</v>
      </c>
      <c r="AF100" s="186"/>
    </row>
    <row r="101" spans="1:32" ht="14.65" customHeight="1" x14ac:dyDescent="0.25">
      <c r="A101" s="4" t="s">
        <v>174</v>
      </c>
      <c r="B101" s="37" t="e">
        <f>B103/E4</f>
        <v>#DIV/0!</v>
      </c>
      <c r="C101" s="244"/>
      <c r="F101" s="18"/>
      <c r="K101" s="4">
        <v>1490</v>
      </c>
      <c r="L101" s="15">
        <f t="shared" si="30"/>
        <v>0.53819444444444398</v>
      </c>
      <c r="P101" s="100"/>
      <c r="Q101" s="67">
        <v>98</v>
      </c>
      <c r="R101" s="80">
        <f t="shared" ref="R101:R132" si="37">$R$4+S101</f>
        <v>0.30555555555555602</v>
      </c>
      <c r="S101" s="85">
        <f t="shared" si="34"/>
        <v>0.27777777777777801</v>
      </c>
      <c r="T101" s="623"/>
      <c r="V101" s="66"/>
      <c r="W101" s="67">
        <v>97</v>
      </c>
      <c r="X101" s="52">
        <f t="shared" si="28"/>
        <v>0.37777777777778399</v>
      </c>
      <c r="Y101" s="85">
        <f t="shared" si="35"/>
        <v>0.36388888888889498</v>
      </c>
      <c r="Z101" s="186"/>
      <c r="AB101" s="66"/>
      <c r="AC101" s="67">
        <v>97</v>
      </c>
      <c r="AD101" s="52">
        <f t="shared" si="29"/>
        <v>0.37777777777778399</v>
      </c>
      <c r="AE101" s="85">
        <f t="shared" si="36"/>
        <v>0.36388888888889498</v>
      </c>
      <c r="AF101" s="186"/>
    </row>
    <row r="102" spans="1:32" ht="15" customHeight="1" thickBot="1" x14ac:dyDescent="0.3">
      <c r="A102" s="4" t="s">
        <v>175</v>
      </c>
      <c r="B102" s="35" t="e">
        <f>B103/E5</f>
        <v>#DIV/0!</v>
      </c>
      <c r="C102" s="380">
        <f>B104*24</f>
        <v>0</v>
      </c>
      <c r="F102" s="246"/>
      <c r="K102" s="4">
        <v>1500</v>
      </c>
      <c r="L102" s="15">
        <f t="shared" si="30"/>
        <v>0.54166666666666596</v>
      </c>
      <c r="P102" s="100"/>
      <c r="Q102" s="67">
        <v>99</v>
      </c>
      <c r="R102" s="80">
        <f t="shared" si="37"/>
        <v>0.31041666666666701</v>
      </c>
      <c r="S102" s="85">
        <f t="shared" si="34"/>
        <v>0.28263888888888899</v>
      </c>
      <c r="T102" s="623"/>
      <c r="V102" s="66"/>
      <c r="W102" s="67">
        <v>98</v>
      </c>
      <c r="X102" s="52">
        <f t="shared" ref="X102:X133" si="38">$X$5+Y102</f>
        <v>0.38263888888889502</v>
      </c>
      <c r="Y102" s="85">
        <f t="shared" si="35"/>
        <v>0.36875000000000602</v>
      </c>
      <c r="Z102" s="186"/>
      <c r="AB102" s="66"/>
      <c r="AC102" s="67">
        <v>98</v>
      </c>
      <c r="AD102" s="52">
        <f t="shared" ref="AD102:AD133" si="39">$AD$5+AE102</f>
        <v>0.38263888888889502</v>
      </c>
      <c r="AE102" s="85">
        <f t="shared" si="36"/>
        <v>0.36875000000000602</v>
      </c>
      <c r="AF102" s="186"/>
    </row>
    <row r="103" spans="1:32" ht="15.75" thickBot="1" x14ac:dyDescent="0.3">
      <c r="A103" s="4" t="s">
        <v>176</v>
      </c>
      <c r="B103" s="328">
        <f>(B93*B94)+B96+B99</f>
        <v>1.38888888888889E-2</v>
      </c>
      <c r="C103" s="381" t="s">
        <v>37</v>
      </c>
      <c r="F103" s="18"/>
      <c r="K103" s="4">
        <v>1510</v>
      </c>
      <c r="L103" s="15">
        <f t="shared" si="30"/>
        <v>0.54513888888888895</v>
      </c>
      <c r="P103" s="91" t="s">
        <v>177</v>
      </c>
      <c r="Q103" s="69">
        <v>100</v>
      </c>
      <c r="R103" s="70">
        <f t="shared" si="37"/>
        <v>0.31736111111111098</v>
      </c>
      <c r="S103" s="392">
        <f>S102+$T$103</f>
        <v>0.28958333333333303</v>
      </c>
      <c r="T103" s="639">
        <v>6.9444444444444397E-3</v>
      </c>
      <c r="V103" s="66"/>
      <c r="W103" s="67">
        <v>99</v>
      </c>
      <c r="X103" s="52">
        <f t="shared" si="38"/>
        <v>0.38750000000000601</v>
      </c>
      <c r="Y103" s="85">
        <f t="shared" si="35"/>
        <v>0.373611111111117</v>
      </c>
      <c r="Z103" s="186"/>
      <c r="AB103" s="66"/>
      <c r="AC103" s="67">
        <v>99</v>
      </c>
      <c r="AD103" s="52">
        <f t="shared" si="39"/>
        <v>0.38750000000000601</v>
      </c>
      <c r="AE103" s="85">
        <f t="shared" si="36"/>
        <v>0.373611111111117</v>
      </c>
      <c r="AF103" s="186"/>
    </row>
    <row r="104" spans="1:32" ht="14.65" customHeight="1" x14ac:dyDescent="0.25">
      <c r="A104" s="329" t="s">
        <v>178</v>
      </c>
      <c r="B104" s="28">
        <f>IF(E15&gt;0,B103,0)</f>
        <v>0</v>
      </c>
      <c r="C104" s="382">
        <f>C102/7</f>
        <v>0</v>
      </c>
      <c r="F104" s="18"/>
      <c r="K104" s="4">
        <v>1520</v>
      </c>
      <c r="L104" s="15">
        <f t="shared" si="30"/>
        <v>0.54861111111111105</v>
      </c>
      <c r="P104" s="91"/>
      <c r="Q104" s="69">
        <v>101</v>
      </c>
      <c r="R104" s="70">
        <f t="shared" si="37"/>
        <v>0.32430555555555501</v>
      </c>
      <c r="S104" s="392">
        <f>S103+$T$103</f>
        <v>0.296527777777777</v>
      </c>
      <c r="T104" s="640"/>
      <c r="V104" s="68" t="s">
        <v>179</v>
      </c>
      <c r="W104" s="69">
        <v>100</v>
      </c>
      <c r="X104" s="52">
        <f t="shared" si="38"/>
        <v>0.39444444444444998</v>
      </c>
      <c r="Y104" s="71">
        <f t="shared" ref="Y104:Y135" si="40">Y103+$Z$104</f>
        <v>0.38055555555556098</v>
      </c>
      <c r="Z104" s="187">
        <v>6.9444444444444397E-3</v>
      </c>
      <c r="AB104" s="68" t="s">
        <v>179</v>
      </c>
      <c r="AC104" s="69">
        <v>100</v>
      </c>
      <c r="AD104" s="52">
        <f t="shared" si="39"/>
        <v>0.39444444444444998</v>
      </c>
      <c r="AE104" s="71">
        <f t="shared" ref="AE104:AE135" si="41">AE103+$AF$104</f>
        <v>0.38055555555556098</v>
      </c>
      <c r="AF104" s="187">
        <v>6.9444444444444397E-3</v>
      </c>
    </row>
    <row r="105" spans="1:32" ht="15" customHeight="1" thickBot="1" x14ac:dyDescent="0.3">
      <c r="A105" s="30"/>
      <c r="B105" s="30"/>
      <c r="C105" s="244"/>
      <c r="F105" s="18"/>
      <c r="K105" s="4">
        <v>1530</v>
      </c>
      <c r="L105" s="15">
        <f t="shared" ref="L105:L136" si="42">$L$6+(((K105-$K$6)/10)*$M$2)</f>
        <v>0.55208333333333304</v>
      </c>
      <c r="P105" s="91"/>
      <c r="Q105" s="69">
        <v>102</v>
      </c>
      <c r="R105" s="70">
        <f t="shared" si="37"/>
        <v>0.327430555555555</v>
      </c>
      <c r="S105" s="392">
        <f t="shared" ref="S105:S136" si="43">S104+$T$64</f>
        <v>0.29965277777777699</v>
      </c>
      <c r="T105" s="640"/>
      <c r="V105" s="68"/>
      <c r="W105" s="69">
        <v>101</v>
      </c>
      <c r="X105" s="52">
        <f t="shared" si="38"/>
        <v>0.40138888888889401</v>
      </c>
      <c r="Y105" s="71">
        <f t="shared" si="40"/>
        <v>0.38750000000000501</v>
      </c>
      <c r="Z105" s="187"/>
      <c r="AB105" s="68"/>
      <c r="AC105" s="69">
        <v>101</v>
      </c>
      <c r="AD105" s="52">
        <f t="shared" si="39"/>
        <v>0.40138888888889401</v>
      </c>
      <c r="AE105" s="71">
        <f t="shared" si="41"/>
        <v>0.38750000000000501</v>
      </c>
      <c r="AF105" s="187"/>
    </row>
    <row r="106" spans="1:32" ht="14.65" customHeight="1" x14ac:dyDescent="0.25">
      <c r="A106" s="8" t="s">
        <v>135</v>
      </c>
      <c r="B106" s="36">
        <f>H55</f>
        <v>6.9444444444444404E-4</v>
      </c>
      <c r="C106" s="244"/>
      <c r="F106" s="43"/>
      <c r="K106" s="4">
        <v>1540</v>
      </c>
      <c r="L106" s="15">
        <f t="shared" si="42"/>
        <v>0.55555555555555503</v>
      </c>
      <c r="P106" s="91"/>
      <c r="Q106" s="69">
        <v>103</v>
      </c>
      <c r="R106" s="70">
        <f t="shared" si="37"/>
        <v>0.33055555555555499</v>
      </c>
      <c r="S106" s="392">
        <f t="shared" si="43"/>
        <v>0.30277777777777698</v>
      </c>
      <c r="T106" s="640"/>
      <c r="V106" s="68"/>
      <c r="W106" s="69">
        <v>102</v>
      </c>
      <c r="X106" s="52">
        <f t="shared" si="38"/>
        <v>0.40833333333333799</v>
      </c>
      <c r="Y106" s="71">
        <f t="shared" si="40"/>
        <v>0.39444444444444898</v>
      </c>
      <c r="Z106" s="187"/>
      <c r="AB106" s="68"/>
      <c r="AC106" s="69">
        <v>102</v>
      </c>
      <c r="AD106" s="52">
        <f t="shared" si="39"/>
        <v>0.40833333333333799</v>
      </c>
      <c r="AE106" s="71">
        <f t="shared" si="41"/>
        <v>0.39444444444444898</v>
      </c>
      <c r="AF106" s="187"/>
    </row>
    <row r="107" spans="1:32" ht="15" customHeight="1" thickBot="1" x14ac:dyDescent="0.3">
      <c r="A107" s="41" t="s">
        <v>180</v>
      </c>
      <c r="B107" s="19">
        <f>B106*E4</f>
        <v>0</v>
      </c>
      <c r="C107" s="244"/>
      <c r="K107" s="4">
        <v>1550</v>
      </c>
      <c r="L107" s="15">
        <f t="shared" si="42"/>
        <v>0.55902777777777701</v>
      </c>
      <c r="P107" s="91"/>
      <c r="Q107" s="69">
        <v>104</v>
      </c>
      <c r="R107" s="70">
        <f t="shared" si="37"/>
        <v>0.33368055555555498</v>
      </c>
      <c r="S107" s="392">
        <f t="shared" si="43"/>
        <v>0.30590277777777702</v>
      </c>
      <c r="T107" s="640"/>
      <c r="V107" s="68"/>
      <c r="W107" s="69">
        <v>103</v>
      </c>
      <c r="X107" s="52">
        <f t="shared" si="38"/>
        <v>0.41527777777778202</v>
      </c>
      <c r="Y107" s="71">
        <f t="shared" si="40"/>
        <v>0.40138888888889301</v>
      </c>
      <c r="Z107" s="187"/>
      <c r="AB107" s="68"/>
      <c r="AC107" s="69">
        <v>103</v>
      </c>
      <c r="AD107" s="52">
        <f t="shared" si="39"/>
        <v>0.41527777777778202</v>
      </c>
      <c r="AE107" s="71">
        <f t="shared" si="41"/>
        <v>0.40138888888889301</v>
      </c>
      <c r="AF107" s="187"/>
    </row>
    <row r="108" spans="1:32" ht="14.65" customHeight="1" x14ac:dyDescent="0.25">
      <c r="A108" t="s">
        <v>137</v>
      </c>
      <c r="B108" s="262">
        <f>H56</f>
        <v>0</v>
      </c>
      <c r="C108" s="244"/>
      <c r="D108" s="244"/>
      <c r="E108" s="244"/>
      <c r="F108" s="43"/>
      <c r="K108" s="4">
        <v>1560</v>
      </c>
      <c r="L108" s="15">
        <f t="shared" si="42"/>
        <v>0.5625</v>
      </c>
      <c r="P108" s="91"/>
      <c r="Q108" s="69">
        <v>105</v>
      </c>
      <c r="R108" s="70">
        <f t="shared" si="37"/>
        <v>0.33680555555555503</v>
      </c>
      <c r="S108" s="392">
        <f t="shared" si="43"/>
        <v>0.30902777777777701</v>
      </c>
      <c r="T108" s="640"/>
      <c r="V108" s="68"/>
      <c r="W108" s="69">
        <v>104</v>
      </c>
      <c r="X108" s="52">
        <f t="shared" si="38"/>
        <v>0.422222222222226</v>
      </c>
      <c r="Y108" s="71">
        <f t="shared" si="40"/>
        <v>0.40833333333333699</v>
      </c>
      <c r="Z108" s="187"/>
      <c r="AB108" s="68"/>
      <c r="AC108" s="69">
        <v>104</v>
      </c>
      <c r="AD108" s="52">
        <f t="shared" si="39"/>
        <v>0.422222222222226</v>
      </c>
      <c r="AE108" s="71">
        <f t="shared" si="41"/>
        <v>0.40833333333333699</v>
      </c>
      <c r="AF108" s="187"/>
    </row>
    <row r="109" spans="1:32" ht="14.65" customHeight="1" x14ac:dyDescent="0.25">
      <c r="A109" s="30"/>
      <c r="B109" s="30"/>
      <c r="C109" s="244"/>
      <c r="E109" s="18"/>
      <c r="K109" s="4">
        <v>1570</v>
      </c>
      <c r="L109" s="15">
        <f t="shared" si="42"/>
        <v>0.56597222222222199</v>
      </c>
      <c r="P109" s="91"/>
      <c r="Q109" s="69">
        <v>106</v>
      </c>
      <c r="R109" s="70">
        <f t="shared" si="37"/>
        <v>0.33993055555555501</v>
      </c>
      <c r="S109" s="392">
        <f t="shared" si="43"/>
        <v>0.312152777777777</v>
      </c>
      <c r="T109" s="640"/>
      <c r="V109" s="68"/>
      <c r="W109" s="69">
        <v>105</v>
      </c>
      <c r="X109" s="52">
        <f t="shared" si="38"/>
        <v>0.42916666666667003</v>
      </c>
      <c r="Y109" s="71">
        <f t="shared" si="40"/>
        <v>0.41527777777778102</v>
      </c>
      <c r="Z109" s="187"/>
      <c r="AB109" s="68"/>
      <c r="AC109" s="69">
        <v>105</v>
      </c>
      <c r="AD109" s="52">
        <f t="shared" si="39"/>
        <v>0.42916666666667003</v>
      </c>
      <c r="AE109" s="71">
        <f t="shared" si="41"/>
        <v>0.41527777777778102</v>
      </c>
      <c r="AF109" s="187"/>
    </row>
    <row r="110" spans="1:32" ht="14.65" customHeight="1" x14ac:dyDescent="0.25">
      <c r="A110" s="123" t="s">
        <v>181</v>
      </c>
      <c r="B110" s="38">
        <f>H50</f>
        <v>3.4722222222222199E-3</v>
      </c>
      <c r="C110" s="380">
        <f>B112*24</f>
        <v>0</v>
      </c>
      <c r="E110" s="18"/>
      <c r="K110" s="4">
        <v>1580</v>
      </c>
      <c r="L110" s="15">
        <f t="shared" si="42"/>
        <v>0.56944444444444398</v>
      </c>
      <c r="P110" s="91"/>
      <c r="Q110" s="69">
        <v>107</v>
      </c>
      <c r="R110" s="70">
        <f t="shared" si="37"/>
        <v>0.343055555555555</v>
      </c>
      <c r="S110" s="392">
        <f t="shared" si="43"/>
        <v>0.31527777777777699</v>
      </c>
      <c r="T110" s="640"/>
      <c r="V110" s="68"/>
      <c r="W110" s="69">
        <v>106</v>
      </c>
      <c r="X110" s="52">
        <f t="shared" si="38"/>
        <v>0.436111111111114</v>
      </c>
      <c r="Y110" s="71">
        <f t="shared" si="40"/>
        <v>0.422222222222225</v>
      </c>
      <c r="Z110" s="187"/>
      <c r="AB110" s="68"/>
      <c r="AC110" s="69">
        <v>106</v>
      </c>
      <c r="AD110" s="52">
        <f t="shared" si="39"/>
        <v>0.436111111111114</v>
      </c>
      <c r="AE110" s="71">
        <f t="shared" si="41"/>
        <v>0.422222222222225</v>
      </c>
      <c r="AF110" s="187"/>
    </row>
    <row r="111" spans="1:32" ht="14.65" customHeight="1" x14ac:dyDescent="0.25">
      <c r="A111" s="4" t="s">
        <v>182</v>
      </c>
      <c r="B111" s="37" t="e">
        <f>(B110*E5)+H58</f>
        <v>#DIV/0!</v>
      </c>
      <c r="C111" s="381" t="s">
        <v>37</v>
      </c>
      <c r="E111" s="243"/>
      <c r="K111" s="4">
        <v>1590</v>
      </c>
      <c r="L111" s="15">
        <f t="shared" si="42"/>
        <v>0.57291666666666596</v>
      </c>
      <c r="P111" s="91"/>
      <c r="Q111" s="69">
        <v>108</v>
      </c>
      <c r="R111" s="70">
        <f t="shared" si="37"/>
        <v>0.34618055555555499</v>
      </c>
      <c r="S111" s="392">
        <f t="shared" si="43"/>
        <v>0.31840277777777698</v>
      </c>
      <c r="T111" s="640"/>
      <c r="V111" s="68"/>
      <c r="W111" s="69">
        <v>107</v>
      </c>
      <c r="X111" s="52">
        <f t="shared" si="38"/>
        <v>0.44305555555555798</v>
      </c>
      <c r="Y111" s="71">
        <f t="shared" si="40"/>
        <v>0.42916666666666903</v>
      </c>
      <c r="Z111" s="187"/>
      <c r="AB111" s="68"/>
      <c r="AC111" s="69">
        <v>107</v>
      </c>
      <c r="AD111" s="52">
        <f t="shared" si="39"/>
        <v>0.44305555555555798</v>
      </c>
      <c r="AE111" s="71">
        <f t="shared" si="41"/>
        <v>0.42916666666666903</v>
      </c>
      <c r="AF111" s="187"/>
    </row>
    <row r="112" spans="1:32" ht="14.65" customHeight="1" x14ac:dyDescent="0.25">
      <c r="A112" s="4" t="s">
        <v>183</v>
      </c>
      <c r="B112" s="28">
        <f>IF(E15&gt;0,B111,0)</f>
        <v>0</v>
      </c>
      <c r="C112" s="382">
        <f>C110/7</f>
        <v>0</v>
      </c>
      <c r="E112" s="18"/>
      <c r="K112" s="4">
        <v>1600</v>
      </c>
      <c r="L112" s="15">
        <f t="shared" si="42"/>
        <v>0.57638888888888895</v>
      </c>
      <c r="P112" s="91"/>
      <c r="Q112" s="69">
        <v>109</v>
      </c>
      <c r="R112" s="70">
        <f t="shared" si="37"/>
        <v>0.34930555555555498</v>
      </c>
      <c r="S112" s="392">
        <f t="shared" si="43"/>
        <v>0.32152777777777702</v>
      </c>
      <c r="T112" s="640"/>
      <c r="V112" s="68"/>
      <c r="W112" s="69">
        <v>108</v>
      </c>
      <c r="X112" s="52">
        <f t="shared" si="38"/>
        <v>0.45000000000000201</v>
      </c>
      <c r="Y112" s="71">
        <f t="shared" si="40"/>
        <v>0.436111111111113</v>
      </c>
      <c r="Z112" s="187"/>
      <c r="AB112" s="68"/>
      <c r="AC112" s="69">
        <v>108</v>
      </c>
      <c r="AD112" s="52">
        <f t="shared" si="39"/>
        <v>0.45000000000000201</v>
      </c>
      <c r="AE112" s="71">
        <f t="shared" si="41"/>
        <v>0.436111111111113</v>
      </c>
      <c r="AF112" s="187"/>
    </row>
    <row r="113" spans="1:32" ht="15" customHeight="1" thickBot="1" x14ac:dyDescent="0.3">
      <c r="A113" s="30"/>
      <c r="B113" s="30"/>
      <c r="C113" s="244"/>
      <c r="D113" s="46"/>
      <c r="E113" s="18"/>
      <c r="K113" s="4">
        <v>1610</v>
      </c>
      <c r="L113" s="15">
        <f t="shared" si="42"/>
        <v>0.57986111111111105</v>
      </c>
      <c r="P113" s="91"/>
      <c r="Q113" s="69">
        <v>110</v>
      </c>
      <c r="R113" s="70">
        <f t="shared" si="37"/>
        <v>0.35243055555555503</v>
      </c>
      <c r="S113" s="392">
        <f t="shared" si="43"/>
        <v>0.32465277777777701</v>
      </c>
      <c r="T113" s="640"/>
      <c r="V113" s="68"/>
      <c r="W113" s="69">
        <v>109</v>
      </c>
      <c r="X113" s="52">
        <f t="shared" si="38"/>
        <v>0.45694444444444599</v>
      </c>
      <c r="Y113" s="71">
        <f t="shared" si="40"/>
        <v>0.44305555555555698</v>
      </c>
      <c r="Z113" s="187"/>
      <c r="AB113" s="68"/>
      <c r="AC113" s="69">
        <v>109</v>
      </c>
      <c r="AD113" s="52">
        <f t="shared" si="39"/>
        <v>0.45694444444444599</v>
      </c>
      <c r="AE113" s="71">
        <f t="shared" si="41"/>
        <v>0.44305555555555698</v>
      </c>
      <c r="AF113" s="187"/>
    </row>
    <row r="114" spans="1:32" ht="15" customHeight="1" thickBot="1" x14ac:dyDescent="0.3">
      <c r="A114" s="2" t="s">
        <v>184</v>
      </c>
      <c r="B114" s="11"/>
      <c r="C114" s="244"/>
      <c r="E114" s="18"/>
      <c r="F114" s="46"/>
      <c r="K114" s="4">
        <v>1620</v>
      </c>
      <c r="L114" s="15">
        <f t="shared" si="42"/>
        <v>0.58333333333333304</v>
      </c>
      <c r="P114" s="91"/>
      <c r="Q114" s="69">
        <v>111</v>
      </c>
      <c r="R114" s="70">
        <f t="shared" si="37"/>
        <v>0.35555555555555501</v>
      </c>
      <c r="S114" s="392">
        <f t="shared" si="43"/>
        <v>0.327777777777777</v>
      </c>
      <c r="T114" s="640"/>
      <c r="V114" s="68"/>
      <c r="W114" s="69">
        <v>110</v>
      </c>
      <c r="X114" s="52">
        <f t="shared" si="38"/>
        <v>0.46388888888889002</v>
      </c>
      <c r="Y114" s="71">
        <f t="shared" si="40"/>
        <v>0.45000000000000101</v>
      </c>
      <c r="Z114" s="187"/>
      <c r="AB114" s="68"/>
      <c r="AC114" s="69">
        <v>110</v>
      </c>
      <c r="AD114" s="52">
        <f t="shared" si="39"/>
        <v>0.46388888888889002</v>
      </c>
      <c r="AE114" s="71">
        <f t="shared" si="41"/>
        <v>0.45000000000000101</v>
      </c>
      <c r="AF114" s="187"/>
    </row>
    <row r="115" spans="1:32" ht="14.65" customHeight="1" x14ac:dyDescent="0.25">
      <c r="A115" s="1" t="s">
        <v>185</v>
      </c>
      <c r="B115" s="26">
        <f>H60</f>
        <v>0</v>
      </c>
      <c r="C115" s="244"/>
      <c r="E115" s="18"/>
      <c r="K115" s="4">
        <v>1630</v>
      </c>
      <c r="L115" s="15">
        <f t="shared" si="42"/>
        <v>0.58680555555555503</v>
      </c>
      <c r="P115" s="91"/>
      <c r="Q115" s="69">
        <v>112</v>
      </c>
      <c r="R115" s="70">
        <f t="shared" si="37"/>
        <v>0.358680555555555</v>
      </c>
      <c r="S115" s="392">
        <f t="shared" si="43"/>
        <v>0.33090277777777699</v>
      </c>
      <c r="T115" s="640"/>
      <c r="V115" s="68"/>
      <c r="W115" s="69">
        <v>111</v>
      </c>
      <c r="X115" s="52">
        <f t="shared" si="38"/>
        <v>0.47083333333333399</v>
      </c>
      <c r="Y115" s="71">
        <f t="shared" si="40"/>
        <v>0.45694444444444499</v>
      </c>
      <c r="Z115" s="187"/>
      <c r="AB115" s="68"/>
      <c r="AC115" s="69">
        <v>111</v>
      </c>
      <c r="AD115" s="52">
        <f t="shared" si="39"/>
        <v>0.47083333333333399</v>
      </c>
      <c r="AE115" s="71">
        <f t="shared" si="41"/>
        <v>0.45694444444444499</v>
      </c>
      <c r="AF115" s="187"/>
    </row>
    <row r="116" spans="1:32" ht="14.65" customHeight="1" x14ac:dyDescent="0.25">
      <c r="A116" s="4" t="s">
        <v>144</v>
      </c>
      <c r="B116" s="38">
        <f>$H$61</f>
        <v>3.4722222222222202E-4</v>
      </c>
      <c r="C116" s="244"/>
      <c r="K116" s="4">
        <v>1640</v>
      </c>
      <c r="L116" s="15">
        <f t="shared" si="42"/>
        <v>0.59027777777777701</v>
      </c>
      <c r="P116" s="91"/>
      <c r="Q116" s="69">
        <v>113</v>
      </c>
      <c r="R116" s="70">
        <f t="shared" si="37"/>
        <v>0.36180555555555499</v>
      </c>
      <c r="S116" s="392">
        <f t="shared" si="43"/>
        <v>0.33402777777777698</v>
      </c>
      <c r="T116" s="640"/>
      <c r="V116" s="68"/>
      <c r="W116" s="69">
        <v>112</v>
      </c>
      <c r="X116" s="52">
        <f t="shared" si="38"/>
        <v>0.47777777777777802</v>
      </c>
      <c r="Y116" s="71">
        <f t="shared" si="40"/>
        <v>0.46388888888888902</v>
      </c>
      <c r="Z116" s="187"/>
      <c r="AB116" s="68"/>
      <c r="AC116" s="69">
        <v>112</v>
      </c>
      <c r="AD116" s="52">
        <f t="shared" si="39"/>
        <v>0.47777777777777802</v>
      </c>
      <c r="AE116" s="71">
        <f t="shared" si="41"/>
        <v>0.46388888888888902</v>
      </c>
      <c r="AF116" s="187"/>
    </row>
    <row r="117" spans="1:32" ht="14.65" customHeight="1" x14ac:dyDescent="0.25">
      <c r="A117" s="4" t="s">
        <v>186</v>
      </c>
      <c r="B117" s="15">
        <f>B115*B116</f>
        <v>0</v>
      </c>
      <c r="C117" s="244"/>
      <c r="K117" s="4">
        <v>1650</v>
      </c>
      <c r="L117" s="15">
        <f t="shared" si="42"/>
        <v>0.59375</v>
      </c>
      <c r="P117" s="91"/>
      <c r="Q117" s="69">
        <v>114</v>
      </c>
      <c r="R117" s="70">
        <f t="shared" si="37"/>
        <v>0.36493055555555498</v>
      </c>
      <c r="S117" s="392">
        <f t="shared" si="43"/>
        <v>0.33715277777777702</v>
      </c>
      <c r="T117" s="640"/>
      <c r="V117" s="68"/>
      <c r="W117" s="69">
        <v>113</v>
      </c>
      <c r="X117" s="52">
        <f t="shared" si="38"/>
        <v>0.484722222222222</v>
      </c>
      <c r="Y117" s="71">
        <f t="shared" si="40"/>
        <v>0.47083333333333299</v>
      </c>
      <c r="Z117" s="187"/>
      <c r="AB117" s="68"/>
      <c r="AC117" s="69">
        <v>113</v>
      </c>
      <c r="AD117" s="52">
        <f t="shared" si="39"/>
        <v>0.484722222222222</v>
      </c>
      <c r="AE117" s="71">
        <f t="shared" si="41"/>
        <v>0.47083333333333299</v>
      </c>
      <c r="AF117" s="187"/>
    </row>
    <row r="118" spans="1:32" ht="14.65" customHeight="1" x14ac:dyDescent="0.25">
      <c r="A118" s="4" t="s">
        <v>145</v>
      </c>
      <c r="B118" s="38">
        <f>$H$62</f>
        <v>8.1018518518518503E-5</v>
      </c>
      <c r="C118" s="244"/>
      <c r="D118" s="247"/>
      <c r="E118" s="18"/>
      <c r="F118" s="18"/>
      <c r="K118" s="4">
        <v>1660</v>
      </c>
      <c r="L118" s="15">
        <f t="shared" si="42"/>
        <v>0.59722222222222199</v>
      </c>
      <c r="P118" s="91"/>
      <c r="Q118" s="69">
        <v>115</v>
      </c>
      <c r="R118" s="70">
        <f t="shared" si="37"/>
        <v>0.36805555555555503</v>
      </c>
      <c r="S118" s="392">
        <f t="shared" si="43"/>
        <v>0.34027777777777701</v>
      </c>
      <c r="T118" s="640"/>
      <c r="V118" s="68"/>
      <c r="W118" s="69">
        <v>114</v>
      </c>
      <c r="X118" s="52">
        <f t="shared" si="38"/>
        <v>0.49166666666666597</v>
      </c>
      <c r="Y118" s="71">
        <f t="shared" si="40"/>
        <v>0.47777777777777702</v>
      </c>
      <c r="Z118" s="187"/>
      <c r="AB118" s="68"/>
      <c r="AC118" s="69">
        <v>114</v>
      </c>
      <c r="AD118" s="52">
        <f t="shared" si="39"/>
        <v>0.49166666666666597</v>
      </c>
      <c r="AE118" s="71">
        <f t="shared" si="41"/>
        <v>0.47777777777777702</v>
      </c>
      <c r="AF118" s="187"/>
    </row>
    <row r="119" spans="1:32" ht="14.65" customHeight="1" x14ac:dyDescent="0.25">
      <c r="A119" s="4" t="s">
        <v>187</v>
      </c>
      <c r="B119" s="29">
        <f>B115</f>
        <v>0</v>
      </c>
      <c r="C119" s="380">
        <f>B121*24</f>
        <v>0</v>
      </c>
      <c r="D119" s="247"/>
      <c r="E119" s="18"/>
      <c r="F119" s="18"/>
      <c r="K119" s="4">
        <v>1670</v>
      </c>
      <c r="L119" s="15">
        <f t="shared" si="42"/>
        <v>0.60069444444444398</v>
      </c>
      <c r="P119" s="91"/>
      <c r="Q119" s="69">
        <v>116</v>
      </c>
      <c r="R119" s="70">
        <f t="shared" si="37"/>
        <v>0.37118055555555501</v>
      </c>
      <c r="S119" s="392">
        <f t="shared" si="43"/>
        <v>0.343402777777777</v>
      </c>
      <c r="T119" s="640"/>
      <c r="V119" s="68"/>
      <c r="W119" s="69">
        <v>115</v>
      </c>
      <c r="X119" s="52">
        <f t="shared" si="38"/>
        <v>0.49861111111111001</v>
      </c>
      <c r="Y119" s="71">
        <f t="shared" si="40"/>
        <v>0.484722222222221</v>
      </c>
      <c r="Z119" s="187"/>
      <c r="AB119" s="68"/>
      <c r="AC119" s="69">
        <v>115</v>
      </c>
      <c r="AD119" s="52">
        <f t="shared" si="39"/>
        <v>0.49861111111111001</v>
      </c>
      <c r="AE119" s="71">
        <f t="shared" si="41"/>
        <v>0.484722222222221</v>
      </c>
      <c r="AF119" s="187"/>
    </row>
    <row r="120" spans="1:32" ht="14.65" customHeight="1" x14ac:dyDescent="0.25">
      <c r="A120" s="4" t="s">
        <v>188</v>
      </c>
      <c r="B120" s="15">
        <f>B118*B119</f>
        <v>0</v>
      </c>
      <c r="C120" s="381" t="s">
        <v>37</v>
      </c>
      <c r="E120" s="18"/>
      <c r="F120" s="18"/>
      <c r="K120" s="4">
        <v>1680</v>
      </c>
      <c r="L120" s="15">
        <f t="shared" si="42"/>
        <v>0.60416666666666596</v>
      </c>
      <c r="P120" s="91"/>
      <c r="Q120" s="69">
        <v>117</v>
      </c>
      <c r="R120" s="70">
        <f t="shared" si="37"/>
        <v>0.374305555555555</v>
      </c>
      <c r="S120" s="392">
        <f t="shared" si="43"/>
        <v>0.34652777777777699</v>
      </c>
      <c r="T120" s="640"/>
      <c r="V120" s="68"/>
      <c r="W120" s="69">
        <v>116</v>
      </c>
      <c r="X120" s="52">
        <f t="shared" si="38"/>
        <v>0.50555555555555398</v>
      </c>
      <c r="Y120" s="71">
        <f t="shared" si="40"/>
        <v>0.49166666666666498</v>
      </c>
      <c r="Z120" s="187"/>
      <c r="AB120" s="68"/>
      <c r="AC120" s="69">
        <v>116</v>
      </c>
      <c r="AD120" s="52">
        <f t="shared" si="39"/>
        <v>0.50555555555555398</v>
      </c>
      <c r="AE120" s="71">
        <f t="shared" si="41"/>
        <v>0.49166666666666498</v>
      </c>
      <c r="AF120" s="187"/>
    </row>
    <row r="121" spans="1:32" ht="14.65" customHeight="1" x14ac:dyDescent="0.25">
      <c r="A121" s="4" t="s">
        <v>189</v>
      </c>
      <c r="B121" s="28">
        <f>(B117*E4)+(B120*E4)</f>
        <v>0</v>
      </c>
      <c r="C121" s="382">
        <f>C119/7</f>
        <v>0</v>
      </c>
      <c r="E121" s="18"/>
      <c r="F121" s="18"/>
      <c r="K121" s="4">
        <v>1690</v>
      </c>
      <c r="L121" s="15">
        <f t="shared" si="42"/>
        <v>0.60763888888888895</v>
      </c>
      <c r="P121" s="91"/>
      <c r="Q121" s="69">
        <v>118</v>
      </c>
      <c r="R121" s="70">
        <f t="shared" si="37"/>
        <v>0.37743055555555499</v>
      </c>
      <c r="S121" s="392">
        <f t="shared" si="43"/>
        <v>0.34965277777777698</v>
      </c>
      <c r="T121" s="640"/>
      <c r="V121" s="68"/>
      <c r="W121" s="69">
        <v>117</v>
      </c>
      <c r="X121" s="52">
        <f t="shared" si="38"/>
        <v>0.51249999999999796</v>
      </c>
      <c r="Y121" s="71">
        <f t="shared" si="40"/>
        <v>0.49861111111110901</v>
      </c>
      <c r="Z121" s="187"/>
      <c r="AB121" s="68"/>
      <c r="AC121" s="69">
        <v>117</v>
      </c>
      <c r="AD121" s="52">
        <f t="shared" si="39"/>
        <v>0.51249999999999796</v>
      </c>
      <c r="AE121" s="71">
        <f t="shared" si="41"/>
        <v>0.49861111111110901</v>
      </c>
      <c r="AF121" s="187"/>
    </row>
    <row r="122" spans="1:32" ht="15" customHeight="1" thickBot="1" x14ac:dyDescent="0.3">
      <c r="A122" s="30"/>
      <c r="B122" s="30"/>
      <c r="C122" s="244"/>
      <c r="E122" s="18"/>
      <c r="F122" s="245"/>
      <c r="K122" s="4">
        <v>1700</v>
      </c>
      <c r="L122" s="15">
        <f t="shared" si="42"/>
        <v>0.61111111111111105</v>
      </c>
      <c r="P122" s="91"/>
      <c r="Q122" s="69">
        <v>119</v>
      </c>
      <c r="R122" s="70">
        <f t="shared" si="37"/>
        <v>0.38055555555555498</v>
      </c>
      <c r="S122" s="392">
        <f t="shared" si="43"/>
        <v>0.35277777777777702</v>
      </c>
      <c r="T122" s="640"/>
      <c r="V122" s="68"/>
      <c r="W122" s="69">
        <v>118</v>
      </c>
      <c r="X122" s="52">
        <f t="shared" si="38"/>
        <v>0.51944444444444204</v>
      </c>
      <c r="Y122" s="71">
        <f t="shared" si="40"/>
        <v>0.50555555555555298</v>
      </c>
      <c r="Z122" s="187"/>
      <c r="AB122" s="68"/>
      <c r="AC122" s="69">
        <v>118</v>
      </c>
      <c r="AD122" s="52">
        <f t="shared" si="39"/>
        <v>0.51944444444444204</v>
      </c>
      <c r="AE122" s="71">
        <f t="shared" si="41"/>
        <v>0.50555555555555298</v>
      </c>
      <c r="AF122" s="187"/>
    </row>
    <row r="123" spans="1:32" ht="15" customHeight="1" thickBot="1" x14ac:dyDescent="0.3">
      <c r="A123" s="27" t="s">
        <v>190</v>
      </c>
      <c r="B123" s="25"/>
      <c r="C123" s="244"/>
      <c r="E123" s="18"/>
      <c r="F123" s="18"/>
      <c r="K123" s="4">
        <v>1710</v>
      </c>
      <c r="L123" s="15">
        <f t="shared" si="42"/>
        <v>0.61458333333333304</v>
      </c>
      <c r="P123" s="91"/>
      <c r="Q123" s="69">
        <v>120</v>
      </c>
      <c r="R123" s="70">
        <f t="shared" si="37"/>
        <v>0.38368055555555503</v>
      </c>
      <c r="S123" s="392">
        <f t="shared" si="43"/>
        <v>0.35590277777777701</v>
      </c>
      <c r="T123" s="640"/>
      <c r="V123" s="68"/>
      <c r="W123" s="69">
        <v>119</v>
      </c>
      <c r="X123" s="52">
        <f t="shared" si="38"/>
        <v>0.52638888888888602</v>
      </c>
      <c r="Y123" s="71">
        <f t="shared" si="40"/>
        <v>0.51249999999999696</v>
      </c>
      <c r="Z123" s="187"/>
      <c r="AB123" s="68"/>
      <c r="AC123" s="69">
        <v>119</v>
      </c>
      <c r="AD123" s="52">
        <f t="shared" si="39"/>
        <v>0.52638888888888602</v>
      </c>
      <c r="AE123" s="71">
        <f t="shared" si="41"/>
        <v>0.51249999999999696</v>
      </c>
      <c r="AF123" s="187"/>
    </row>
    <row r="124" spans="1:32" ht="14.65" customHeight="1" x14ac:dyDescent="0.25">
      <c r="A124" s="23" t="s">
        <v>146</v>
      </c>
      <c r="B124" s="39">
        <f>H63</f>
        <v>0</v>
      </c>
      <c r="C124" s="380" t="e">
        <f>B126*24</f>
        <v>#DIV/0!</v>
      </c>
      <c r="E124" s="18"/>
      <c r="F124" s="18"/>
      <c r="K124" s="4">
        <v>1720</v>
      </c>
      <c r="L124" s="15">
        <f t="shared" si="42"/>
        <v>0.61805555555555503</v>
      </c>
      <c r="P124" s="91"/>
      <c r="Q124" s="69">
        <v>121</v>
      </c>
      <c r="R124" s="70">
        <f t="shared" si="37"/>
        <v>0.38680555555555501</v>
      </c>
      <c r="S124" s="392">
        <f t="shared" si="43"/>
        <v>0.359027777777777</v>
      </c>
      <c r="T124" s="640"/>
      <c r="V124" s="68"/>
      <c r="W124" s="69">
        <v>120</v>
      </c>
      <c r="X124" s="52">
        <f t="shared" si="38"/>
        <v>0.53333333333333</v>
      </c>
      <c r="Y124" s="71">
        <f t="shared" si="40"/>
        <v>0.51944444444444104</v>
      </c>
      <c r="Z124" s="187"/>
      <c r="AB124" s="68"/>
      <c r="AC124" s="69">
        <v>120</v>
      </c>
      <c r="AD124" s="52">
        <f t="shared" si="39"/>
        <v>0.53333333333333</v>
      </c>
      <c r="AE124" s="71">
        <f t="shared" si="41"/>
        <v>0.51944444444444104</v>
      </c>
      <c r="AF124" s="187"/>
    </row>
    <row r="125" spans="1:32" ht="14.65" customHeight="1" x14ac:dyDescent="0.25">
      <c r="A125" s="4" t="s">
        <v>191</v>
      </c>
      <c r="B125" s="37"/>
      <c r="C125" s="381" t="s">
        <v>37</v>
      </c>
      <c r="E125" s="246"/>
      <c r="K125" s="4">
        <v>1730</v>
      </c>
      <c r="L125" s="15">
        <f t="shared" si="42"/>
        <v>0.62152777777777701</v>
      </c>
      <c r="P125" s="91"/>
      <c r="Q125" s="69">
        <v>122</v>
      </c>
      <c r="R125" s="70">
        <f t="shared" si="37"/>
        <v>0.389930555555555</v>
      </c>
      <c r="S125" s="392">
        <f t="shared" si="43"/>
        <v>0.36215277777777699</v>
      </c>
      <c r="T125" s="640"/>
      <c r="V125" s="68"/>
      <c r="W125" s="69">
        <v>121</v>
      </c>
      <c r="X125" s="52">
        <f t="shared" si="38"/>
        <v>0.54027777777777397</v>
      </c>
      <c r="Y125" s="71">
        <f t="shared" si="40"/>
        <v>0.52638888888888502</v>
      </c>
      <c r="Z125" s="187"/>
      <c r="AB125" s="68"/>
      <c r="AC125" s="69">
        <v>121</v>
      </c>
      <c r="AD125" s="52">
        <f t="shared" si="39"/>
        <v>0.54027777777777397</v>
      </c>
      <c r="AE125" s="71">
        <f t="shared" si="41"/>
        <v>0.52638888888888502</v>
      </c>
      <c r="AF125" s="187"/>
    </row>
    <row r="126" spans="1:32" ht="14.65" customHeight="1" x14ac:dyDescent="0.25">
      <c r="A126" s="4" t="s">
        <v>192</v>
      </c>
      <c r="B126" s="28" t="e">
        <f>(B124*E5)+B125</f>
        <v>#DIV/0!</v>
      </c>
      <c r="C126" s="382" t="e">
        <f>C124/7</f>
        <v>#DIV/0!</v>
      </c>
      <c r="E126" s="18"/>
      <c r="K126" s="4">
        <v>1740</v>
      </c>
      <c r="L126" s="15">
        <f t="shared" si="42"/>
        <v>0.625</v>
      </c>
      <c r="P126" s="91"/>
      <c r="Q126" s="69">
        <v>123</v>
      </c>
      <c r="R126" s="70">
        <f t="shared" si="37"/>
        <v>0.39305555555555499</v>
      </c>
      <c r="S126" s="392">
        <f t="shared" si="43"/>
        <v>0.36527777777777698</v>
      </c>
      <c r="T126" s="640"/>
      <c r="V126" s="68"/>
      <c r="W126" s="69">
        <v>122</v>
      </c>
      <c r="X126" s="52">
        <f t="shared" si="38"/>
        <v>0.54722222222221795</v>
      </c>
      <c r="Y126" s="71">
        <f t="shared" si="40"/>
        <v>0.533333333333329</v>
      </c>
      <c r="Z126" s="187"/>
      <c r="AB126" s="68"/>
      <c r="AC126" s="69">
        <v>122</v>
      </c>
      <c r="AD126" s="52">
        <f t="shared" si="39"/>
        <v>0.54722222222221795</v>
      </c>
      <c r="AE126" s="71">
        <f t="shared" si="41"/>
        <v>0.533333333333329</v>
      </c>
      <c r="AF126" s="187"/>
    </row>
    <row r="127" spans="1:32" ht="15" customHeight="1" thickBot="1" x14ac:dyDescent="0.3">
      <c r="A127" s="30"/>
      <c r="B127" s="30"/>
      <c r="C127" s="244"/>
      <c r="K127" s="4">
        <v>1750</v>
      </c>
      <c r="L127" s="15">
        <f t="shared" si="42"/>
        <v>0.62847222222222199</v>
      </c>
      <c r="P127" s="91"/>
      <c r="Q127" s="69">
        <v>124</v>
      </c>
      <c r="R127" s="70">
        <f t="shared" si="37"/>
        <v>0.39618055555555498</v>
      </c>
      <c r="S127" s="392">
        <f t="shared" si="43"/>
        <v>0.36840277777777702</v>
      </c>
      <c r="T127" s="640"/>
      <c r="V127" s="68"/>
      <c r="W127" s="69">
        <v>123</v>
      </c>
      <c r="X127" s="52">
        <f t="shared" si="38"/>
        <v>0.55416666666666203</v>
      </c>
      <c r="Y127" s="71">
        <f t="shared" si="40"/>
        <v>0.54027777777777297</v>
      </c>
      <c r="Z127" s="187"/>
      <c r="AB127" s="68"/>
      <c r="AC127" s="69">
        <v>123</v>
      </c>
      <c r="AD127" s="52">
        <f t="shared" si="39"/>
        <v>0.55416666666666203</v>
      </c>
      <c r="AE127" s="71">
        <f t="shared" si="41"/>
        <v>0.54027777777777297</v>
      </c>
      <c r="AF127" s="187"/>
    </row>
    <row r="128" spans="1:32" ht="15" customHeight="1" thickBot="1" x14ac:dyDescent="0.3">
      <c r="A128" s="27" t="s">
        <v>127</v>
      </c>
      <c r="B128" s="25"/>
      <c r="C128" s="380">
        <f>B130*24</f>
        <v>0.33</v>
      </c>
      <c r="D128" s="42"/>
      <c r="E128" s="18"/>
      <c r="K128" s="4">
        <v>1760</v>
      </c>
      <c r="L128" s="15">
        <f t="shared" si="42"/>
        <v>0.63194444444444398</v>
      </c>
      <c r="P128" s="91"/>
      <c r="Q128" s="69">
        <v>125</v>
      </c>
      <c r="R128" s="70">
        <f t="shared" si="37"/>
        <v>0.39930555555555503</v>
      </c>
      <c r="S128" s="392">
        <f t="shared" si="43"/>
        <v>0.37152777777777701</v>
      </c>
      <c r="T128" s="640"/>
      <c r="V128" s="68"/>
      <c r="W128" s="69">
        <v>124</v>
      </c>
      <c r="X128" s="52">
        <f t="shared" si="38"/>
        <v>0.56111111111110601</v>
      </c>
      <c r="Y128" s="71">
        <f t="shared" si="40"/>
        <v>0.54722222222221695</v>
      </c>
      <c r="Z128" s="187"/>
      <c r="AB128" s="68"/>
      <c r="AC128" s="69">
        <v>124</v>
      </c>
      <c r="AD128" s="52">
        <f t="shared" si="39"/>
        <v>0.56111111111110601</v>
      </c>
      <c r="AE128" s="71">
        <f t="shared" si="41"/>
        <v>0.54722222222221695</v>
      </c>
      <c r="AF128" s="187"/>
    </row>
    <row r="129" spans="1:32" ht="14.65" customHeight="1" x14ac:dyDescent="0.25">
      <c r="A129" s="23" t="s">
        <v>129</v>
      </c>
      <c r="B129" s="39">
        <f>H52</f>
        <v>4.6296296296296298E-4</v>
      </c>
      <c r="C129" s="381" t="s">
        <v>37</v>
      </c>
      <c r="D129" s="42"/>
      <c r="E129" s="18"/>
      <c r="K129" s="4">
        <v>1770</v>
      </c>
      <c r="L129" s="15">
        <f t="shared" si="42"/>
        <v>0.63541666666666596</v>
      </c>
      <c r="P129" s="91"/>
      <c r="Q129" s="69">
        <v>126</v>
      </c>
      <c r="R129" s="70">
        <f t="shared" si="37"/>
        <v>0.40243055555555501</v>
      </c>
      <c r="S129" s="392">
        <f t="shared" si="43"/>
        <v>0.374652777777777</v>
      </c>
      <c r="T129" s="640"/>
      <c r="V129" s="68"/>
      <c r="W129" s="69">
        <v>125</v>
      </c>
      <c r="X129" s="52">
        <f t="shared" si="38"/>
        <v>0.56805555555554998</v>
      </c>
      <c r="Y129" s="71">
        <f t="shared" si="40"/>
        <v>0.55416666666666103</v>
      </c>
      <c r="Z129" s="187"/>
      <c r="AB129" s="68"/>
      <c r="AC129" s="69">
        <v>125</v>
      </c>
      <c r="AD129" s="52">
        <f t="shared" si="39"/>
        <v>0.56805555555554998</v>
      </c>
      <c r="AE129" s="71">
        <f t="shared" si="41"/>
        <v>0.55416666666666103</v>
      </c>
      <c r="AF129" s="187"/>
    </row>
    <row r="130" spans="1:32" ht="15" customHeight="1" thickBot="1" x14ac:dyDescent="0.3">
      <c r="A130" s="24" t="s">
        <v>193</v>
      </c>
      <c r="B130" s="19">
        <f>(B129*E4)+H58</f>
        <v>1.38888888888889E-2</v>
      </c>
      <c r="C130" s="382">
        <f>C128/7</f>
        <v>0.05</v>
      </c>
      <c r="K130" s="4">
        <v>1780</v>
      </c>
      <c r="L130" s="15">
        <f t="shared" si="42"/>
        <v>0.63888888888888895</v>
      </c>
      <c r="P130" s="91"/>
      <c r="Q130" s="69">
        <v>127</v>
      </c>
      <c r="R130" s="70">
        <f t="shared" si="37"/>
        <v>0.405555555555555</v>
      </c>
      <c r="S130" s="392">
        <f t="shared" si="43"/>
        <v>0.37777777777777699</v>
      </c>
      <c r="T130" s="640"/>
      <c r="V130" s="68"/>
      <c r="W130" s="69">
        <v>126</v>
      </c>
      <c r="X130" s="52">
        <f t="shared" si="38"/>
        <v>0.57499999999999396</v>
      </c>
      <c r="Y130" s="71">
        <f t="shared" si="40"/>
        <v>0.56111111111110501</v>
      </c>
      <c r="Z130" s="187"/>
      <c r="AB130" s="68"/>
      <c r="AC130" s="69">
        <v>126</v>
      </c>
      <c r="AD130" s="52">
        <f t="shared" si="39"/>
        <v>0.57499999999999396</v>
      </c>
      <c r="AE130" s="71">
        <f t="shared" si="41"/>
        <v>0.56111111111110501</v>
      </c>
      <c r="AF130" s="187"/>
    </row>
    <row r="131" spans="1:32" ht="14.65" customHeight="1" x14ac:dyDescent="0.25">
      <c r="A131" s="310" t="s">
        <v>194</v>
      </c>
      <c r="B131" s="315">
        <f>INDEX(J3:J16,MATCH(E6,I3:I16,1))</f>
        <v>0</v>
      </c>
      <c r="C131" s="390" t="s">
        <v>195</v>
      </c>
      <c r="K131" s="4">
        <v>1790</v>
      </c>
      <c r="L131" s="15">
        <f t="shared" si="42"/>
        <v>0.64236111111111105</v>
      </c>
      <c r="P131" s="91"/>
      <c r="Q131" s="69">
        <v>128</v>
      </c>
      <c r="R131" s="70">
        <f t="shared" si="37"/>
        <v>0.40868055555555499</v>
      </c>
      <c r="S131" s="392">
        <f t="shared" si="43"/>
        <v>0.38090277777777698</v>
      </c>
      <c r="T131" s="640"/>
      <c r="V131" s="68"/>
      <c r="W131" s="69">
        <v>127</v>
      </c>
      <c r="X131" s="52">
        <f t="shared" si="38"/>
        <v>0.58194444444443805</v>
      </c>
      <c r="Y131" s="71">
        <f t="shared" si="40"/>
        <v>0.56805555555554899</v>
      </c>
      <c r="Z131" s="187"/>
      <c r="AB131" s="68"/>
      <c r="AC131" s="69">
        <v>127</v>
      </c>
      <c r="AD131" s="52">
        <f t="shared" si="39"/>
        <v>0.58194444444443805</v>
      </c>
      <c r="AE131" s="71">
        <f t="shared" si="41"/>
        <v>0.56805555555554899</v>
      </c>
      <c r="AF131" s="187"/>
    </row>
    <row r="132" spans="1:32" ht="14.65" customHeight="1" x14ac:dyDescent="0.25">
      <c r="A132" s="23" t="s">
        <v>139</v>
      </c>
      <c r="B132" s="316">
        <f>H57</f>
        <v>1.38888888888889E-2</v>
      </c>
      <c r="C132" s="244"/>
      <c r="K132" s="4">
        <v>1800</v>
      </c>
      <c r="L132" s="15">
        <f t="shared" si="42"/>
        <v>0.64583333333333304</v>
      </c>
      <c r="P132" s="91"/>
      <c r="Q132" s="69">
        <v>129</v>
      </c>
      <c r="R132" s="70">
        <f t="shared" si="37"/>
        <v>0.41180555555555498</v>
      </c>
      <c r="S132" s="392">
        <f t="shared" si="43"/>
        <v>0.38402777777777702</v>
      </c>
      <c r="T132" s="640"/>
      <c r="V132" s="68"/>
      <c r="W132" s="69">
        <v>128</v>
      </c>
      <c r="X132" s="52">
        <f t="shared" si="38"/>
        <v>0.58888888888888202</v>
      </c>
      <c r="Y132" s="71">
        <f t="shared" si="40"/>
        <v>0.57499999999999296</v>
      </c>
      <c r="Z132" s="187"/>
      <c r="AB132" s="68"/>
      <c r="AC132" s="69">
        <v>128</v>
      </c>
      <c r="AD132" s="52">
        <f t="shared" si="39"/>
        <v>0.58888888888888202</v>
      </c>
      <c r="AE132" s="71">
        <f t="shared" si="41"/>
        <v>0.57499999999999296</v>
      </c>
      <c r="AF132" s="187"/>
    </row>
    <row r="133" spans="1:32" ht="14.65" customHeight="1" x14ac:dyDescent="0.25">
      <c r="A133" s="311" t="s">
        <v>196</v>
      </c>
      <c r="B133" s="317" t="e">
        <f>(B131*E5)+B132</f>
        <v>#DIV/0!</v>
      </c>
      <c r="C133" s="244"/>
      <c r="K133" s="4">
        <v>1810</v>
      </c>
      <c r="L133" s="15">
        <f t="shared" si="42"/>
        <v>0.64930555555555503</v>
      </c>
      <c r="P133" s="91"/>
      <c r="Q133" s="69">
        <v>130</v>
      </c>
      <c r="R133" s="70">
        <f t="shared" ref="R133:R164" si="44">$R$4+S133</f>
        <v>0.41493055555555503</v>
      </c>
      <c r="S133" s="392">
        <f t="shared" si="43"/>
        <v>0.38715277777777701</v>
      </c>
      <c r="T133" s="640"/>
      <c r="V133" s="68"/>
      <c r="W133" s="69">
        <v>129</v>
      </c>
      <c r="X133" s="52">
        <f t="shared" si="38"/>
        <v>0.595833333333326</v>
      </c>
      <c r="Y133" s="71">
        <f t="shared" si="40"/>
        <v>0.58194444444443705</v>
      </c>
      <c r="Z133" s="187"/>
      <c r="AB133" s="68"/>
      <c r="AC133" s="69">
        <v>129</v>
      </c>
      <c r="AD133" s="52">
        <f t="shared" si="39"/>
        <v>0.595833333333326</v>
      </c>
      <c r="AE133" s="71">
        <f t="shared" si="41"/>
        <v>0.58194444444443705</v>
      </c>
      <c r="AF133" s="187"/>
    </row>
    <row r="134" spans="1:32" ht="14.65" customHeight="1" x14ac:dyDescent="0.25">
      <c r="A134" s="312" t="s">
        <v>126</v>
      </c>
      <c r="B134" s="318">
        <f>(E7*0.5)</f>
        <v>0</v>
      </c>
      <c r="C134" s="244"/>
      <c r="K134" s="4">
        <v>1820</v>
      </c>
      <c r="L134" s="15">
        <f t="shared" si="42"/>
        <v>0.65277777777777701</v>
      </c>
      <c r="P134" s="91"/>
      <c r="Q134" s="69">
        <v>131</v>
      </c>
      <c r="R134" s="70">
        <f t="shared" si="44"/>
        <v>0.41805555555555501</v>
      </c>
      <c r="S134" s="392">
        <f t="shared" si="43"/>
        <v>0.390277777777777</v>
      </c>
      <c r="T134" s="640"/>
      <c r="V134" s="68"/>
      <c r="W134" s="69">
        <v>130</v>
      </c>
      <c r="X134" s="52">
        <f t="shared" ref="X134:X154" si="45">$X$5+Y134</f>
        <v>0.60277777777776997</v>
      </c>
      <c r="Y134" s="71">
        <f t="shared" si="40"/>
        <v>0.58888888888888102</v>
      </c>
      <c r="Z134" s="187"/>
      <c r="AB134" s="68"/>
      <c r="AC134" s="69">
        <v>130</v>
      </c>
      <c r="AD134" s="52">
        <f t="shared" ref="AD134:AD154" si="46">$AD$5+AE134</f>
        <v>0.60277777777776997</v>
      </c>
      <c r="AE134" s="71">
        <f t="shared" si="41"/>
        <v>0.58888888888888102</v>
      </c>
      <c r="AF134" s="187"/>
    </row>
    <row r="135" spans="1:32" ht="14.65" customHeight="1" x14ac:dyDescent="0.25">
      <c r="A135" s="311" t="s">
        <v>197</v>
      </c>
      <c r="B135" s="317">
        <f>B131*B134</f>
        <v>0</v>
      </c>
      <c r="C135" s="244"/>
      <c r="K135" s="4">
        <v>1830</v>
      </c>
      <c r="L135" s="15">
        <f t="shared" si="42"/>
        <v>0.65625</v>
      </c>
      <c r="P135" s="91"/>
      <c r="Q135" s="69">
        <v>132</v>
      </c>
      <c r="R135" s="70">
        <f t="shared" si="44"/>
        <v>0.421180555555555</v>
      </c>
      <c r="S135" s="392">
        <f t="shared" si="43"/>
        <v>0.39340277777777699</v>
      </c>
      <c r="T135" s="640"/>
      <c r="V135" s="68"/>
      <c r="W135" s="69">
        <v>131</v>
      </c>
      <c r="X135" s="52">
        <f t="shared" si="45"/>
        <v>0.60972222222221395</v>
      </c>
      <c r="Y135" s="71">
        <f t="shared" si="40"/>
        <v>0.595833333333325</v>
      </c>
      <c r="Z135" s="187"/>
      <c r="AB135" s="68"/>
      <c r="AC135" s="69">
        <v>131</v>
      </c>
      <c r="AD135" s="52">
        <f t="shared" si="46"/>
        <v>0.60972222222221395</v>
      </c>
      <c r="AE135" s="71">
        <f t="shared" si="41"/>
        <v>0.595833333333325</v>
      </c>
      <c r="AF135" s="187"/>
    </row>
    <row r="136" spans="1:32" ht="14.65" customHeight="1" x14ac:dyDescent="0.25">
      <c r="A136" s="23" t="s">
        <v>139</v>
      </c>
      <c r="B136" s="316">
        <f>H57*B134</f>
        <v>0</v>
      </c>
      <c r="C136" s="244"/>
      <c r="K136" s="4">
        <v>1840</v>
      </c>
      <c r="L136" s="15">
        <f t="shared" si="42"/>
        <v>0.65972222222222199</v>
      </c>
      <c r="P136" s="91"/>
      <c r="Q136" s="69">
        <v>133</v>
      </c>
      <c r="R136" s="70">
        <f t="shared" si="44"/>
        <v>0.42430555555555499</v>
      </c>
      <c r="S136" s="392">
        <f t="shared" si="43"/>
        <v>0.39652777777777698</v>
      </c>
      <c r="T136" s="640"/>
      <c r="V136" s="68"/>
      <c r="W136" s="69">
        <v>132</v>
      </c>
      <c r="X136" s="52">
        <f t="shared" si="45"/>
        <v>0.61666666666665804</v>
      </c>
      <c r="Y136" s="71">
        <f t="shared" ref="Y136:Y154" si="47">Y135+$Z$104</f>
        <v>0.60277777777776897</v>
      </c>
      <c r="Z136" s="187"/>
      <c r="AB136" s="68"/>
      <c r="AC136" s="69">
        <v>132</v>
      </c>
      <c r="AD136" s="52">
        <f t="shared" si="46"/>
        <v>0.61666666666665804</v>
      </c>
      <c r="AE136" s="71">
        <f t="shared" ref="AE136:AE154" si="48">AE135+$AF$104</f>
        <v>0.60277777777776897</v>
      </c>
      <c r="AF136" s="187"/>
    </row>
    <row r="137" spans="1:32" ht="14.65" customHeight="1" x14ac:dyDescent="0.25">
      <c r="A137" s="311" t="s">
        <v>198</v>
      </c>
      <c r="B137" s="317" t="e">
        <f>(B135*E5)+B136</f>
        <v>#DIV/0!</v>
      </c>
      <c r="C137" s="380" t="e">
        <f>B139*24</f>
        <v>#DIV/0!</v>
      </c>
      <c r="K137" s="4">
        <v>1850</v>
      </c>
      <c r="L137" s="15">
        <f t="shared" ref="L137:L168" si="49">$L$6+(((K137-$K$6)/10)*$M$2)</f>
        <v>0.66319444444444398</v>
      </c>
      <c r="P137" s="91"/>
      <c r="Q137" s="69">
        <v>134</v>
      </c>
      <c r="R137" s="70">
        <f t="shared" si="44"/>
        <v>0.42743055555555498</v>
      </c>
      <c r="S137" s="392">
        <f t="shared" ref="S137:S153" si="50">S136+$T$64</f>
        <v>0.39965277777777702</v>
      </c>
      <c r="T137" s="640"/>
      <c r="V137" s="68"/>
      <c r="W137" s="69">
        <v>133</v>
      </c>
      <c r="X137" s="52">
        <f t="shared" si="45"/>
        <v>0.62361111111110201</v>
      </c>
      <c r="Y137" s="71">
        <f t="shared" si="47"/>
        <v>0.60972222222221295</v>
      </c>
      <c r="Z137" s="187"/>
      <c r="AB137" s="68"/>
      <c r="AC137" s="69">
        <v>133</v>
      </c>
      <c r="AD137" s="52">
        <f t="shared" si="46"/>
        <v>0.62361111111110201</v>
      </c>
      <c r="AE137" s="71">
        <f t="shared" si="48"/>
        <v>0.60972222222221295</v>
      </c>
      <c r="AF137" s="187"/>
    </row>
    <row r="138" spans="1:32" ht="14.65" customHeight="1" x14ac:dyDescent="0.25">
      <c r="A138" s="23" t="s">
        <v>199</v>
      </c>
      <c r="B138" s="319" t="e">
        <f>(B133+B137)/E4</f>
        <v>#DIV/0!</v>
      </c>
      <c r="C138" s="381" t="s">
        <v>37</v>
      </c>
      <c r="K138" s="4">
        <v>1860</v>
      </c>
      <c r="L138" s="15">
        <f t="shared" si="49"/>
        <v>0.66666666666666596</v>
      </c>
      <c r="P138" s="91"/>
      <c r="Q138" s="69">
        <v>135</v>
      </c>
      <c r="R138" s="70">
        <f t="shared" si="44"/>
        <v>0.43055555555555503</v>
      </c>
      <c r="S138" s="392">
        <f t="shared" si="50"/>
        <v>0.40277777777777701</v>
      </c>
      <c r="T138" s="640"/>
      <c r="V138" s="68"/>
      <c r="W138" s="69">
        <v>134</v>
      </c>
      <c r="X138" s="52">
        <f t="shared" si="45"/>
        <v>0.63055555555554599</v>
      </c>
      <c r="Y138" s="71">
        <f t="shared" si="47"/>
        <v>0.61666666666665704</v>
      </c>
      <c r="Z138" s="187"/>
      <c r="AB138" s="68"/>
      <c r="AC138" s="69">
        <v>134</v>
      </c>
      <c r="AD138" s="52">
        <f t="shared" si="46"/>
        <v>0.63055555555554599</v>
      </c>
      <c r="AE138" s="71">
        <f t="shared" si="48"/>
        <v>0.61666666666665704</v>
      </c>
      <c r="AF138" s="187"/>
    </row>
    <row r="139" spans="1:32" ht="15" customHeight="1" thickBot="1" x14ac:dyDescent="0.3">
      <c r="A139" s="313" t="s">
        <v>200</v>
      </c>
      <c r="B139" s="320" t="e">
        <f>B133+B137</f>
        <v>#DIV/0!</v>
      </c>
      <c r="C139" s="382" t="e">
        <f>C137/7</f>
        <v>#DIV/0!</v>
      </c>
      <c r="K139" s="4">
        <v>1870</v>
      </c>
      <c r="L139" s="15">
        <f t="shared" si="49"/>
        <v>0.67013888888888895</v>
      </c>
      <c r="P139" s="91"/>
      <c r="Q139" s="69">
        <v>136</v>
      </c>
      <c r="R139" s="70">
        <f t="shared" si="44"/>
        <v>0.43368055555555501</v>
      </c>
      <c r="S139" s="392">
        <f t="shared" si="50"/>
        <v>0.405902777777777</v>
      </c>
      <c r="T139" s="640"/>
      <c r="V139" s="68"/>
      <c r="W139" s="69">
        <v>135</v>
      </c>
      <c r="X139" s="52">
        <f t="shared" si="45"/>
        <v>0.63749999999998996</v>
      </c>
      <c r="Y139" s="71">
        <f t="shared" si="47"/>
        <v>0.62361111111110101</v>
      </c>
      <c r="Z139" s="187"/>
      <c r="AB139" s="68"/>
      <c r="AC139" s="69">
        <v>135</v>
      </c>
      <c r="AD139" s="52">
        <f t="shared" si="46"/>
        <v>0.63749999999998996</v>
      </c>
      <c r="AE139" s="71">
        <f t="shared" si="48"/>
        <v>0.62361111111110101</v>
      </c>
      <c r="AF139" s="187"/>
    </row>
    <row r="140" spans="1:32" ht="14.65" customHeight="1" x14ac:dyDescent="0.25">
      <c r="A140" s="30"/>
      <c r="B140" s="30"/>
      <c r="C140" s="244"/>
      <c r="K140" s="4">
        <v>1880</v>
      </c>
      <c r="L140" s="15">
        <f t="shared" si="49"/>
        <v>0.67361111111111105</v>
      </c>
      <c r="P140" s="91"/>
      <c r="Q140" s="69">
        <v>137</v>
      </c>
      <c r="R140" s="70">
        <f t="shared" si="44"/>
        <v>0.436805555555555</v>
      </c>
      <c r="S140" s="392">
        <f t="shared" si="50"/>
        <v>0.40902777777777699</v>
      </c>
      <c r="T140" s="640"/>
      <c r="V140" s="68"/>
      <c r="W140" s="69">
        <v>136</v>
      </c>
      <c r="X140" s="52">
        <f t="shared" si="45"/>
        <v>0.64444444444443405</v>
      </c>
      <c r="Y140" s="71">
        <f t="shared" si="47"/>
        <v>0.63055555555554499</v>
      </c>
      <c r="Z140" s="187"/>
      <c r="AB140" s="68"/>
      <c r="AC140" s="69">
        <v>136</v>
      </c>
      <c r="AD140" s="52">
        <f t="shared" si="46"/>
        <v>0.64444444444443405</v>
      </c>
      <c r="AE140" s="71">
        <f t="shared" si="48"/>
        <v>0.63055555555554499</v>
      </c>
      <c r="AF140" s="187"/>
    </row>
    <row r="141" spans="1:32" ht="14.65" customHeight="1" x14ac:dyDescent="0.25">
      <c r="A141" s="49" t="s">
        <v>201</v>
      </c>
      <c r="B141" s="4"/>
      <c r="C141" s="380">
        <f>B143*24</f>
        <v>0</v>
      </c>
      <c r="K141" s="4">
        <v>1890</v>
      </c>
      <c r="L141" s="15">
        <f t="shared" si="49"/>
        <v>0.67708333333333304</v>
      </c>
      <c r="P141" s="91"/>
      <c r="Q141" s="69">
        <v>138</v>
      </c>
      <c r="R141" s="70">
        <f t="shared" si="44"/>
        <v>0.43993055555555499</v>
      </c>
      <c r="S141" s="392">
        <f t="shared" si="50"/>
        <v>0.41215277777777698</v>
      </c>
      <c r="T141" s="640"/>
      <c r="V141" s="68"/>
      <c r="W141" s="69">
        <v>137</v>
      </c>
      <c r="X141" s="52">
        <f t="shared" si="45"/>
        <v>0.65138888888887803</v>
      </c>
      <c r="Y141" s="71">
        <f t="shared" si="47"/>
        <v>0.63749999999998896</v>
      </c>
      <c r="Z141" s="187"/>
      <c r="AB141" s="68"/>
      <c r="AC141" s="69">
        <v>137</v>
      </c>
      <c r="AD141" s="52">
        <f t="shared" si="46"/>
        <v>0.65138888888887803</v>
      </c>
      <c r="AE141" s="71">
        <f t="shared" si="48"/>
        <v>0.63749999999998896</v>
      </c>
      <c r="AF141" s="187"/>
    </row>
    <row r="142" spans="1:32" ht="14.65" customHeight="1" x14ac:dyDescent="0.25">
      <c r="A142" s="4" t="s">
        <v>202</v>
      </c>
      <c r="B142" s="28">
        <f>((H49*E15)*E4)</f>
        <v>0</v>
      </c>
      <c r="C142" s="381" t="s">
        <v>37</v>
      </c>
      <c r="K142" s="4">
        <v>1900</v>
      </c>
      <c r="L142" s="15">
        <f t="shared" si="49"/>
        <v>0.68055555555555503</v>
      </c>
      <c r="P142" s="91"/>
      <c r="Q142" s="69">
        <v>139</v>
      </c>
      <c r="R142" s="70">
        <f t="shared" si="44"/>
        <v>0.44305555555555498</v>
      </c>
      <c r="S142" s="392">
        <f t="shared" si="50"/>
        <v>0.41527777777777702</v>
      </c>
      <c r="T142" s="640"/>
      <c r="V142" s="68"/>
      <c r="W142" s="69">
        <v>138</v>
      </c>
      <c r="X142" s="52">
        <f t="shared" si="45"/>
        <v>0.658333333333322</v>
      </c>
      <c r="Y142" s="71">
        <f t="shared" si="47"/>
        <v>0.64444444444443305</v>
      </c>
      <c r="Z142" s="187"/>
      <c r="AB142" s="68"/>
      <c r="AC142" s="69">
        <v>138</v>
      </c>
      <c r="AD142" s="52">
        <f t="shared" si="46"/>
        <v>0.658333333333322</v>
      </c>
      <c r="AE142" s="71">
        <f t="shared" si="48"/>
        <v>0.64444444444443305</v>
      </c>
      <c r="AF142" s="187"/>
    </row>
    <row r="143" spans="1:32" ht="14.65" customHeight="1" x14ac:dyDescent="0.25">
      <c r="B143" s="28">
        <f>IF(E15&gt;0,B142,0)</f>
        <v>0</v>
      </c>
      <c r="C143" s="382">
        <f>C141/7</f>
        <v>0</v>
      </c>
      <c r="K143" s="4">
        <v>1910</v>
      </c>
      <c r="L143" s="15">
        <f t="shared" si="49"/>
        <v>0.68402777777777701</v>
      </c>
      <c r="P143" s="91"/>
      <c r="Q143" s="69">
        <v>140</v>
      </c>
      <c r="R143" s="70">
        <f t="shared" si="44"/>
        <v>0.44618055555555503</v>
      </c>
      <c r="S143" s="392">
        <f t="shared" si="50"/>
        <v>0.41840277777777701</v>
      </c>
      <c r="T143" s="640"/>
      <c r="V143" s="68"/>
      <c r="W143" s="69">
        <v>139</v>
      </c>
      <c r="X143" s="52">
        <f t="shared" si="45"/>
        <v>0.66527777777776598</v>
      </c>
      <c r="Y143" s="71">
        <f t="shared" si="47"/>
        <v>0.65138888888887703</v>
      </c>
      <c r="Z143" s="187"/>
      <c r="AB143" s="68"/>
      <c r="AC143" s="69">
        <v>139</v>
      </c>
      <c r="AD143" s="52">
        <f t="shared" si="46"/>
        <v>0.66527777777776598</v>
      </c>
      <c r="AE143" s="71">
        <f t="shared" si="48"/>
        <v>0.65138888888887703</v>
      </c>
      <c r="AF143" s="187"/>
    </row>
    <row r="144" spans="1:32" ht="14.65" customHeight="1" x14ac:dyDescent="0.25">
      <c r="A144" s="30"/>
      <c r="B144" s="30"/>
      <c r="C144" s="244"/>
      <c r="K144" s="4">
        <v>1920</v>
      </c>
      <c r="L144" s="15">
        <f t="shared" si="49"/>
        <v>0.6875</v>
      </c>
      <c r="P144" s="91"/>
      <c r="Q144" s="69">
        <v>141</v>
      </c>
      <c r="R144" s="70">
        <f t="shared" si="44"/>
        <v>0.44930555555555501</v>
      </c>
      <c r="S144" s="392">
        <f t="shared" si="50"/>
        <v>0.421527777777777</v>
      </c>
      <c r="T144" s="640"/>
      <c r="V144" s="68"/>
      <c r="W144" s="69">
        <v>140</v>
      </c>
      <c r="X144" s="52">
        <f t="shared" si="45"/>
        <v>0.67222222222220995</v>
      </c>
      <c r="Y144" s="71">
        <f t="shared" si="47"/>
        <v>0.658333333333321</v>
      </c>
      <c r="Z144" s="187"/>
      <c r="AB144" s="68"/>
      <c r="AC144" s="69">
        <v>140</v>
      </c>
      <c r="AD144" s="52">
        <f t="shared" si="46"/>
        <v>0.67222222222220995</v>
      </c>
      <c r="AE144" s="71">
        <f t="shared" si="48"/>
        <v>0.658333333333321</v>
      </c>
      <c r="AF144" s="187"/>
    </row>
    <row r="145" spans="1:32" ht="15" customHeight="1" thickBot="1" x14ac:dyDescent="0.3">
      <c r="A145" s="241" t="s">
        <v>203</v>
      </c>
      <c r="B145" s="240"/>
      <c r="C145" s="381" t="s">
        <v>204</v>
      </c>
      <c r="K145" s="4">
        <v>1930</v>
      </c>
      <c r="L145" s="15">
        <f t="shared" si="49"/>
        <v>0.69097222222222199</v>
      </c>
      <c r="P145" s="91"/>
      <c r="Q145" s="69">
        <v>142</v>
      </c>
      <c r="R145" s="70">
        <f t="shared" si="44"/>
        <v>0.452430555555555</v>
      </c>
      <c r="S145" s="392">
        <f t="shared" si="50"/>
        <v>0.42465277777777699</v>
      </c>
      <c r="T145" s="640"/>
      <c r="V145" s="68"/>
      <c r="W145" s="69">
        <v>141</v>
      </c>
      <c r="X145" s="52">
        <f t="shared" si="45"/>
        <v>0.67916666666665404</v>
      </c>
      <c r="Y145" s="71">
        <f t="shared" si="47"/>
        <v>0.66527777777776498</v>
      </c>
      <c r="Z145" s="187"/>
      <c r="AB145" s="68"/>
      <c r="AC145" s="69">
        <v>141</v>
      </c>
      <c r="AD145" s="52">
        <f t="shared" si="46"/>
        <v>0.67916666666665404</v>
      </c>
      <c r="AE145" s="71">
        <f t="shared" si="48"/>
        <v>0.66527777777776498</v>
      </c>
      <c r="AF145" s="187"/>
    </row>
    <row r="146" spans="1:32" ht="14.65" customHeight="1" x14ac:dyDescent="0.25">
      <c r="A146" s="23" t="s">
        <v>133</v>
      </c>
      <c r="B146" s="169">
        <f>H54</f>
        <v>6.9444444444444404E-4</v>
      </c>
      <c r="C146" s="380">
        <f>B148*24</f>
        <v>0.33</v>
      </c>
      <c r="K146" s="4">
        <v>1940</v>
      </c>
      <c r="L146" s="15">
        <f t="shared" si="49"/>
        <v>0.69444444444444398</v>
      </c>
      <c r="P146" s="91"/>
      <c r="Q146" s="69">
        <v>143</v>
      </c>
      <c r="R146" s="70">
        <f t="shared" si="44"/>
        <v>0.45555555555555499</v>
      </c>
      <c r="S146" s="392">
        <f t="shared" si="50"/>
        <v>0.42777777777777698</v>
      </c>
      <c r="T146" s="640"/>
      <c r="V146" s="68"/>
      <c r="W146" s="69">
        <v>142</v>
      </c>
      <c r="X146" s="52">
        <f t="shared" si="45"/>
        <v>0.68611111111109802</v>
      </c>
      <c r="Y146" s="71">
        <f t="shared" si="47"/>
        <v>0.67222222222220895</v>
      </c>
      <c r="Z146" s="187"/>
      <c r="AB146" s="68"/>
      <c r="AC146" s="69">
        <v>142</v>
      </c>
      <c r="AD146" s="52">
        <f t="shared" si="46"/>
        <v>0.68611111111109802</v>
      </c>
      <c r="AE146" s="71">
        <f t="shared" si="48"/>
        <v>0.67222222222220895</v>
      </c>
      <c r="AF146" s="187"/>
    </row>
    <row r="147" spans="1:32" ht="14.65" customHeight="1" x14ac:dyDescent="0.25">
      <c r="A147" t="s">
        <v>205</v>
      </c>
      <c r="B147" s="324">
        <v>1.38888888888889E-2</v>
      </c>
      <c r="C147" s="381" t="s">
        <v>206</v>
      </c>
      <c r="K147" s="4">
        <v>1950</v>
      </c>
      <c r="L147" s="15">
        <f t="shared" si="49"/>
        <v>0.69791666666666596</v>
      </c>
      <c r="P147" s="91"/>
      <c r="Q147" s="69">
        <v>144</v>
      </c>
      <c r="R147" s="70">
        <f t="shared" si="44"/>
        <v>0.45868055555555498</v>
      </c>
      <c r="S147" s="392">
        <f t="shared" si="50"/>
        <v>0.43090277777777702</v>
      </c>
      <c r="T147" s="640"/>
      <c r="V147" s="68"/>
      <c r="W147" s="69">
        <v>143</v>
      </c>
      <c r="X147" s="52">
        <f t="shared" si="45"/>
        <v>0.69305555555554199</v>
      </c>
      <c r="Y147" s="71">
        <f t="shared" si="47"/>
        <v>0.67916666666665304</v>
      </c>
      <c r="Z147" s="187"/>
      <c r="AB147" s="68"/>
      <c r="AC147" s="69">
        <v>143</v>
      </c>
      <c r="AD147" s="52">
        <f t="shared" si="46"/>
        <v>0.69305555555554199</v>
      </c>
      <c r="AE147" s="71">
        <f t="shared" si="48"/>
        <v>0.67916666666665304</v>
      </c>
      <c r="AF147" s="187"/>
    </row>
    <row r="148" spans="1:32" ht="15" customHeight="1" thickBot="1" x14ac:dyDescent="0.3">
      <c r="A148" s="24" t="s">
        <v>207</v>
      </c>
      <c r="B148" s="170">
        <f>(B146*E4)+B147</f>
        <v>1.38888888888889E-2</v>
      </c>
      <c r="C148" s="382">
        <f>C146/7</f>
        <v>0.05</v>
      </c>
      <c r="K148" s="4">
        <v>1960</v>
      </c>
      <c r="L148" s="15">
        <f t="shared" si="49"/>
        <v>0.70138888888888795</v>
      </c>
      <c r="P148" s="91"/>
      <c r="Q148" s="69">
        <v>145</v>
      </c>
      <c r="R148" s="70">
        <f t="shared" si="44"/>
        <v>0.46180555555555503</v>
      </c>
      <c r="S148" s="392">
        <f t="shared" si="50"/>
        <v>0.43402777777777701</v>
      </c>
      <c r="T148" s="640"/>
      <c r="V148" s="68"/>
      <c r="W148" s="69">
        <v>144</v>
      </c>
      <c r="X148" s="52">
        <f t="shared" si="45"/>
        <v>0.69999999999998597</v>
      </c>
      <c r="Y148" s="71">
        <f t="shared" si="47"/>
        <v>0.68611111111109702</v>
      </c>
      <c r="Z148" s="187"/>
      <c r="AB148" s="68"/>
      <c r="AC148" s="69">
        <v>144</v>
      </c>
      <c r="AD148" s="52">
        <f t="shared" si="46"/>
        <v>0.69999999999998597</v>
      </c>
      <c r="AE148" s="71">
        <f t="shared" si="48"/>
        <v>0.68611111111109702</v>
      </c>
      <c r="AF148" s="187"/>
    </row>
    <row r="149" spans="1:32" ht="14.65" customHeight="1" x14ac:dyDescent="0.25">
      <c r="A149" s="30"/>
      <c r="B149" s="30"/>
      <c r="C149" s="244"/>
      <c r="K149" s="4">
        <v>1970</v>
      </c>
      <c r="L149" s="15">
        <f t="shared" si="49"/>
        <v>0.70486111111111105</v>
      </c>
      <c r="P149" s="91"/>
      <c r="Q149" s="69">
        <v>146</v>
      </c>
      <c r="R149" s="70">
        <f t="shared" si="44"/>
        <v>0.46493055555555501</v>
      </c>
      <c r="S149" s="392">
        <f t="shared" si="50"/>
        <v>0.437152777777777</v>
      </c>
      <c r="T149" s="640"/>
      <c r="V149" s="68"/>
      <c r="W149" s="69">
        <v>145</v>
      </c>
      <c r="X149" s="52">
        <f t="shared" si="45"/>
        <v>0.70694444444443005</v>
      </c>
      <c r="Y149" s="71">
        <f t="shared" si="47"/>
        <v>0.69305555555554099</v>
      </c>
      <c r="Z149" s="187"/>
      <c r="AB149" s="68"/>
      <c r="AC149" s="69">
        <v>145</v>
      </c>
      <c r="AD149" s="52">
        <f t="shared" si="46"/>
        <v>0.70694444444443005</v>
      </c>
      <c r="AE149" s="71">
        <f t="shared" si="48"/>
        <v>0.69305555555554099</v>
      </c>
      <c r="AF149" s="187"/>
    </row>
    <row r="150" spans="1:32" ht="14.65" customHeight="1" x14ac:dyDescent="0.25">
      <c r="A150" t="s">
        <v>208</v>
      </c>
      <c r="B150" s="18" t="e">
        <f>B91+B103+B107+B111+B121+B126+B130+B148</f>
        <v>#DIV/0!</v>
      </c>
      <c r="K150" s="4">
        <v>1980</v>
      </c>
      <c r="L150" s="15">
        <f t="shared" si="49"/>
        <v>0.70833333333333304</v>
      </c>
      <c r="P150" s="91"/>
      <c r="Q150" s="69">
        <v>147</v>
      </c>
      <c r="R150" s="70">
        <f t="shared" si="44"/>
        <v>0.468055555555555</v>
      </c>
      <c r="S150" s="392">
        <f t="shared" si="50"/>
        <v>0.44027777777777699</v>
      </c>
      <c r="T150" s="640"/>
      <c r="V150" s="68"/>
      <c r="W150" s="69">
        <v>146</v>
      </c>
      <c r="X150" s="52">
        <f t="shared" si="45"/>
        <v>0.71388888888887403</v>
      </c>
      <c r="Y150" s="71">
        <f t="shared" si="47"/>
        <v>0.69999999999998497</v>
      </c>
      <c r="Z150" s="187"/>
      <c r="AB150" s="68"/>
      <c r="AC150" s="69">
        <v>146</v>
      </c>
      <c r="AD150" s="52">
        <f t="shared" si="46"/>
        <v>0.71388888888887403</v>
      </c>
      <c r="AE150" s="71">
        <f t="shared" si="48"/>
        <v>0.69999999999998497</v>
      </c>
      <c r="AF150" s="187"/>
    </row>
    <row r="151" spans="1:32" ht="14.65" customHeight="1" x14ac:dyDescent="0.25">
      <c r="A151" t="s">
        <v>209</v>
      </c>
      <c r="B151" s="253" t="s">
        <v>210</v>
      </c>
      <c r="K151" s="4">
        <v>1990</v>
      </c>
      <c r="L151" s="15">
        <f t="shared" si="49"/>
        <v>0.71180555555555503</v>
      </c>
      <c r="P151" s="91"/>
      <c r="Q151" s="69">
        <v>148</v>
      </c>
      <c r="R151" s="70">
        <f t="shared" si="44"/>
        <v>0.47118055555555499</v>
      </c>
      <c r="S151" s="392">
        <f t="shared" si="50"/>
        <v>0.44340277777777698</v>
      </c>
      <c r="T151" s="640"/>
      <c r="V151" s="68"/>
      <c r="W151" s="69">
        <v>147</v>
      </c>
      <c r="X151" s="52">
        <f t="shared" si="45"/>
        <v>0.720833333333318</v>
      </c>
      <c r="Y151" s="71">
        <f t="shared" si="47"/>
        <v>0.70694444444442905</v>
      </c>
      <c r="Z151" s="187"/>
      <c r="AB151" s="68"/>
      <c r="AC151" s="69">
        <v>147</v>
      </c>
      <c r="AD151" s="52">
        <f t="shared" si="46"/>
        <v>0.720833333333318</v>
      </c>
      <c r="AE151" s="71">
        <f t="shared" si="48"/>
        <v>0.70694444444442905</v>
      </c>
      <c r="AF151" s="187"/>
    </row>
    <row r="152" spans="1:32" ht="14.65" customHeight="1" x14ac:dyDescent="0.25">
      <c r="A152" s="30"/>
      <c r="B152" s="30"/>
      <c r="K152" s="4">
        <v>2000</v>
      </c>
      <c r="L152" s="15">
        <f t="shared" si="49"/>
        <v>0.71527777777777701</v>
      </c>
      <c r="P152" s="91"/>
      <c r="Q152" s="69">
        <v>149</v>
      </c>
      <c r="R152" s="70">
        <f t="shared" si="44"/>
        <v>0.47430555555555498</v>
      </c>
      <c r="S152" s="392">
        <f t="shared" si="50"/>
        <v>0.44652777777777702</v>
      </c>
      <c r="T152" s="640"/>
      <c r="V152" s="68"/>
      <c r="W152" s="69">
        <v>148</v>
      </c>
      <c r="X152" s="52">
        <f t="shared" si="45"/>
        <v>0.72777777777776198</v>
      </c>
      <c r="Y152" s="71">
        <f t="shared" si="47"/>
        <v>0.71388888888887303</v>
      </c>
      <c r="Z152" s="187"/>
      <c r="AB152" s="68"/>
      <c r="AC152" s="69">
        <v>148</v>
      </c>
      <c r="AD152" s="52">
        <f t="shared" si="46"/>
        <v>0.72777777777776198</v>
      </c>
      <c r="AE152" s="71">
        <f t="shared" si="48"/>
        <v>0.71388888888887303</v>
      </c>
      <c r="AF152" s="187"/>
    </row>
    <row r="153" spans="1:32" ht="15" customHeight="1" thickBot="1" x14ac:dyDescent="0.3">
      <c r="K153" s="4">
        <v>2010</v>
      </c>
      <c r="L153" s="15">
        <f t="shared" si="49"/>
        <v>0.71875</v>
      </c>
      <c r="P153" s="101"/>
      <c r="Q153" s="102">
        <v>150</v>
      </c>
      <c r="R153" s="103">
        <f t="shared" si="44"/>
        <v>0.47743055555555503</v>
      </c>
      <c r="S153" s="393">
        <f t="shared" si="50"/>
        <v>0.44965277777777701</v>
      </c>
      <c r="T153" s="640"/>
      <c r="V153" s="68"/>
      <c r="W153" s="69">
        <v>149</v>
      </c>
      <c r="X153" s="52">
        <f t="shared" si="45"/>
        <v>0.73472222222220596</v>
      </c>
      <c r="Y153" s="71">
        <f t="shared" si="47"/>
        <v>0.72083333333331701</v>
      </c>
      <c r="Z153" s="187"/>
      <c r="AB153" s="68"/>
      <c r="AC153" s="69">
        <v>149</v>
      </c>
      <c r="AD153" s="52">
        <f t="shared" si="46"/>
        <v>0.73472222222220596</v>
      </c>
      <c r="AE153" s="71">
        <f t="shared" si="48"/>
        <v>0.72083333333331701</v>
      </c>
      <c r="AF153" s="187"/>
    </row>
    <row r="154" spans="1:32" ht="15" customHeight="1" thickBot="1" x14ac:dyDescent="0.3">
      <c r="K154" s="4">
        <v>2020</v>
      </c>
      <c r="L154" s="15">
        <f t="shared" si="49"/>
        <v>0.72222222222222199</v>
      </c>
      <c r="P154" s="91" t="s">
        <v>211</v>
      </c>
      <c r="Q154" s="69">
        <v>151</v>
      </c>
      <c r="R154" s="70">
        <f t="shared" si="44"/>
        <v>0.484374999999999</v>
      </c>
      <c r="S154" s="392">
        <f>S153+$T$103</f>
        <v>0.45659722222222099</v>
      </c>
      <c r="T154" s="640"/>
      <c r="V154" s="68"/>
      <c r="W154" s="69">
        <v>150</v>
      </c>
      <c r="X154" s="52">
        <f t="shared" si="45"/>
        <v>0.74166666666665004</v>
      </c>
      <c r="Y154" s="71">
        <f t="shared" si="47"/>
        <v>0.72777777777776098</v>
      </c>
      <c r="Z154" s="86"/>
      <c r="AB154" s="68"/>
      <c r="AC154" s="69">
        <v>150</v>
      </c>
      <c r="AD154" s="52">
        <f t="shared" si="46"/>
        <v>0.74166666666665004</v>
      </c>
      <c r="AE154" s="71">
        <f t="shared" si="48"/>
        <v>0.72777777777776098</v>
      </c>
      <c r="AF154" s="86"/>
    </row>
    <row r="155" spans="1:32" ht="15" customHeight="1" thickBot="1" x14ac:dyDescent="0.3">
      <c r="A155" s="338" t="s">
        <v>212</v>
      </c>
      <c r="B155" s="210"/>
      <c r="C155" s="210"/>
      <c r="D155" s="339"/>
      <c r="K155" s="4">
        <v>2030</v>
      </c>
      <c r="L155" s="15">
        <f t="shared" si="49"/>
        <v>0.72569444444444398</v>
      </c>
      <c r="P155" s="91"/>
      <c r="Q155" s="69">
        <v>152</v>
      </c>
      <c r="R155" s="70">
        <f t="shared" si="44"/>
        <v>0.48749999999999899</v>
      </c>
      <c r="S155" s="392">
        <f t="shared" ref="S155:S186" si="51">S154+$T$64</f>
        <v>0.45972222222222098</v>
      </c>
      <c r="T155" s="640"/>
    </row>
    <row r="156" spans="1:32" ht="14.65" customHeight="1" x14ac:dyDescent="0.25">
      <c r="A156" s="365"/>
      <c r="B156" s="366"/>
      <c r="C156" s="366" t="s">
        <v>213</v>
      </c>
      <c r="D156" s="355" t="s">
        <v>214</v>
      </c>
      <c r="E156" s="363" t="s">
        <v>215</v>
      </c>
      <c r="F156" s="49" t="s">
        <v>216</v>
      </c>
      <c r="G156" s="4"/>
      <c r="H156" s="4"/>
      <c r="K156" s="4">
        <v>2040</v>
      </c>
      <c r="L156" s="15">
        <f t="shared" si="49"/>
        <v>0.72916666666666596</v>
      </c>
      <c r="P156" s="91"/>
      <c r="Q156" s="69">
        <v>153</v>
      </c>
      <c r="R156" s="70">
        <f t="shared" si="44"/>
        <v>0.49062499999999898</v>
      </c>
      <c r="S156" s="392">
        <f t="shared" si="51"/>
        <v>0.46284722222222102</v>
      </c>
      <c r="T156" s="640"/>
    </row>
    <row r="157" spans="1:32" ht="14.65" customHeight="1" x14ac:dyDescent="0.25">
      <c r="A157" s="23" t="s">
        <v>217</v>
      </c>
      <c r="B157" s="18" t="e">
        <f>B26+B104+B112+B130+B148+B107+B143+H56+B139</f>
        <v>#DIV/0!</v>
      </c>
      <c r="C157" s="260" t="e">
        <f>B157*24</f>
        <v>#DIV/0!</v>
      </c>
      <c r="D157" s="367" t="e">
        <f>C157*B194</f>
        <v>#DIV/0!</v>
      </c>
      <c r="E157" s="364" t="e">
        <f>D157/E4</f>
        <v>#DIV/0!</v>
      </c>
      <c r="F157" s="4" t="s">
        <v>217</v>
      </c>
      <c r="G157" s="373">
        <v>74</v>
      </c>
      <c r="H157" s="371" t="e">
        <f>C157*G157</f>
        <v>#DIV/0!</v>
      </c>
      <c r="K157" s="4">
        <v>2050</v>
      </c>
      <c r="L157" s="15">
        <f t="shared" si="49"/>
        <v>0.73263888888888795</v>
      </c>
      <c r="P157" s="91"/>
      <c r="Q157" s="69">
        <v>154</v>
      </c>
      <c r="R157" s="70">
        <f t="shared" si="44"/>
        <v>0.49374999999999902</v>
      </c>
      <c r="S157" s="392">
        <f t="shared" si="51"/>
        <v>0.46597222222222101</v>
      </c>
      <c r="T157" s="640"/>
    </row>
    <row r="158" spans="1:32" ht="15" customHeight="1" thickBot="1" x14ac:dyDescent="0.3">
      <c r="A158" s="24" t="s">
        <v>218</v>
      </c>
      <c r="B158" s="118">
        <f>B91</f>
        <v>1.38888888888889E-2</v>
      </c>
      <c r="C158" s="261">
        <f>B158*24</f>
        <v>0.33300000000000002</v>
      </c>
      <c r="D158" s="368">
        <f>B195*C158</f>
        <v>54.95</v>
      </c>
      <c r="E158" s="364" t="e">
        <f>D158/E4</f>
        <v>#DIV/0!</v>
      </c>
      <c r="F158" s="4" t="s">
        <v>219</v>
      </c>
      <c r="G158" s="373">
        <v>98</v>
      </c>
      <c r="H158" s="371">
        <f>G158*C158</f>
        <v>32.630000000000003</v>
      </c>
      <c r="K158" s="4">
        <v>2060</v>
      </c>
      <c r="L158" s="15">
        <f t="shared" si="49"/>
        <v>0.73611111111111105</v>
      </c>
      <c r="P158" s="91"/>
      <c r="Q158" s="69">
        <v>155</v>
      </c>
      <c r="R158" s="70">
        <f t="shared" si="44"/>
        <v>0.49687499999999901</v>
      </c>
      <c r="S158" s="392">
        <f t="shared" si="51"/>
        <v>0.469097222222221</v>
      </c>
      <c r="T158" s="640"/>
    </row>
    <row r="159" spans="1:32" ht="15" customHeight="1" thickBot="1" x14ac:dyDescent="0.3">
      <c r="A159" s="365" t="s">
        <v>220</v>
      </c>
      <c r="B159" s="401" t="e">
        <f>SUM(B157:B158)</f>
        <v>#DIV/0!</v>
      </c>
      <c r="C159" s="402" t="e">
        <f>B159*24</f>
        <v>#DIV/0!</v>
      </c>
      <c r="D159" s="400" t="e">
        <f>SUM(D157:D158)</f>
        <v>#DIV/0!</v>
      </c>
      <c r="F159" s="4" t="s">
        <v>221</v>
      </c>
      <c r="G159" s="4"/>
      <c r="H159" s="372" t="e">
        <f>SUM(H157:H158)</f>
        <v>#DIV/0!</v>
      </c>
      <c r="K159" s="4">
        <v>2070</v>
      </c>
      <c r="L159" s="15">
        <f t="shared" si="49"/>
        <v>0.73958333333333304</v>
      </c>
      <c r="P159" s="91"/>
      <c r="Q159" s="69">
        <v>156</v>
      </c>
      <c r="R159" s="70">
        <f t="shared" si="44"/>
        <v>0.499999999999999</v>
      </c>
      <c r="S159" s="392">
        <f t="shared" si="51"/>
        <v>0.47222222222222099</v>
      </c>
      <c r="T159" s="640"/>
    </row>
    <row r="160" spans="1:32" ht="15" customHeight="1" thickBot="1" x14ac:dyDescent="0.3">
      <c r="A160" s="24" t="s">
        <v>222</v>
      </c>
      <c r="B160" s="27" t="s">
        <v>223</v>
      </c>
      <c r="C160" s="398" t="e">
        <f>D159/C159</f>
        <v>#DIV/0!</v>
      </c>
      <c r="D160" s="399" t="e">
        <f>D159/E4</f>
        <v>#DIV/0!</v>
      </c>
      <c r="F160" s="4" t="s">
        <v>224</v>
      </c>
      <c r="G160" s="4"/>
      <c r="H160" s="371" t="e">
        <f>D159-H159</f>
        <v>#DIV/0!</v>
      </c>
      <c r="K160" s="4">
        <v>2080</v>
      </c>
      <c r="L160" s="15">
        <f t="shared" si="49"/>
        <v>0.74305555555555503</v>
      </c>
      <c r="P160" s="91"/>
      <c r="Q160" s="69">
        <v>157</v>
      </c>
      <c r="R160" s="70">
        <f t="shared" si="44"/>
        <v>0.50312499999999905</v>
      </c>
      <c r="S160" s="392">
        <f t="shared" si="51"/>
        <v>0.47534722222222098</v>
      </c>
      <c r="T160" s="640"/>
    </row>
    <row r="161" spans="1:20" ht="14.65" customHeight="1" x14ac:dyDescent="0.25">
      <c r="F161" s="4" t="s">
        <v>225</v>
      </c>
      <c r="G161" s="4"/>
      <c r="H161" s="371" t="e">
        <f>H159/E4</f>
        <v>#DIV/0!</v>
      </c>
      <c r="K161" s="4">
        <v>2090</v>
      </c>
      <c r="L161" s="15">
        <f t="shared" si="49"/>
        <v>0.74652777777777701</v>
      </c>
      <c r="P161" s="91"/>
      <c r="Q161" s="69">
        <v>158</v>
      </c>
      <c r="R161" s="70">
        <f t="shared" si="44"/>
        <v>0.50624999999999898</v>
      </c>
      <c r="S161" s="392">
        <f t="shared" si="51"/>
        <v>0.47847222222222102</v>
      </c>
      <c r="T161" s="640"/>
    </row>
    <row r="162" spans="1:20" ht="15" customHeight="1" thickBot="1" x14ac:dyDescent="0.3">
      <c r="A162" s="30"/>
      <c r="B162" s="369"/>
      <c r="C162" s="370"/>
      <c r="D162" s="122"/>
      <c r="F162" s="4" t="s">
        <v>226</v>
      </c>
      <c r="G162" s="4"/>
      <c r="H162" s="371" t="e">
        <f>D160-H161</f>
        <v>#DIV/0!</v>
      </c>
      <c r="K162" s="4">
        <v>2100</v>
      </c>
      <c r="L162" s="15">
        <f t="shared" si="49"/>
        <v>0.75</v>
      </c>
      <c r="P162" s="91"/>
      <c r="Q162" s="69">
        <v>159</v>
      </c>
      <c r="R162" s="70">
        <f t="shared" si="44"/>
        <v>0.50937499999999902</v>
      </c>
      <c r="S162" s="392">
        <f t="shared" si="51"/>
        <v>0.48159722222222101</v>
      </c>
      <c r="T162" s="640"/>
    </row>
    <row r="163" spans="1:20" ht="14.65" customHeight="1" x14ac:dyDescent="0.25">
      <c r="A163" s="343" t="s">
        <v>227</v>
      </c>
      <c r="B163" s="209"/>
      <c r="C163" s="209"/>
      <c r="D163" s="344"/>
      <c r="F163" s="4" t="s">
        <v>228</v>
      </c>
      <c r="G163" s="4"/>
      <c r="H163" s="288" t="e">
        <f>((D159-H159)/D159)</f>
        <v>#DIV/0!</v>
      </c>
      <c r="K163" s="4">
        <v>2110</v>
      </c>
      <c r="L163" s="15">
        <f t="shared" si="49"/>
        <v>0.75347222222222199</v>
      </c>
      <c r="P163" s="91"/>
      <c r="Q163" s="69">
        <v>160</v>
      </c>
      <c r="R163" s="70">
        <f t="shared" si="44"/>
        <v>0.51249999999999896</v>
      </c>
      <c r="S163" s="392">
        <f t="shared" si="51"/>
        <v>0.484722222222221</v>
      </c>
      <c r="T163" s="640"/>
    </row>
    <row r="164" spans="1:20" ht="14.65" customHeight="1" x14ac:dyDescent="0.25">
      <c r="A164" s="5" t="s">
        <v>229</v>
      </c>
      <c r="B164" s="4"/>
      <c r="C164" s="4"/>
      <c r="D164" s="345">
        <f>B211*E4</f>
        <v>0</v>
      </c>
      <c r="F164" s="4" t="s">
        <v>37</v>
      </c>
      <c r="G164" s="4"/>
      <c r="H164" s="394" t="e">
        <f>C159/7</f>
        <v>#DIV/0!</v>
      </c>
      <c r="K164" s="4">
        <v>2120</v>
      </c>
      <c r="L164" s="15">
        <f t="shared" si="49"/>
        <v>0.75694444444444398</v>
      </c>
      <c r="P164" s="91"/>
      <c r="Q164" s="69">
        <v>161</v>
      </c>
      <c r="R164" s="70">
        <f t="shared" si="44"/>
        <v>0.515624999999999</v>
      </c>
      <c r="S164" s="392">
        <f t="shared" si="51"/>
        <v>0.48784722222222099</v>
      </c>
      <c r="T164" s="640"/>
    </row>
    <row r="165" spans="1:20" ht="14.65" customHeight="1" x14ac:dyDescent="0.25">
      <c r="A165" s="5" t="s">
        <v>230</v>
      </c>
      <c r="B165" s="4"/>
      <c r="C165" s="4"/>
      <c r="D165" s="346">
        <f>B204+B203</f>
        <v>0</v>
      </c>
      <c r="F165" s="4" t="s">
        <v>231</v>
      </c>
      <c r="G165" s="4"/>
      <c r="H165" s="394" t="e">
        <f>H164/5</f>
        <v>#DIV/0!</v>
      </c>
      <c r="K165" s="4">
        <v>2130</v>
      </c>
      <c r="L165" s="15">
        <f t="shared" si="49"/>
        <v>0.76041666666666596</v>
      </c>
      <c r="P165" s="91"/>
      <c r="Q165" s="69">
        <v>162</v>
      </c>
      <c r="R165" s="70">
        <f t="shared" ref="R165:R196" si="52">$R$4+S165</f>
        <v>0.51874999999999905</v>
      </c>
      <c r="S165" s="392">
        <f t="shared" si="51"/>
        <v>0.49097222222222098</v>
      </c>
      <c r="T165" s="640"/>
    </row>
    <row r="166" spans="1:20" ht="14.65" customHeight="1" x14ac:dyDescent="0.25">
      <c r="A166" s="5" t="s">
        <v>232</v>
      </c>
      <c r="B166" s="4"/>
      <c r="C166" s="4"/>
      <c r="D166" s="346">
        <f>B208+B209</f>
        <v>0</v>
      </c>
      <c r="F166" s="4" t="s">
        <v>233</v>
      </c>
      <c r="G166" s="4"/>
      <c r="H166" s="394" t="e">
        <f>H165/4</f>
        <v>#DIV/0!</v>
      </c>
      <c r="K166" s="4">
        <v>2140</v>
      </c>
      <c r="L166" s="15">
        <f t="shared" si="49"/>
        <v>0.76388888888888795</v>
      </c>
      <c r="P166" s="91"/>
      <c r="Q166" s="69">
        <v>163</v>
      </c>
      <c r="R166" s="70">
        <f t="shared" si="52"/>
        <v>0.52187499999999898</v>
      </c>
      <c r="S166" s="392">
        <f t="shared" si="51"/>
        <v>0.49409722222222102</v>
      </c>
      <c r="T166" s="640"/>
    </row>
    <row r="167" spans="1:20" ht="14.65" customHeight="1" x14ac:dyDescent="0.25">
      <c r="A167" s="5" t="s">
        <v>234</v>
      </c>
      <c r="B167" s="4"/>
      <c r="C167" s="4"/>
      <c r="D167" s="347" t="e">
        <f>D157+D158+D165+D166</f>
        <v>#DIV/0!</v>
      </c>
      <c r="F167" s="4" t="s">
        <v>235</v>
      </c>
      <c r="G167" s="4"/>
      <c r="H167" s="394" t="e">
        <f>H166/12</f>
        <v>#DIV/0!</v>
      </c>
      <c r="K167" s="4">
        <v>2150</v>
      </c>
      <c r="L167" s="15">
        <f t="shared" si="49"/>
        <v>0.76736111111111105</v>
      </c>
      <c r="P167" s="91"/>
      <c r="Q167" s="69">
        <v>164</v>
      </c>
      <c r="R167" s="70">
        <f t="shared" si="52"/>
        <v>0.52499999999999902</v>
      </c>
      <c r="S167" s="392">
        <f t="shared" si="51"/>
        <v>0.49722222222222101</v>
      </c>
      <c r="T167" s="640"/>
    </row>
    <row r="168" spans="1:20" ht="14.65" customHeight="1" x14ac:dyDescent="0.25">
      <c r="A168" s="5" t="s">
        <v>236</v>
      </c>
      <c r="B168" s="4"/>
      <c r="C168" s="4"/>
      <c r="D168" s="348" t="e">
        <f>D167/E4</f>
        <v>#DIV/0!</v>
      </c>
      <c r="F168" s="267" t="s">
        <v>301</v>
      </c>
      <c r="G168" s="4"/>
      <c r="H168" s="50" t="e">
        <f>(D157+D158)/C159</f>
        <v>#DIV/0!</v>
      </c>
      <c r="K168" s="4">
        <v>2160</v>
      </c>
      <c r="L168" s="15">
        <f t="shared" si="49"/>
        <v>0.77083333333333304</v>
      </c>
      <c r="P168" s="91"/>
      <c r="Q168" s="69">
        <v>165</v>
      </c>
      <c r="R168" s="70">
        <f t="shared" si="52"/>
        <v>0.52812499999999896</v>
      </c>
      <c r="S168" s="392">
        <f t="shared" si="51"/>
        <v>0.50034722222222106</v>
      </c>
      <c r="T168" s="640"/>
    </row>
    <row r="169" spans="1:20" ht="14.65" customHeight="1" x14ac:dyDescent="0.25">
      <c r="A169" s="23"/>
      <c r="D169" s="349"/>
      <c r="K169" s="4">
        <v>2170</v>
      </c>
      <c r="L169" s="15">
        <f t="shared" ref="L169:L198" si="53">$L$6+(((K169-$K$6)/10)*$M$2)</f>
        <v>0.77430555555555503</v>
      </c>
      <c r="P169" s="91"/>
      <c r="Q169" s="69">
        <v>166</v>
      </c>
      <c r="R169" s="70">
        <f t="shared" si="52"/>
        <v>0.531249999999999</v>
      </c>
      <c r="S169" s="392">
        <f t="shared" si="51"/>
        <v>0.50347222222222099</v>
      </c>
      <c r="T169" s="640"/>
    </row>
    <row r="170" spans="1:20" ht="15" customHeight="1" thickBot="1" x14ac:dyDescent="0.3">
      <c r="A170" s="350"/>
      <c r="B170" s="30"/>
      <c r="C170" s="30"/>
      <c r="D170" s="351"/>
      <c r="K170" s="4">
        <v>2180</v>
      </c>
      <c r="L170" s="15">
        <f t="shared" si="53"/>
        <v>0.77777777777777701</v>
      </c>
      <c r="P170" s="91"/>
      <c r="Q170" s="69">
        <v>167</v>
      </c>
      <c r="R170" s="70">
        <f t="shared" si="52"/>
        <v>0.53437499999999905</v>
      </c>
      <c r="S170" s="392">
        <f t="shared" si="51"/>
        <v>0.50659722222222103</v>
      </c>
      <c r="T170" s="640"/>
    </row>
    <row r="171" spans="1:20" ht="14.65" customHeight="1" x14ac:dyDescent="0.25">
      <c r="A171" s="119" t="s">
        <v>237</v>
      </c>
      <c r="B171" s="120"/>
      <c r="C171" s="120"/>
      <c r="D171" s="121"/>
      <c r="K171" s="4">
        <v>2190</v>
      </c>
      <c r="L171" s="15">
        <f t="shared" si="53"/>
        <v>0.781249999999999</v>
      </c>
      <c r="P171" s="91"/>
      <c r="Q171" s="69">
        <v>168</v>
      </c>
      <c r="R171" s="70">
        <f t="shared" si="52"/>
        <v>0.53749999999999898</v>
      </c>
      <c r="S171" s="392">
        <f t="shared" si="51"/>
        <v>0.50972222222222097</v>
      </c>
      <c r="T171" s="640"/>
    </row>
    <row r="172" spans="1:20" ht="14.65" customHeight="1" x14ac:dyDescent="0.25">
      <c r="A172" s="5" t="s">
        <v>238</v>
      </c>
      <c r="B172" s="4"/>
      <c r="C172" s="4"/>
      <c r="D172" s="352">
        <f>B198</f>
        <v>0</v>
      </c>
      <c r="K172" s="4">
        <v>2200</v>
      </c>
      <c r="L172" s="15">
        <f t="shared" si="53"/>
        <v>0.78472222222222199</v>
      </c>
      <c r="P172" s="91"/>
      <c r="Q172" s="69">
        <v>169</v>
      </c>
      <c r="R172" s="70">
        <f t="shared" si="52"/>
        <v>0.54062499999999902</v>
      </c>
      <c r="S172" s="392">
        <f t="shared" si="51"/>
        <v>0.51284722222222101</v>
      </c>
      <c r="T172" s="640"/>
    </row>
    <row r="173" spans="1:20" ht="14.65" customHeight="1" x14ac:dyDescent="0.25">
      <c r="A173" s="358" t="s">
        <v>239</v>
      </c>
      <c r="B173" s="359">
        <f>B10</f>
        <v>0</v>
      </c>
      <c r="C173" s="360">
        <f>B173*24</f>
        <v>0</v>
      </c>
      <c r="D173" s="361">
        <f>B196</f>
        <v>0</v>
      </c>
      <c r="F173" t="s">
        <v>240</v>
      </c>
      <c r="K173" s="4">
        <v>2210</v>
      </c>
      <c r="L173" s="15">
        <f t="shared" si="53"/>
        <v>0.78819444444444398</v>
      </c>
      <c r="P173" s="91"/>
      <c r="Q173" s="69">
        <v>170</v>
      </c>
      <c r="R173" s="70">
        <f t="shared" si="52"/>
        <v>0.54374999999999896</v>
      </c>
      <c r="S173" s="392">
        <f t="shared" si="51"/>
        <v>0.51597222222222106</v>
      </c>
      <c r="T173" s="640"/>
    </row>
    <row r="174" spans="1:20" ht="14.65" customHeight="1" x14ac:dyDescent="0.25">
      <c r="A174" s="5" t="s">
        <v>241</v>
      </c>
      <c r="B174" s="4"/>
      <c r="C174" s="4"/>
      <c r="D174" s="353">
        <f>B205</f>
        <v>0</v>
      </c>
      <c r="K174" s="4">
        <v>2220</v>
      </c>
      <c r="L174" s="15">
        <f t="shared" si="53"/>
        <v>0.79166666666666596</v>
      </c>
      <c r="P174" s="91"/>
      <c r="Q174" s="69">
        <v>171</v>
      </c>
      <c r="R174" s="70">
        <f t="shared" si="52"/>
        <v>0.546874999999999</v>
      </c>
      <c r="S174" s="392">
        <f t="shared" si="51"/>
        <v>0.51909722222222099</v>
      </c>
      <c r="T174" s="640"/>
    </row>
    <row r="175" spans="1:20" ht="15" customHeight="1" thickBot="1" x14ac:dyDescent="0.3">
      <c r="A175" s="10" t="s">
        <v>242</v>
      </c>
      <c r="B175" s="354"/>
      <c r="C175" s="354"/>
      <c r="D175" s="22">
        <f>B212</f>
        <v>0</v>
      </c>
      <c r="G175" s="178"/>
      <c r="K175" s="4">
        <v>2230</v>
      </c>
      <c r="L175" s="15">
        <f t="shared" si="53"/>
        <v>0.79513888888888795</v>
      </c>
      <c r="P175" s="91"/>
      <c r="Q175" s="69">
        <v>172</v>
      </c>
      <c r="R175" s="70">
        <f t="shared" si="52"/>
        <v>0.54999999999999905</v>
      </c>
      <c r="S175" s="392">
        <f t="shared" si="51"/>
        <v>0.52222222222222103</v>
      </c>
      <c r="T175" s="640"/>
    </row>
    <row r="176" spans="1:20" ht="15" customHeight="1" thickBot="1" x14ac:dyDescent="0.3">
      <c r="K176" s="4">
        <v>2240</v>
      </c>
      <c r="L176" s="15">
        <f t="shared" si="53"/>
        <v>0.79861111111111105</v>
      </c>
      <c r="P176" s="91"/>
      <c r="Q176" s="69">
        <v>173</v>
      </c>
      <c r="R176" s="70">
        <f t="shared" si="52"/>
        <v>0.55312499999999898</v>
      </c>
      <c r="S176" s="392">
        <f t="shared" si="51"/>
        <v>0.52534722222222097</v>
      </c>
      <c r="T176" s="640"/>
    </row>
    <row r="177" spans="1:20" ht="15" customHeight="1" thickBot="1" x14ac:dyDescent="0.3">
      <c r="A177" s="213" t="s">
        <v>243</v>
      </c>
      <c r="B177" s="214" t="s">
        <v>244</v>
      </c>
      <c r="C177" s="215" t="s">
        <v>245</v>
      </c>
      <c r="D177" s="216" t="s">
        <v>236</v>
      </c>
      <c r="E177" s="215" t="s">
        <v>246</v>
      </c>
      <c r="K177" s="4">
        <v>2250</v>
      </c>
      <c r="L177" s="15">
        <f t="shared" si="53"/>
        <v>0.80208333333333304</v>
      </c>
      <c r="P177" s="91"/>
      <c r="Q177" s="69">
        <v>174</v>
      </c>
      <c r="R177" s="70">
        <f t="shared" si="52"/>
        <v>0.55624999999999902</v>
      </c>
      <c r="S177" s="392">
        <f t="shared" si="51"/>
        <v>0.52847222222222101</v>
      </c>
      <c r="T177" s="640"/>
    </row>
    <row r="178" spans="1:20" ht="14.65" customHeight="1" x14ac:dyDescent="0.25">
      <c r="A178" s="423">
        <f>B200</f>
        <v>0</v>
      </c>
      <c r="B178" s="217" t="str">
        <f>B215</f>
        <v>Assembly only</v>
      </c>
      <c r="C178" s="218">
        <f>E4</f>
        <v>0</v>
      </c>
      <c r="D178" s="219" t="e">
        <f>D168</f>
        <v>#DIV/0!</v>
      </c>
      <c r="E178" s="220" t="e">
        <f>D178*C178</f>
        <v>#DIV/0!</v>
      </c>
      <c r="K178" s="4">
        <v>2260</v>
      </c>
      <c r="L178" s="15">
        <f t="shared" si="53"/>
        <v>0.80555555555555503</v>
      </c>
      <c r="P178" s="91"/>
      <c r="Q178" s="69">
        <v>175</v>
      </c>
      <c r="R178" s="70">
        <f t="shared" si="52"/>
        <v>0.55937499999999896</v>
      </c>
      <c r="S178" s="392">
        <f t="shared" si="51"/>
        <v>0.53159722222222106</v>
      </c>
      <c r="T178" s="640"/>
    </row>
    <row r="179" spans="1:20" ht="15" customHeight="1" thickBot="1" x14ac:dyDescent="0.3">
      <c r="A179" s="221" t="s">
        <v>247</v>
      </c>
      <c r="B179" s="222" t="s">
        <v>248</v>
      </c>
      <c r="C179" s="222">
        <f>IF(D179&gt;0,C178,)</f>
        <v>0</v>
      </c>
      <c r="D179" s="223">
        <f>B211</f>
        <v>0</v>
      </c>
      <c r="E179" s="257">
        <f>C179*D179</f>
        <v>0</v>
      </c>
      <c r="F179" t="s">
        <v>249</v>
      </c>
      <c r="K179" s="4">
        <v>2270</v>
      </c>
      <c r="L179" s="15">
        <f t="shared" si="53"/>
        <v>0.80902777777777701</v>
      </c>
      <c r="P179" s="91"/>
      <c r="Q179" s="69">
        <v>176</v>
      </c>
      <c r="R179" s="70">
        <f t="shared" si="52"/>
        <v>0.562499999999999</v>
      </c>
      <c r="S179" s="392">
        <f t="shared" si="51"/>
        <v>0.53472222222222099</v>
      </c>
      <c r="T179" s="640"/>
    </row>
    <row r="180" spans="1:20" ht="15" customHeight="1" thickBot="1" x14ac:dyDescent="0.3">
      <c r="A180" s="224" t="s">
        <v>246</v>
      </c>
      <c r="B180" s="225"/>
      <c r="C180" s="226">
        <f>E4</f>
        <v>0</v>
      </c>
      <c r="D180" s="258" t="e">
        <f>D178+D179</f>
        <v>#DIV/0!</v>
      </c>
      <c r="E180" s="259" t="e">
        <f>C180*D180</f>
        <v>#DIV/0!</v>
      </c>
      <c r="H180" s="285"/>
      <c r="K180" s="4">
        <v>2280</v>
      </c>
      <c r="L180" s="15">
        <f t="shared" si="53"/>
        <v>0.812499999999999</v>
      </c>
      <c r="P180" s="91"/>
      <c r="Q180" s="69">
        <v>177</v>
      </c>
      <c r="R180" s="70">
        <f t="shared" si="52"/>
        <v>0.56562499999999905</v>
      </c>
      <c r="S180" s="392">
        <f t="shared" si="51"/>
        <v>0.53784722222222103</v>
      </c>
      <c r="T180" s="640"/>
    </row>
    <row r="181" spans="1:20" ht="15" customHeight="1" thickBot="1" x14ac:dyDescent="0.3">
      <c r="A181" s="305"/>
      <c r="B181" s="306"/>
      <c r="C181" s="306"/>
      <c r="D181" s="306"/>
      <c r="E181" s="307"/>
      <c r="K181" s="4">
        <v>2290</v>
      </c>
      <c r="L181" s="15">
        <f t="shared" si="53"/>
        <v>0.81597222222222199</v>
      </c>
      <c r="P181" s="91"/>
      <c r="Q181" s="69">
        <v>178</v>
      </c>
      <c r="R181" s="70">
        <f t="shared" si="52"/>
        <v>0.56874999999999898</v>
      </c>
      <c r="S181" s="392">
        <f t="shared" si="51"/>
        <v>0.54097222222222097</v>
      </c>
      <c r="T181" s="640"/>
    </row>
    <row r="182" spans="1:20" ht="15" customHeight="1" thickBot="1" x14ac:dyDescent="0.3">
      <c r="A182" s="619" t="s">
        <v>250</v>
      </c>
      <c r="B182" s="620"/>
      <c r="C182" s="620"/>
      <c r="D182" s="620"/>
      <c r="E182" s="621"/>
      <c r="K182" s="4">
        <v>2300</v>
      </c>
      <c r="L182" s="15">
        <f t="shared" si="53"/>
        <v>0.81944444444444398</v>
      </c>
      <c r="P182" s="91"/>
      <c r="Q182" s="69">
        <v>179</v>
      </c>
      <c r="R182" s="70">
        <f t="shared" si="52"/>
        <v>0.57187499999999902</v>
      </c>
      <c r="S182" s="392">
        <f t="shared" si="51"/>
        <v>0.54409722222222101</v>
      </c>
      <c r="T182" s="640"/>
    </row>
    <row r="183" spans="1:20" ht="14.65" customHeight="1" x14ac:dyDescent="0.25">
      <c r="A183" s="227" t="s">
        <v>5</v>
      </c>
      <c r="B183" s="217" t="s">
        <v>251</v>
      </c>
      <c r="C183" s="232">
        <f>IF(B196&gt;1,"1",0)</f>
        <v>0</v>
      </c>
      <c r="D183" s="219">
        <f>D173</f>
        <v>0</v>
      </c>
      <c r="E183" s="220">
        <f>C183*D183</f>
        <v>0</v>
      </c>
      <c r="K183" s="4">
        <v>2310</v>
      </c>
      <c r="L183" s="15">
        <f t="shared" si="53"/>
        <v>0.82291666666666596</v>
      </c>
      <c r="P183" s="91"/>
      <c r="Q183" s="69">
        <v>180</v>
      </c>
      <c r="R183" s="70">
        <f t="shared" si="52"/>
        <v>0.57499999999999896</v>
      </c>
      <c r="S183" s="392">
        <f t="shared" si="51"/>
        <v>0.54722222222222106</v>
      </c>
      <c r="T183" s="640"/>
    </row>
    <row r="184" spans="1:20" ht="14.65" customHeight="1" x14ac:dyDescent="0.25">
      <c r="A184" s="228" t="s">
        <v>252</v>
      </c>
      <c r="B184" s="229" t="s">
        <v>251</v>
      </c>
      <c r="C184" s="232">
        <f>IF(B198&gt;1,"1",0)</f>
        <v>0</v>
      </c>
      <c r="D184" s="230">
        <f>D172</f>
        <v>0</v>
      </c>
      <c r="E184" s="231">
        <f>C184*D184</f>
        <v>0</v>
      </c>
      <c r="K184" s="4">
        <v>2320</v>
      </c>
      <c r="L184" s="15">
        <f t="shared" si="53"/>
        <v>0.82638888888888795</v>
      </c>
      <c r="P184" s="91"/>
      <c r="Q184" s="69">
        <v>181</v>
      </c>
      <c r="R184" s="70">
        <f t="shared" si="52"/>
        <v>0.578124999999999</v>
      </c>
      <c r="S184" s="392">
        <f t="shared" si="51"/>
        <v>0.55034722222222099</v>
      </c>
      <c r="T184" s="640"/>
    </row>
    <row r="185" spans="1:20" ht="14.65" customHeight="1" x14ac:dyDescent="0.25">
      <c r="A185" s="228" t="s">
        <v>253</v>
      </c>
      <c r="B185" s="229" t="s">
        <v>251</v>
      </c>
      <c r="C185" s="232">
        <f>IF(B205&gt;1,"1",0)</f>
        <v>0</v>
      </c>
      <c r="D185" s="233">
        <f>D174</f>
        <v>0</v>
      </c>
      <c r="E185" s="231">
        <f>C185*D185</f>
        <v>0</v>
      </c>
      <c r="K185" s="4">
        <v>2330</v>
      </c>
      <c r="L185" s="15">
        <f t="shared" si="53"/>
        <v>0.82986111111111105</v>
      </c>
      <c r="P185" s="91"/>
      <c r="Q185" s="69">
        <v>182</v>
      </c>
      <c r="R185" s="70">
        <f t="shared" si="52"/>
        <v>0.58124999999999905</v>
      </c>
      <c r="S185" s="392">
        <f t="shared" si="51"/>
        <v>0.55347222222222103</v>
      </c>
      <c r="T185" s="640"/>
    </row>
    <row r="186" spans="1:20" ht="14.65" customHeight="1" x14ac:dyDescent="0.25">
      <c r="A186" s="32" t="s">
        <v>254</v>
      </c>
      <c r="B186" s="229" t="s">
        <v>251</v>
      </c>
      <c r="C186" s="234">
        <f>IF(B212&gt;1,"1",0)</f>
        <v>0</v>
      </c>
      <c r="D186" s="235">
        <f>B212</f>
        <v>0</v>
      </c>
      <c r="E186" s="236">
        <f>C186*D186</f>
        <v>0</v>
      </c>
      <c r="K186" s="4">
        <v>2340</v>
      </c>
      <c r="L186" s="15">
        <f t="shared" si="53"/>
        <v>0.83333333333333304</v>
      </c>
      <c r="P186" s="91"/>
      <c r="Q186" s="69">
        <v>183</v>
      </c>
      <c r="R186" s="70">
        <f t="shared" si="52"/>
        <v>0.58437499999999898</v>
      </c>
      <c r="S186" s="392">
        <f t="shared" si="51"/>
        <v>0.55659722222222097</v>
      </c>
      <c r="T186" s="640"/>
    </row>
    <row r="187" spans="1:20" ht="15" customHeight="1" thickBot="1" x14ac:dyDescent="0.3">
      <c r="A187" s="395" t="s">
        <v>255</v>
      </c>
      <c r="B187" s="396"/>
      <c r="C187" s="396"/>
      <c r="D187" s="397"/>
      <c r="E187" s="308">
        <f>E183+E184+E185+E186</f>
        <v>0</v>
      </c>
      <c r="K187" s="4">
        <v>2350</v>
      </c>
      <c r="L187" s="15">
        <f t="shared" si="53"/>
        <v>0.83680555555555503</v>
      </c>
      <c r="P187" s="91"/>
      <c r="Q187" s="69">
        <v>184</v>
      </c>
      <c r="R187" s="70">
        <f t="shared" si="52"/>
        <v>0.58749999999999902</v>
      </c>
      <c r="S187" s="392">
        <f t="shared" ref="S187:S203" si="54">S186+$T$64</f>
        <v>0.55972222222222101</v>
      </c>
      <c r="T187" s="640"/>
    </row>
    <row r="188" spans="1:20" ht="14.65" customHeight="1" x14ac:dyDescent="0.25">
      <c r="A188" s="237" t="s">
        <v>256</v>
      </c>
      <c r="B188" s="47"/>
      <c r="C188" s="47"/>
      <c r="D188" s="47"/>
      <c r="E188" s="238">
        <f>B213</f>
        <v>0</v>
      </c>
      <c r="K188" s="4">
        <v>2360</v>
      </c>
      <c r="L188" s="15">
        <f t="shared" si="53"/>
        <v>0.84027777777777701</v>
      </c>
      <c r="P188" s="91"/>
      <c r="Q188" s="69">
        <v>185</v>
      </c>
      <c r="R188" s="70">
        <f t="shared" si="52"/>
        <v>0.59062499999999896</v>
      </c>
      <c r="S188" s="392">
        <f t="shared" si="54"/>
        <v>0.56284722222222106</v>
      </c>
      <c r="T188" s="640"/>
    </row>
    <row r="189" spans="1:20" ht="15" customHeight="1" thickBot="1" x14ac:dyDescent="0.3">
      <c r="A189" s="395" t="s">
        <v>257</v>
      </c>
      <c r="B189" s="396"/>
      <c r="C189" s="396"/>
      <c r="D189" s="397"/>
      <c r="E189" s="239" t="e">
        <f>(E178+E179+E183+E184+E185+E186)-E188</f>
        <v>#DIV/0!</v>
      </c>
      <c r="K189" s="4">
        <v>2370</v>
      </c>
      <c r="L189" s="15">
        <f t="shared" si="53"/>
        <v>0.843749999999999</v>
      </c>
      <c r="P189" s="91"/>
      <c r="Q189" s="69">
        <v>186</v>
      </c>
      <c r="R189" s="70">
        <f t="shared" si="52"/>
        <v>0.593749999999999</v>
      </c>
      <c r="S189" s="392">
        <f t="shared" si="54"/>
        <v>0.56597222222222099</v>
      </c>
      <c r="T189" s="640"/>
    </row>
    <row r="190" spans="1:20" ht="15" customHeight="1" thickBot="1" x14ac:dyDescent="0.3">
      <c r="K190" s="4">
        <v>2380</v>
      </c>
      <c r="L190" s="15">
        <f t="shared" si="53"/>
        <v>0.84722222222222199</v>
      </c>
      <c r="P190" s="91"/>
      <c r="Q190" s="69">
        <v>187</v>
      </c>
      <c r="R190" s="70">
        <f t="shared" si="52"/>
        <v>0.59687499999999905</v>
      </c>
      <c r="S190" s="392">
        <f t="shared" si="54"/>
        <v>0.56909722222222103</v>
      </c>
      <c r="T190" s="640"/>
    </row>
    <row r="191" spans="1:20" ht="15" customHeight="1" thickBot="1" x14ac:dyDescent="0.3">
      <c r="F191" s="631" t="s">
        <v>258</v>
      </c>
      <c r="G191" s="621"/>
      <c r="H191" s="633">
        <f>B200</f>
        <v>0</v>
      </c>
      <c r="I191" s="621"/>
      <c r="K191" s="4">
        <v>2390</v>
      </c>
      <c r="L191" s="15">
        <f t="shared" si="53"/>
        <v>0.85069444444444398</v>
      </c>
      <c r="P191" s="91"/>
      <c r="Q191" s="69">
        <v>188</v>
      </c>
      <c r="R191" s="70">
        <f t="shared" si="52"/>
        <v>0.59999999999999898</v>
      </c>
      <c r="S191" s="392">
        <f t="shared" si="54"/>
        <v>0.57222222222222097</v>
      </c>
      <c r="T191" s="640"/>
    </row>
    <row r="192" spans="1:20" ht="15" customHeight="1" thickBot="1" x14ac:dyDescent="0.3">
      <c r="A192" s="30"/>
      <c r="B192" s="30"/>
      <c r="C192" s="47"/>
      <c r="F192" s="119" t="s">
        <v>259</v>
      </c>
      <c r="G192" s="128" t="s">
        <v>260</v>
      </c>
      <c r="H192" s="128" t="s">
        <v>236</v>
      </c>
      <c r="I192" s="128" t="s">
        <v>257</v>
      </c>
      <c r="K192" s="4">
        <v>2400</v>
      </c>
      <c r="L192" s="15">
        <f t="shared" si="53"/>
        <v>0.85416666666666596</v>
      </c>
      <c r="P192" s="91"/>
      <c r="Q192" s="69">
        <v>189</v>
      </c>
      <c r="R192" s="70">
        <f t="shared" si="52"/>
        <v>0.60312499999999902</v>
      </c>
      <c r="S192" s="392">
        <f t="shared" si="54"/>
        <v>0.57534722222222101</v>
      </c>
      <c r="T192" s="640"/>
    </row>
    <row r="193" spans="1:20" ht="14.65" customHeight="1" x14ac:dyDescent="0.25">
      <c r="A193" s="49" t="s">
        <v>261</v>
      </c>
      <c r="B193" s="4"/>
      <c r="C193" s="47"/>
      <c r="F193" s="136" t="s">
        <v>262</v>
      </c>
      <c r="G193" s="129">
        <f>C178</f>
        <v>0</v>
      </c>
      <c r="H193" s="146" t="e">
        <f>I193/G193</f>
        <v>#DIV/0!</v>
      </c>
      <c r="I193" s="147" t="e">
        <f>D157+D158</f>
        <v>#DIV/0!</v>
      </c>
      <c r="K193" s="4">
        <v>2410</v>
      </c>
      <c r="L193" s="15">
        <f t="shared" si="53"/>
        <v>0.85763888888888795</v>
      </c>
      <c r="P193" s="91"/>
      <c r="Q193" s="69">
        <v>190</v>
      </c>
      <c r="R193" s="70">
        <f t="shared" si="52"/>
        <v>0.60624999999999896</v>
      </c>
      <c r="S193" s="392">
        <f t="shared" si="54"/>
        <v>0.57847222222222106</v>
      </c>
      <c r="T193" s="640"/>
    </row>
    <row r="194" spans="1:20" ht="14.65" customHeight="1" x14ac:dyDescent="0.25">
      <c r="A194" s="4" t="s">
        <v>263</v>
      </c>
      <c r="B194" s="162">
        <v>130</v>
      </c>
      <c r="C194" s="47"/>
      <c r="F194" s="137" t="str">
        <f>A183</f>
        <v>Programming</v>
      </c>
      <c r="G194" s="130">
        <f>C183</f>
        <v>0</v>
      </c>
      <c r="H194" s="148">
        <f>D183</f>
        <v>0</v>
      </c>
      <c r="I194" s="148">
        <f>G194*D183</f>
        <v>0</v>
      </c>
      <c r="K194" s="4">
        <v>2420</v>
      </c>
      <c r="L194" s="15">
        <f t="shared" si="53"/>
        <v>0.86111111111111005</v>
      </c>
      <c r="P194" s="91"/>
      <c r="Q194" s="69">
        <v>191</v>
      </c>
      <c r="R194" s="70">
        <f t="shared" si="52"/>
        <v>0.609374999999999</v>
      </c>
      <c r="S194" s="392">
        <f t="shared" si="54"/>
        <v>0.58159722222222099</v>
      </c>
      <c r="T194" s="640"/>
    </row>
    <row r="195" spans="1:20" ht="14.65" customHeight="1" x14ac:dyDescent="0.25">
      <c r="A195" s="4" t="s">
        <v>264</v>
      </c>
      <c r="B195" s="162">
        <v>165</v>
      </c>
      <c r="C195" s="47"/>
      <c r="F195" s="137" t="str">
        <f>A184</f>
        <v>Stencil for Assembly</v>
      </c>
      <c r="G195" s="130">
        <f>C184</f>
        <v>0</v>
      </c>
      <c r="H195" s="148">
        <f>B198</f>
        <v>0</v>
      </c>
      <c r="I195" s="148">
        <f>G195*H195</f>
        <v>0</v>
      </c>
      <c r="K195" s="4">
        <v>2430</v>
      </c>
      <c r="L195" s="15">
        <f t="shared" si="53"/>
        <v>0.86458333333333304</v>
      </c>
      <c r="P195" s="91"/>
      <c r="Q195" s="69">
        <v>192</v>
      </c>
      <c r="R195" s="70">
        <f t="shared" si="52"/>
        <v>0.61249999999999905</v>
      </c>
      <c r="S195" s="392">
        <f t="shared" si="54"/>
        <v>0.58472222222222103</v>
      </c>
      <c r="T195" s="640"/>
    </row>
    <row r="196" spans="1:20" ht="15" customHeight="1" thickBot="1" x14ac:dyDescent="0.3">
      <c r="A196" s="4" t="s">
        <v>5</v>
      </c>
      <c r="B196" s="162"/>
      <c r="C196" s="47"/>
      <c r="F196" s="138" t="s">
        <v>265</v>
      </c>
      <c r="G196" s="130">
        <f>G193</f>
        <v>0</v>
      </c>
      <c r="H196" s="148" t="e">
        <f>I196/G196</f>
        <v>#DIV/0!</v>
      </c>
      <c r="I196" s="149" t="e">
        <f>SUM(I193:I195)</f>
        <v>#DIV/0!</v>
      </c>
      <c r="K196" s="4">
        <v>2440</v>
      </c>
      <c r="L196" s="15">
        <f t="shared" si="53"/>
        <v>0.86805555555555503</v>
      </c>
      <c r="P196" s="91"/>
      <c r="Q196" s="69">
        <v>193</v>
      </c>
      <c r="R196" s="70">
        <f t="shared" si="52"/>
        <v>0.61562499999999898</v>
      </c>
      <c r="S196" s="392">
        <f t="shared" si="54"/>
        <v>0.58784722222222097</v>
      </c>
      <c r="T196" s="640"/>
    </row>
    <row r="197" spans="1:20" ht="14.65" customHeight="1" x14ac:dyDescent="0.25">
      <c r="A197" s="4" t="s">
        <v>266</v>
      </c>
      <c r="B197" s="356">
        <v>1</v>
      </c>
      <c r="C197" s="47"/>
      <c r="F197" s="138" t="s">
        <v>267</v>
      </c>
      <c r="G197" s="130">
        <f>G193</f>
        <v>0</v>
      </c>
      <c r="H197" s="156" t="e">
        <f>I197/G197</f>
        <v>#DIV/0!</v>
      </c>
      <c r="I197" s="150" t="e">
        <f>I193</f>
        <v>#DIV/0!</v>
      </c>
      <c r="K197" s="4">
        <v>2450</v>
      </c>
      <c r="L197" s="15">
        <f t="shared" si="53"/>
        <v>0.87152777777777701</v>
      </c>
      <c r="P197" s="91"/>
      <c r="Q197" s="69">
        <v>194</v>
      </c>
      <c r="R197" s="70">
        <f t="shared" ref="R197:R203" si="55">$R$4+S197</f>
        <v>0.61874999999999902</v>
      </c>
      <c r="S197" s="392">
        <f t="shared" si="54"/>
        <v>0.59097222222222101</v>
      </c>
      <c r="T197" s="640"/>
    </row>
    <row r="198" spans="1:20" ht="15" customHeight="1" thickBot="1" x14ac:dyDescent="0.3">
      <c r="A198" s="4" t="s">
        <v>238</v>
      </c>
      <c r="B198" s="468"/>
      <c r="C198" s="47"/>
      <c r="F198" s="139"/>
      <c r="G198" s="131"/>
      <c r="H198" s="151"/>
      <c r="I198" s="152"/>
      <c r="K198" s="4">
        <v>2460</v>
      </c>
      <c r="L198" s="15">
        <f t="shared" si="53"/>
        <v>0.874999999999999</v>
      </c>
      <c r="P198" s="91"/>
      <c r="Q198" s="69">
        <v>195</v>
      </c>
      <c r="R198" s="70">
        <f t="shared" si="55"/>
        <v>0.62187499999999896</v>
      </c>
      <c r="S198" s="392">
        <f t="shared" si="54"/>
        <v>0.59409722222222106</v>
      </c>
      <c r="T198" s="640"/>
    </row>
    <row r="199" spans="1:20" ht="15" customHeight="1" thickBot="1" x14ac:dyDescent="0.3">
      <c r="A199" s="4" t="s">
        <v>268</v>
      </c>
      <c r="B199" s="467">
        <v>1</v>
      </c>
      <c r="C199" s="47"/>
      <c r="F199" s="127" t="s">
        <v>269</v>
      </c>
      <c r="G199" s="128" t="s">
        <v>260</v>
      </c>
      <c r="H199" s="153" t="s">
        <v>236</v>
      </c>
      <c r="I199" s="153" t="s">
        <v>257</v>
      </c>
      <c r="K199" s="14"/>
      <c r="P199" s="91"/>
      <c r="Q199" s="69">
        <v>196</v>
      </c>
      <c r="R199" s="70">
        <f t="shared" si="55"/>
        <v>0.624999999999999</v>
      </c>
      <c r="S199" s="392">
        <f t="shared" si="54"/>
        <v>0.59722222222222099</v>
      </c>
      <c r="T199" s="640"/>
    </row>
    <row r="200" spans="1:20" ht="14.65" customHeight="1" x14ac:dyDescent="0.25">
      <c r="A200" s="4" t="s">
        <v>270</v>
      </c>
      <c r="B200" s="115"/>
      <c r="C200" s="47"/>
      <c r="F200" s="140" t="s">
        <v>271</v>
      </c>
      <c r="G200" s="130">
        <f>G193</f>
        <v>0</v>
      </c>
      <c r="H200" s="148" t="e">
        <f>I200/G200</f>
        <v>#DIV/0!</v>
      </c>
      <c r="I200" s="154">
        <f>B204</f>
        <v>0</v>
      </c>
      <c r="K200" s="4">
        <v>2480</v>
      </c>
      <c r="L200" s="15">
        <f t="shared" ref="L200:L263" si="56">$L$6+(((K200-$K$6)/10)*$M$2)</f>
        <v>0.88194444444444398</v>
      </c>
      <c r="P200" s="91"/>
      <c r="Q200" s="69">
        <v>197</v>
      </c>
      <c r="R200" s="70">
        <f t="shared" si="55"/>
        <v>0.62812499999999905</v>
      </c>
      <c r="S200" s="392">
        <f t="shared" si="54"/>
        <v>0.60034722222222103</v>
      </c>
      <c r="T200" s="640"/>
    </row>
    <row r="201" spans="1:20" ht="15" customHeight="1" thickBot="1" x14ac:dyDescent="0.3">
      <c r="A201" s="376"/>
      <c r="B201" s="376"/>
      <c r="C201" s="3" t="s">
        <v>271</v>
      </c>
      <c r="D201" s="115"/>
      <c r="F201" s="137" t="s">
        <v>272</v>
      </c>
      <c r="G201" s="130">
        <v>1</v>
      </c>
      <c r="H201" s="148">
        <f>I201/G201</f>
        <v>0</v>
      </c>
      <c r="I201" s="148">
        <f>D174</f>
        <v>0</v>
      </c>
      <c r="K201" s="4">
        <v>2490</v>
      </c>
      <c r="L201" s="15">
        <f t="shared" si="56"/>
        <v>0.88541666666666596</v>
      </c>
      <c r="P201" s="91"/>
      <c r="Q201" s="69">
        <v>198</v>
      </c>
      <c r="R201" s="70">
        <f t="shared" si="55"/>
        <v>0.63124999999999898</v>
      </c>
      <c r="S201" s="392">
        <f t="shared" si="54"/>
        <v>0.60347222222222097</v>
      </c>
      <c r="T201" s="640"/>
    </row>
    <row r="202" spans="1:20" ht="14.65" customHeight="1" x14ac:dyDescent="0.25">
      <c r="A202" s="175" t="s">
        <v>273</v>
      </c>
      <c r="B202" s="378">
        <f>IF(B204&gt;0,1,0)</f>
        <v>0</v>
      </c>
      <c r="C202" s="374" t="s">
        <v>274</v>
      </c>
      <c r="D202" s="357">
        <f>final!F17</f>
        <v>0.25</v>
      </c>
      <c r="F202" s="141" t="s">
        <v>275</v>
      </c>
      <c r="G202" s="130">
        <v>1</v>
      </c>
      <c r="H202" s="148">
        <f>I202/G202</f>
        <v>0</v>
      </c>
      <c r="I202" s="155">
        <f>B203</f>
        <v>0</v>
      </c>
      <c r="K202" s="4">
        <v>2500</v>
      </c>
      <c r="L202" s="15">
        <f t="shared" si="56"/>
        <v>0.88888888888888795</v>
      </c>
      <c r="P202" s="91"/>
      <c r="Q202" s="69">
        <v>199</v>
      </c>
      <c r="R202" s="70">
        <f t="shared" si="55"/>
        <v>0.63437499999999902</v>
      </c>
      <c r="S202" s="392">
        <f t="shared" si="54"/>
        <v>0.60659722222222101</v>
      </c>
      <c r="T202" s="640"/>
    </row>
    <row r="203" spans="1:20" ht="15" customHeight="1" thickBot="1" x14ac:dyDescent="0.3">
      <c r="A203" s="5" t="s">
        <v>276</v>
      </c>
      <c r="B203" s="353">
        <f>B202*100</f>
        <v>0</v>
      </c>
      <c r="C203" s="375" t="s">
        <v>277</v>
      </c>
      <c r="D203" s="4">
        <f>D202*D201</f>
        <v>0</v>
      </c>
      <c r="F203" s="138" t="s">
        <v>265</v>
      </c>
      <c r="G203" s="130">
        <f>G200</f>
        <v>0</v>
      </c>
      <c r="H203" s="148" t="e">
        <f>I203/G203</f>
        <v>#DIV/0!</v>
      </c>
      <c r="I203" s="156">
        <f>SUM(I200:I202)</f>
        <v>0</v>
      </c>
      <c r="K203" s="4">
        <v>2510</v>
      </c>
      <c r="L203" s="15">
        <f t="shared" si="56"/>
        <v>0.89236111111111005</v>
      </c>
      <c r="P203" s="91"/>
      <c r="Q203" s="69">
        <v>200</v>
      </c>
      <c r="R203" s="70">
        <f t="shared" si="55"/>
        <v>0.63749999999999896</v>
      </c>
      <c r="S203" s="392">
        <f t="shared" si="54"/>
        <v>0.60972222222222106</v>
      </c>
      <c r="T203" s="641"/>
    </row>
    <row r="204" spans="1:20" ht="15" customHeight="1" thickBot="1" x14ac:dyDescent="0.3">
      <c r="A204" s="10" t="s">
        <v>278</v>
      </c>
      <c r="B204" s="379">
        <f>D204</f>
        <v>0</v>
      </c>
      <c r="C204" s="375" t="s">
        <v>279</v>
      </c>
      <c r="D204" s="4">
        <f>D203+D201</f>
        <v>0</v>
      </c>
      <c r="F204" s="141" t="s">
        <v>280</v>
      </c>
      <c r="G204" s="132">
        <f>G203</f>
        <v>0</v>
      </c>
      <c r="H204" s="179" t="e">
        <f>I204/G204</f>
        <v>#DIV/0!</v>
      </c>
      <c r="I204" s="155">
        <f>I200+I202</f>
        <v>0</v>
      </c>
      <c r="K204" s="4">
        <v>2520</v>
      </c>
      <c r="L204" s="15">
        <f t="shared" si="56"/>
        <v>0.89583333333333304</v>
      </c>
    </row>
    <row r="205" spans="1:20" ht="15" customHeight="1" thickBot="1" x14ac:dyDescent="0.3">
      <c r="A205" s="1" t="s">
        <v>272</v>
      </c>
      <c r="B205" s="377"/>
      <c r="F205" s="142"/>
      <c r="G205" s="133"/>
      <c r="H205" s="157"/>
      <c r="I205" s="158"/>
      <c r="K205" s="4">
        <v>2530</v>
      </c>
      <c r="L205" s="15">
        <f t="shared" si="56"/>
        <v>0.89930555555555503</v>
      </c>
    </row>
    <row r="206" spans="1:20" ht="15" customHeight="1" thickBot="1" x14ac:dyDescent="0.3">
      <c r="A206" s="171"/>
      <c r="B206" s="171"/>
      <c r="C206" s="3" t="s">
        <v>285</v>
      </c>
      <c r="D206" s="115"/>
      <c r="F206" s="127" t="s">
        <v>281</v>
      </c>
      <c r="G206" s="128" t="s">
        <v>260</v>
      </c>
      <c r="H206" s="153" t="s">
        <v>236</v>
      </c>
      <c r="I206" s="153" t="s">
        <v>257</v>
      </c>
      <c r="K206" s="4">
        <v>2540</v>
      </c>
      <c r="L206" s="15">
        <f t="shared" si="56"/>
        <v>0.90277777777777701</v>
      </c>
    </row>
    <row r="207" spans="1:20" x14ac:dyDescent="0.25">
      <c r="A207" s="4" t="s">
        <v>282</v>
      </c>
      <c r="B207" s="356">
        <f>IF(B209&gt;0,1,0)</f>
        <v>0</v>
      </c>
      <c r="C207" t="s">
        <v>403</v>
      </c>
      <c r="D207">
        <v>200</v>
      </c>
      <c r="F207" s="140" t="s">
        <v>281</v>
      </c>
      <c r="G207" s="135">
        <v>1</v>
      </c>
      <c r="H207" s="147">
        <f>B209</f>
        <v>0</v>
      </c>
      <c r="I207" s="154">
        <f>B209</f>
        <v>0</v>
      </c>
      <c r="K207" s="4">
        <v>2550</v>
      </c>
      <c r="L207" s="15">
        <f t="shared" si="56"/>
        <v>0.906249999999999</v>
      </c>
    </row>
    <row r="208" spans="1:20" ht="15" customHeight="1" thickBot="1" x14ac:dyDescent="0.3">
      <c r="A208" s="4" t="s">
        <v>283</v>
      </c>
      <c r="B208" s="125">
        <f>(150+(3.5*E8))*B207</f>
        <v>0</v>
      </c>
      <c r="C208" s="488" t="s">
        <v>274</v>
      </c>
      <c r="D208" s="489">
        <f>final!$H$17</f>
        <v>0.25</v>
      </c>
      <c r="F208" s="141" t="s">
        <v>284</v>
      </c>
      <c r="G208" s="144">
        <v>1</v>
      </c>
      <c r="H208" s="159">
        <f>B208</f>
        <v>0</v>
      </c>
      <c r="I208" s="155">
        <f>B208</f>
        <v>0</v>
      </c>
      <c r="K208" s="4">
        <v>2560</v>
      </c>
      <c r="L208" s="15">
        <f t="shared" si="56"/>
        <v>0.90972222222222199</v>
      </c>
    </row>
    <row r="209" spans="1:12" ht="15" customHeight="1" thickBot="1" x14ac:dyDescent="0.3">
      <c r="A209" s="4" t="s">
        <v>285</v>
      </c>
      <c r="B209" s="485">
        <f>D210</f>
        <v>0</v>
      </c>
      <c r="C209" s="4" t="s">
        <v>277</v>
      </c>
      <c r="D209" s="4">
        <f>SUM(D206:D207)*D208</f>
        <v>50</v>
      </c>
      <c r="F209" s="126" t="s">
        <v>257</v>
      </c>
      <c r="G209" s="143">
        <f>E4</f>
        <v>0</v>
      </c>
      <c r="H209" s="160" t="e">
        <f>I209/G209</f>
        <v>#DIV/0!</v>
      </c>
      <c r="I209" s="160">
        <f>I207+I208</f>
        <v>0</v>
      </c>
      <c r="K209" s="4">
        <v>2570</v>
      </c>
      <c r="L209" s="15">
        <f t="shared" si="56"/>
        <v>0.91319444444444398</v>
      </c>
    </row>
    <row r="210" spans="1:12" ht="15" customHeight="1" thickBot="1" x14ac:dyDescent="0.3">
      <c r="A210" s="171"/>
      <c r="B210" s="171"/>
      <c r="C210" s="3" t="s">
        <v>257</v>
      </c>
      <c r="D210" s="4">
        <f>IF(D206&lt;1,0,SUM(D206,D207,D209))</f>
        <v>0</v>
      </c>
      <c r="F210" s="142"/>
      <c r="G210" s="134"/>
      <c r="H210" s="158"/>
      <c r="I210" s="158"/>
      <c r="K210" s="4">
        <v>2580</v>
      </c>
      <c r="L210" s="15">
        <f t="shared" si="56"/>
        <v>0.91666666666666596</v>
      </c>
    </row>
    <row r="211" spans="1:12" ht="15" customHeight="1" thickBot="1" x14ac:dyDescent="0.3">
      <c r="A211" s="4" t="s">
        <v>340</v>
      </c>
      <c r="B211" s="172"/>
      <c r="C211" s="47"/>
      <c r="F211" s="173" t="s">
        <v>286</v>
      </c>
      <c r="G211" s="124" t="s">
        <v>260</v>
      </c>
      <c r="H211" s="174" t="s">
        <v>236</v>
      </c>
      <c r="I211" s="174" t="s">
        <v>257</v>
      </c>
      <c r="K211" s="4">
        <v>2590</v>
      </c>
      <c r="L211" s="15">
        <f t="shared" si="56"/>
        <v>0.92013888888888795</v>
      </c>
    </row>
    <row r="212" spans="1:12" x14ac:dyDescent="0.25">
      <c r="A212" s="4" t="s">
        <v>287</v>
      </c>
      <c r="B212" s="162"/>
      <c r="C212" s="47"/>
      <c r="F212" s="175" t="s">
        <v>288</v>
      </c>
      <c r="G212" s="176">
        <f>E4</f>
        <v>0</v>
      </c>
      <c r="H212" s="180">
        <f>B211</f>
        <v>0</v>
      </c>
      <c r="I212" s="177">
        <f>H212*G212</f>
        <v>0</v>
      </c>
      <c r="K212" s="4">
        <v>2600</v>
      </c>
      <c r="L212" s="15">
        <f t="shared" si="56"/>
        <v>0.92361111111111005</v>
      </c>
    </row>
    <row r="213" spans="1:12" ht="15" customHeight="1" thickBot="1" x14ac:dyDescent="0.3">
      <c r="A213" t="s">
        <v>256</v>
      </c>
      <c r="B213" s="183"/>
      <c r="F213" s="278" t="s">
        <v>287</v>
      </c>
      <c r="G213" s="279">
        <f>IF(B212&gt;1,"1",0)</f>
        <v>0</v>
      </c>
      <c r="H213" s="280">
        <f>B212</f>
        <v>0</v>
      </c>
      <c r="I213" s="342">
        <f>G213*H213</f>
        <v>0</v>
      </c>
      <c r="K213" s="4">
        <v>2610</v>
      </c>
      <c r="L213" s="15">
        <f t="shared" si="56"/>
        <v>0.92708333333333304</v>
      </c>
    </row>
    <row r="214" spans="1:12" ht="15" customHeight="1" thickBot="1" x14ac:dyDescent="0.3">
      <c r="A214" s="30"/>
      <c r="B214" s="30"/>
      <c r="F214" s="127" t="s">
        <v>257</v>
      </c>
      <c r="G214" s="143"/>
      <c r="H214" s="160"/>
      <c r="I214" s="281">
        <f>I212+I213</f>
        <v>0</v>
      </c>
      <c r="K214" s="4">
        <v>2620</v>
      </c>
      <c r="L214" s="15">
        <f t="shared" si="56"/>
        <v>0.93055555555555503</v>
      </c>
    </row>
    <row r="215" spans="1:12" x14ac:dyDescent="0.25">
      <c r="A215" s="175" t="s">
        <v>289</v>
      </c>
      <c r="B215" s="48" t="str">
        <f>IF(AND(B209=0,D201=0),B216,IF(AND(B209&gt;0,D201&gt;0),B217,B218))</f>
        <v>Assembly only</v>
      </c>
      <c r="F215" s="145" t="s">
        <v>265</v>
      </c>
      <c r="G215" s="129">
        <f>G207</f>
        <v>1</v>
      </c>
      <c r="H215" s="146" t="e">
        <f>I215/G215</f>
        <v>#DIV/0!</v>
      </c>
      <c r="I215" s="146" t="e">
        <f>I196+I203+I209+I214</f>
        <v>#DIV/0!</v>
      </c>
      <c r="K215" s="4">
        <v>2630</v>
      </c>
      <c r="L215" s="15">
        <f t="shared" si="56"/>
        <v>0.93402777777777701</v>
      </c>
    </row>
    <row r="216" spans="1:12" ht="15" customHeight="1" thickBot="1" x14ac:dyDescent="0.3">
      <c r="A216" s="5" t="s">
        <v>291</v>
      </c>
      <c r="B216" s="6" t="s">
        <v>292</v>
      </c>
      <c r="C216" t="s">
        <v>302</v>
      </c>
      <c r="F216" s="181" t="s">
        <v>293</v>
      </c>
      <c r="G216" s="144">
        <f>G215</f>
        <v>1</v>
      </c>
      <c r="H216" s="159" t="e">
        <f>I216/G216</f>
        <v>#DIV/0!</v>
      </c>
      <c r="I216" s="182" t="e">
        <f>I197+I204+I209+I212</f>
        <v>#DIV/0!</v>
      </c>
      <c r="K216" s="4">
        <v>2640</v>
      </c>
      <c r="L216" s="15">
        <f t="shared" si="56"/>
        <v>0.937499999999999</v>
      </c>
    </row>
    <row r="217" spans="1:12" ht="15" customHeight="1" thickBot="1" x14ac:dyDescent="0.3">
      <c r="A217" s="5" t="s">
        <v>294</v>
      </c>
      <c r="B217" s="6" t="s">
        <v>290</v>
      </c>
      <c r="C217" t="s">
        <v>303</v>
      </c>
      <c r="F217" s="282" t="s">
        <v>236</v>
      </c>
      <c r="G217" s="321">
        <f>G212</f>
        <v>0</v>
      </c>
      <c r="H217" s="283" t="e">
        <f>H193+H204+H209+H212</f>
        <v>#DIV/0!</v>
      </c>
      <c r="I217" s="284" t="e">
        <f>H217*G217</f>
        <v>#DIV/0!</v>
      </c>
      <c r="K217" s="4">
        <v>2650</v>
      </c>
      <c r="L217" s="15">
        <f t="shared" si="56"/>
        <v>0.94097222222222199</v>
      </c>
    </row>
    <row r="218" spans="1:12" ht="15" customHeight="1" thickBot="1" x14ac:dyDescent="0.3">
      <c r="A218" s="10" t="s">
        <v>295</v>
      </c>
      <c r="B218" s="22" t="s">
        <v>295</v>
      </c>
      <c r="C218" t="s">
        <v>303</v>
      </c>
      <c r="F218" s="285"/>
      <c r="G218" s="285"/>
      <c r="H218" s="285"/>
      <c r="I218" s="285"/>
      <c r="K218" s="4">
        <v>2660</v>
      </c>
      <c r="L218" s="15">
        <f t="shared" si="56"/>
        <v>0.94444444444444398</v>
      </c>
    </row>
    <row r="219" spans="1:12" ht="15" customHeight="1" thickBot="1" x14ac:dyDescent="0.3">
      <c r="F219" s="286" t="s">
        <v>296</v>
      </c>
      <c r="G219" s="287">
        <f>I204+I209+I212+I213</f>
        <v>0</v>
      </c>
      <c r="H219" s="285"/>
      <c r="I219" s="285"/>
      <c r="K219" s="4">
        <v>2670</v>
      </c>
      <c r="L219" s="15">
        <f t="shared" si="56"/>
        <v>0.94791666666666596</v>
      </c>
    </row>
    <row r="220" spans="1:12" x14ac:dyDescent="0.25">
      <c r="C220" s="424"/>
      <c r="K220" s="4">
        <v>2680</v>
      </c>
      <c r="L220" s="15">
        <f t="shared" si="56"/>
        <v>0.95138888888888795</v>
      </c>
    </row>
    <row r="221" spans="1:12" x14ac:dyDescent="0.25">
      <c r="K221" s="4">
        <v>2690</v>
      </c>
      <c r="L221" s="15">
        <f t="shared" si="56"/>
        <v>0.95486111111111005</v>
      </c>
    </row>
    <row r="222" spans="1:12" x14ac:dyDescent="0.25">
      <c r="K222" s="4">
        <v>2700</v>
      </c>
      <c r="L222" s="15">
        <f t="shared" si="56"/>
        <v>0.95833333333333304</v>
      </c>
    </row>
    <row r="223" spans="1:12" x14ac:dyDescent="0.25">
      <c r="K223" s="4">
        <v>2710</v>
      </c>
      <c r="L223" s="15">
        <f t="shared" si="56"/>
        <v>0.96180555555555503</v>
      </c>
    </row>
    <row r="224" spans="1:12" x14ac:dyDescent="0.25">
      <c r="K224" s="4">
        <v>2720</v>
      </c>
      <c r="L224" s="15">
        <f t="shared" si="56"/>
        <v>0.96527777777777701</v>
      </c>
    </row>
    <row r="225" spans="1:12" x14ac:dyDescent="0.25">
      <c r="K225" s="4">
        <v>2730</v>
      </c>
      <c r="L225" s="15">
        <f t="shared" si="56"/>
        <v>0.968749999999999</v>
      </c>
    </row>
    <row r="226" spans="1:12" x14ac:dyDescent="0.25">
      <c r="K226" s="4">
        <v>2740</v>
      </c>
      <c r="L226" s="15">
        <f t="shared" si="56"/>
        <v>0.97222222222222199</v>
      </c>
    </row>
    <row r="227" spans="1:12" x14ac:dyDescent="0.25">
      <c r="K227" s="4">
        <v>2750</v>
      </c>
      <c r="L227" s="15">
        <f t="shared" si="56"/>
        <v>0.97569444444444398</v>
      </c>
    </row>
    <row r="228" spans="1:12" x14ac:dyDescent="0.25">
      <c r="K228" s="4">
        <v>2760</v>
      </c>
      <c r="L228" s="15">
        <f t="shared" si="56"/>
        <v>0.97916666666666596</v>
      </c>
    </row>
    <row r="229" spans="1:12" x14ac:dyDescent="0.25">
      <c r="K229" s="4">
        <v>2770</v>
      </c>
      <c r="L229" s="15">
        <f t="shared" si="56"/>
        <v>0.98263888888888795</v>
      </c>
    </row>
    <row r="230" spans="1:12" x14ac:dyDescent="0.25">
      <c r="A230" s="47"/>
      <c r="B230" s="47"/>
      <c r="C230" s="4" t="s">
        <v>383</v>
      </c>
      <c r="D230" s="3" t="s">
        <v>364</v>
      </c>
      <c r="E230" s="222"/>
      <c r="F230" s="222" t="s">
        <v>365</v>
      </c>
      <c r="G230" s="222"/>
      <c r="H230" s="47"/>
      <c r="K230" s="4">
        <v>2780</v>
      </c>
      <c r="L230" s="15">
        <f t="shared" si="56"/>
        <v>0.98611111111111005</v>
      </c>
    </row>
    <row r="231" spans="1:12" x14ac:dyDescent="0.25">
      <c r="A231" s="3" t="s">
        <v>366</v>
      </c>
      <c r="B231" s="3" t="s">
        <v>381</v>
      </c>
      <c r="C231" s="481">
        <v>1.5</v>
      </c>
      <c r="D231" s="3">
        <f>C231*60</f>
        <v>90</v>
      </c>
      <c r="E231" s="3">
        <f>D231/60</f>
        <v>1.5</v>
      </c>
      <c r="F231" s="474">
        <v>40</v>
      </c>
      <c r="G231" s="125">
        <f>F231*E231</f>
        <v>60</v>
      </c>
      <c r="H231" s="3" t="s">
        <v>367</v>
      </c>
      <c r="K231" s="4">
        <v>2790</v>
      </c>
      <c r="L231" s="15">
        <f t="shared" si="56"/>
        <v>0.98958333333333304</v>
      </c>
    </row>
    <row r="232" spans="1:12" x14ac:dyDescent="0.25">
      <c r="A232" s="3" t="s">
        <v>368</v>
      </c>
      <c r="B232" s="3" t="s">
        <v>369</v>
      </c>
      <c r="C232" s="4">
        <f>E8*3</f>
        <v>0</v>
      </c>
      <c r="D232" s="3">
        <f>C232</f>
        <v>0</v>
      </c>
      <c r="E232" s="3">
        <f t="shared" ref="E232:E237" si="57">D232/60</f>
        <v>0</v>
      </c>
      <c r="F232" s="475">
        <v>60</v>
      </c>
      <c r="G232" s="125">
        <f t="shared" ref="G232:G237" si="58">F232*E232</f>
        <v>0</v>
      </c>
      <c r="H232" s="3" t="s">
        <v>367</v>
      </c>
      <c r="K232" s="4">
        <v>2800</v>
      </c>
      <c r="L232" s="15">
        <f t="shared" si="56"/>
        <v>0.99305555555555503</v>
      </c>
    </row>
    <row r="233" spans="1:12" x14ac:dyDescent="0.25">
      <c r="A233" s="476" t="s">
        <v>372</v>
      </c>
      <c r="B233" s="3" t="s">
        <v>368</v>
      </c>
      <c r="C233" s="391">
        <f>B10*24</f>
        <v>0</v>
      </c>
      <c r="D233" s="3">
        <f>C233*60</f>
        <v>0</v>
      </c>
      <c r="E233" s="3">
        <f>D233/60</f>
        <v>0</v>
      </c>
      <c r="F233" s="474">
        <v>63</v>
      </c>
      <c r="G233" s="125">
        <f t="shared" si="58"/>
        <v>0</v>
      </c>
      <c r="H233" s="3" t="s">
        <v>373</v>
      </c>
      <c r="K233" s="4">
        <v>2810</v>
      </c>
      <c r="L233" s="15">
        <f t="shared" si="56"/>
        <v>0.99652777777777701</v>
      </c>
    </row>
    <row r="234" spans="1:12" x14ac:dyDescent="0.25">
      <c r="A234" s="476" t="s">
        <v>14</v>
      </c>
      <c r="B234" s="3" t="s">
        <v>370</v>
      </c>
      <c r="C234" s="380">
        <f>B26*24</f>
        <v>0.75</v>
      </c>
      <c r="D234" s="482">
        <f>C234*60</f>
        <v>45</v>
      </c>
      <c r="E234" s="3">
        <f t="shared" si="57"/>
        <v>0.75</v>
      </c>
      <c r="F234" s="474">
        <v>35</v>
      </c>
      <c r="G234" s="125">
        <f t="shared" si="58"/>
        <v>26.25</v>
      </c>
      <c r="H234" s="3" t="s">
        <v>373</v>
      </c>
      <c r="K234" s="4">
        <v>2820</v>
      </c>
      <c r="L234" s="15">
        <f t="shared" si="56"/>
        <v>0.999999999999999</v>
      </c>
    </row>
    <row r="235" spans="1:12" x14ac:dyDescent="0.25">
      <c r="A235" s="476" t="s">
        <v>219</v>
      </c>
      <c r="B235" s="3" t="s">
        <v>374</v>
      </c>
      <c r="C235" s="394">
        <f>C89</f>
        <v>0.33</v>
      </c>
      <c r="D235" s="482">
        <f>C235*60</f>
        <v>19.8</v>
      </c>
      <c r="E235" s="3">
        <f t="shared" si="57"/>
        <v>0.33</v>
      </c>
      <c r="F235" s="475">
        <v>45</v>
      </c>
      <c r="G235" s="125">
        <f t="shared" si="58"/>
        <v>14.85</v>
      </c>
      <c r="H235" s="3" t="s">
        <v>373</v>
      </c>
      <c r="K235" s="4">
        <v>2830</v>
      </c>
      <c r="L235" s="15">
        <f t="shared" si="56"/>
        <v>1.0034722222222201</v>
      </c>
    </row>
    <row r="236" spans="1:12" x14ac:dyDescent="0.25">
      <c r="A236" s="476" t="s">
        <v>375</v>
      </c>
      <c r="B236" s="3" t="s">
        <v>376</v>
      </c>
      <c r="C236" s="394" t="e">
        <f>C102+C137</f>
        <v>#DIV/0!</v>
      </c>
      <c r="D236" s="482" t="e">
        <f>C236*60</f>
        <v>#DIV/0!</v>
      </c>
      <c r="E236" s="3" t="e">
        <f t="shared" si="57"/>
        <v>#DIV/0!</v>
      </c>
      <c r="F236" s="474">
        <v>35</v>
      </c>
      <c r="G236" s="125" t="e">
        <f t="shared" si="58"/>
        <v>#DIV/0!</v>
      </c>
      <c r="H236" s="3" t="s">
        <v>371</v>
      </c>
      <c r="K236" s="4">
        <v>2840</v>
      </c>
      <c r="L236" s="15">
        <f t="shared" si="56"/>
        <v>1.00694444444444</v>
      </c>
    </row>
    <row r="237" spans="1:12" x14ac:dyDescent="0.25">
      <c r="A237" s="476" t="s">
        <v>382</v>
      </c>
      <c r="B237" s="3" t="s">
        <v>370</v>
      </c>
      <c r="C237" s="483">
        <f>C146+C128+C110</f>
        <v>0.66</v>
      </c>
      <c r="D237" s="482">
        <f>C237*60</f>
        <v>39.6</v>
      </c>
      <c r="E237" s="3">
        <f t="shared" si="57"/>
        <v>0.66</v>
      </c>
      <c r="F237" s="474">
        <v>35</v>
      </c>
      <c r="G237" s="125">
        <f t="shared" si="58"/>
        <v>23.1</v>
      </c>
      <c r="H237" s="3" t="s">
        <v>371</v>
      </c>
      <c r="K237" s="4">
        <v>2850</v>
      </c>
      <c r="L237" s="15">
        <f t="shared" si="56"/>
        <v>1.0104166666666701</v>
      </c>
    </row>
    <row r="238" spans="1:12" x14ac:dyDescent="0.25">
      <c r="A238" s="3" t="s">
        <v>257</v>
      </c>
      <c r="B238" s="3"/>
      <c r="C238" s="49" t="e">
        <f>SUM(C231:C237)</f>
        <v>#DIV/0!</v>
      </c>
      <c r="D238" s="421" t="e">
        <f>SUM(D231:D237)</f>
        <v>#DIV/0!</v>
      </c>
      <c r="E238" s="3"/>
      <c r="F238" s="3"/>
      <c r="G238" s="477" t="e">
        <f>SUM(G231:G237)</f>
        <v>#DIV/0!</v>
      </c>
      <c r="H238" s="3"/>
      <c r="K238" s="4">
        <v>2860</v>
      </c>
      <c r="L238" s="15">
        <f t="shared" si="56"/>
        <v>1.0138888888888899</v>
      </c>
    </row>
    <row r="239" spans="1:12" x14ac:dyDescent="0.25">
      <c r="A239" s="47"/>
      <c r="B239" s="47"/>
      <c r="D239" s="105" t="e">
        <f>D238/60</f>
        <v>#DIV/0!</v>
      </c>
      <c r="E239" s="105" t="s">
        <v>377</v>
      </c>
      <c r="F239" s="478">
        <v>43</v>
      </c>
      <c r="G239" s="478" t="e">
        <f>D239*F239</f>
        <v>#DIV/0!</v>
      </c>
      <c r="H239" s="47"/>
      <c r="K239" s="4">
        <v>2870</v>
      </c>
      <c r="L239" s="15">
        <f t="shared" si="56"/>
        <v>1.0173611111111101</v>
      </c>
    </row>
    <row r="240" spans="1:12" x14ac:dyDescent="0.25">
      <c r="A240" s="47"/>
      <c r="D240" s="47"/>
      <c r="E240" s="47"/>
      <c r="F240" s="105" t="s">
        <v>378</v>
      </c>
      <c r="G240" s="479" t="e">
        <f>SUM(G238:G239)</f>
        <v>#DIV/0!</v>
      </c>
      <c r="H240" s="47"/>
      <c r="K240" s="4">
        <v>2880</v>
      </c>
      <c r="L240" s="15">
        <f t="shared" si="56"/>
        <v>1.0208333333333299</v>
      </c>
    </row>
    <row r="241" spans="4:12" x14ac:dyDescent="0.25">
      <c r="D241" s="47"/>
      <c r="E241" s="47"/>
      <c r="F241" s="115" t="s">
        <v>379</v>
      </c>
      <c r="G241" s="125" t="e">
        <f>D159</f>
        <v>#DIV/0!</v>
      </c>
      <c r="H241" s="47"/>
      <c r="K241" s="4">
        <v>2890</v>
      </c>
      <c r="L241" s="15">
        <f t="shared" si="56"/>
        <v>1.02430555555555</v>
      </c>
    </row>
    <row r="242" spans="4:12" x14ac:dyDescent="0.25">
      <c r="D242" s="47"/>
      <c r="E242" s="47"/>
      <c r="F242" s="3" t="s">
        <v>380</v>
      </c>
      <c r="G242" s="480" t="e">
        <f>(G241-G240)/G240</f>
        <v>#DIV/0!</v>
      </c>
      <c r="H242" s="47"/>
      <c r="K242" s="4">
        <v>2900</v>
      </c>
      <c r="L242" s="15">
        <f t="shared" si="56"/>
        <v>1.0277777777777799</v>
      </c>
    </row>
    <row r="243" spans="4:12" x14ac:dyDescent="0.25">
      <c r="F243" s="3" t="s">
        <v>384</v>
      </c>
      <c r="G243" s="484" t="e">
        <f>G241-G240</f>
        <v>#DIV/0!</v>
      </c>
      <c r="K243" s="4">
        <v>2910</v>
      </c>
      <c r="L243" s="15">
        <f t="shared" si="56"/>
        <v>1.03125</v>
      </c>
    </row>
    <row r="244" spans="4:12" x14ac:dyDescent="0.25">
      <c r="K244" s="4">
        <v>2920</v>
      </c>
      <c r="L244" s="15">
        <f t="shared" si="56"/>
        <v>1.0347222222222201</v>
      </c>
    </row>
    <row r="245" spans="4:12" x14ac:dyDescent="0.25">
      <c r="K245" s="4">
        <v>2930</v>
      </c>
      <c r="L245" s="15">
        <f t="shared" si="56"/>
        <v>1.03819444444444</v>
      </c>
    </row>
    <row r="246" spans="4:12" x14ac:dyDescent="0.25">
      <c r="K246" s="4">
        <v>2940</v>
      </c>
      <c r="L246" s="15">
        <f t="shared" si="56"/>
        <v>1.0416666666666701</v>
      </c>
    </row>
    <row r="247" spans="4:12" x14ac:dyDescent="0.25">
      <c r="K247" s="4">
        <v>2950</v>
      </c>
      <c r="L247" s="15">
        <f t="shared" si="56"/>
        <v>1.0451388888888899</v>
      </c>
    </row>
    <row r="248" spans="4:12" x14ac:dyDescent="0.25">
      <c r="K248" s="4">
        <v>2960</v>
      </c>
      <c r="L248" s="15">
        <f t="shared" si="56"/>
        <v>1.0486111111111101</v>
      </c>
    </row>
    <row r="249" spans="4:12" x14ac:dyDescent="0.25">
      <c r="K249" s="4">
        <v>2970</v>
      </c>
      <c r="L249" s="15">
        <f t="shared" si="56"/>
        <v>1.0520833333333299</v>
      </c>
    </row>
    <row r="250" spans="4:12" ht="15" customHeight="1" x14ac:dyDescent="0.25">
      <c r="K250" s="4">
        <v>2980</v>
      </c>
      <c r="L250" s="15">
        <f t="shared" si="56"/>
        <v>1.05555555555555</v>
      </c>
    </row>
    <row r="251" spans="4:12" ht="15" customHeight="1" x14ac:dyDescent="0.25">
      <c r="K251" s="4">
        <v>2990</v>
      </c>
      <c r="L251" s="15">
        <f t="shared" si="56"/>
        <v>1.0590277777777799</v>
      </c>
    </row>
    <row r="252" spans="4:12" x14ac:dyDescent="0.25">
      <c r="K252" s="4">
        <v>3000</v>
      </c>
      <c r="L252" s="15">
        <f t="shared" si="56"/>
        <v>1.0625</v>
      </c>
    </row>
    <row r="253" spans="4:12" x14ac:dyDescent="0.25">
      <c r="K253" s="4">
        <v>3010</v>
      </c>
      <c r="L253" s="15">
        <f t="shared" si="56"/>
        <v>1.0659722222222201</v>
      </c>
    </row>
    <row r="254" spans="4:12" x14ac:dyDescent="0.25">
      <c r="K254" s="4">
        <v>3020</v>
      </c>
      <c r="L254" s="15">
        <f t="shared" si="56"/>
        <v>1.06944444444444</v>
      </c>
    </row>
    <row r="255" spans="4:12" x14ac:dyDescent="0.25">
      <c r="K255" s="4">
        <v>3030</v>
      </c>
      <c r="L255" s="15">
        <f t="shared" si="56"/>
        <v>1.0729166666666701</v>
      </c>
    </row>
    <row r="256" spans="4:12" x14ac:dyDescent="0.25">
      <c r="K256" s="4">
        <v>3040</v>
      </c>
      <c r="L256" s="15">
        <f t="shared" si="56"/>
        <v>1.0763888888888899</v>
      </c>
    </row>
    <row r="257" spans="11:16" x14ac:dyDescent="0.25">
      <c r="K257" s="4">
        <v>3050</v>
      </c>
      <c r="L257" s="15">
        <f t="shared" si="56"/>
        <v>1.0798611111111101</v>
      </c>
    </row>
    <row r="258" spans="11:16" x14ac:dyDescent="0.25">
      <c r="K258" s="4">
        <v>3060</v>
      </c>
      <c r="L258" s="15">
        <f t="shared" si="56"/>
        <v>1.0833333333333299</v>
      </c>
    </row>
    <row r="259" spans="11:16" x14ac:dyDescent="0.25">
      <c r="K259" s="4">
        <v>3070</v>
      </c>
      <c r="L259" s="15">
        <f t="shared" si="56"/>
        <v>1.08680555555555</v>
      </c>
    </row>
    <row r="260" spans="11:16" x14ac:dyDescent="0.25">
      <c r="K260" s="4">
        <v>3080</v>
      </c>
      <c r="L260" s="15">
        <f t="shared" si="56"/>
        <v>1.0902777777777799</v>
      </c>
    </row>
    <row r="261" spans="11:16" x14ac:dyDescent="0.25">
      <c r="K261" s="4">
        <v>3090</v>
      </c>
      <c r="L261" s="15">
        <f t="shared" si="56"/>
        <v>1.09375</v>
      </c>
    </row>
    <row r="262" spans="11:16" x14ac:dyDescent="0.25">
      <c r="K262" s="4">
        <v>3100</v>
      </c>
      <c r="L262" s="15">
        <f t="shared" si="56"/>
        <v>1.0972222222222201</v>
      </c>
    </row>
    <row r="263" spans="11:16" x14ac:dyDescent="0.25">
      <c r="K263" s="4">
        <v>3110</v>
      </c>
      <c r="L263" s="15">
        <f t="shared" si="56"/>
        <v>1.10069444444444</v>
      </c>
    </row>
    <row r="264" spans="11:16" x14ac:dyDescent="0.25">
      <c r="K264" s="4">
        <v>3120</v>
      </c>
      <c r="L264" s="15">
        <f t="shared" ref="L264:L327" si="59">$L$6+(((K264-$K$6)/10)*$M$2)</f>
        <v>1.1041666666666701</v>
      </c>
    </row>
    <row r="265" spans="11:16" x14ac:dyDescent="0.25">
      <c r="K265" s="4">
        <v>3130</v>
      </c>
      <c r="L265" s="15">
        <f t="shared" si="59"/>
        <v>1.1076388888888899</v>
      </c>
      <c r="P265" s="14"/>
    </row>
    <row r="266" spans="11:16" x14ac:dyDescent="0.25">
      <c r="K266" s="4">
        <v>3140</v>
      </c>
      <c r="L266" s="15">
        <f t="shared" si="59"/>
        <v>1.1111111111111101</v>
      </c>
      <c r="P266" s="14"/>
    </row>
    <row r="267" spans="11:16" x14ac:dyDescent="0.25">
      <c r="K267" s="4">
        <v>3150</v>
      </c>
      <c r="L267" s="15">
        <f t="shared" si="59"/>
        <v>1.1145833333333299</v>
      </c>
      <c r="P267" s="14"/>
    </row>
    <row r="268" spans="11:16" x14ac:dyDescent="0.25">
      <c r="K268" s="4">
        <v>3160</v>
      </c>
      <c r="L268" s="15">
        <f t="shared" si="59"/>
        <v>1.11805555555555</v>
      </c>
    </row>
    <row r="269" spans="11:16" x14ac:dyDescent="0.25">
      <c r="K269" s="4">
        <v>3170</v>
      </c>
      <c r="L269" s="15">
        <f t="shared" si="59"/>
        <v>1.1215277777777799</v>
      </c>
    </row>
    <row r="270" spans="11:16" x14ac:dyDescent="0.25">
      <c r="K270" s="4">
        <v>3180</v>
      </c>
      <c r="L270" s="15">
        <f t="shared" si="59"/>
        <v>1.125</v>
      </c>
    </row>
    <row r="271" spans="11:16" x14ac:dyDescent="0.25">
      <c r="K271" s="4">
        <v>3190</v>
      </c>
      <c r="L271" s="15">
        <f t="shared" si="59"/>
        <v>1.1284722222222201</v>
      </c>
    </row>
    <row r="272" spans="11:16" x14ac:dyDescent="0.25">
      <c r="K272" s="4">
        <v>3200</v>
      </c>
      <c r="L272" s="15">
        <f t="shared" si="59"/>
        <v>1.13194444444444</v>
      </c>
    </row>
    <row r="273" spans="11:12" x14ac:dyDescent="0.25">
      <c r="K273" s="4">
        <v>3210</v>
      </c>
      <c r="L273" s="15">
        <f t="shared" si="59"/>
        <v>1.1354166666666701</v>
      </c>
    </row>
    <row r="274" spans="11:12" x14ac:dyDescent="0.25">
      <c r="K274" s="4">
        <v>3220</v>
      </c>
      <c r="L274" s="15">
        <f t="shared" si="59"/>
        <v>1.1388888888888899</v>
      </c>
    </row>
    <row r="275" spans="11:12" x14ac:dyDescent="0.25">
      <c r="K275" s="4">
        <v>3230</v>
      </c>
      <c r="L275" s="15">
        <f t="shared" si="59"/>
        <v>1.1423611111111101</v>
      </c>
    </row>
    <row r="276" spans="11:12" x14ac:dyDescent="0.25">
      <c r="K276" s="4">
        <v>3240</v>
      </c>
      <c r="L276" s="15">
        <f t="shared" si="59"/>
        <v>1.1458333333333299</v>
      </c>
    </row>
    <row r="277" spans="11:12" x14ac:dyDescent="0.25">
      <c r="K277" s="4">
        <v>3250</v>
      </c>
      <c r="L277" s="15">
        <f t="shared" si="59"/>
        <v>1.14930555555555</v>
      </c>
    </row>
    <row r="278" spans="11:12" x14ac:dyDescent="0.25">
      <c r="K278" s="4">
        <v>3260</v>
      </c>
      <c r="L278" s="15">
        <f t="shared" si="59"/>
        <v>1.1527777777777799</v>
      </c>
    </row>
    <row r="279" spans="11:12" x14ac:dyDescent="0.25">
      <c r="K279" s="4">
        <v>3270</v>
      </c>
      <c r="L279" s="15">
        <f t="shared" si="59"/>
        <v>1.15625</v>
      </c>
    </row>
    <row r="280" spans="11:12" x14ac:dyDescent="0.25">
      <c r="K280" s="4">
        <v>3280</v>
      </c>
      <c r="L280" s="15">
        <f t="shared" si="59"/>
        <v>1.1597222222222201</v>
      </c>
    </row>
    <row r="281" spans="11:12" x14ac:dyDescent="0.25">
      <c r="K281" s="4">
        <v>3290</v>
      </c>
      <c r="L281" s="15">
        <f t="shared" si="59"/>
        <v>1.16319444444444</v>
      </c>
    </row>
    <row r="282" spans="11:12" x14ac:dyDescent="0.25">
      <c r="K282" s="4">
        <v>3300</v>
      </c>
      <c r="L282" s="15">
        <f t="shared" si="59"/>
        <v>1.1666666666666701</v>
      </c>
    </row>
    <row r="283" spans="11:12" x14ac:dyDescent="0.25">
      <c r="K283" s="4">
        <v>3310</v>
      </c>
      <c r="L283" s="15">
        <f t="shared" si="59"/>
        <v>1.1701388888888899</v>
      </c>
    </row>
    <row r="284" spans="11:12" x14ac:dyDescent="0.25">
      <c r="K284" s="4">
        <v>3320</v>
      </c>
      <c r="L284" s="15">
        <f t="shared" si="59"/>
        <v>1.1736111111111101</v>
      </c>
    </row>
    <row r="285" spans="11:12" x14ac:dyDescent="0.25">
      <c r="K285" s="4">
        <v>3330</v>
      </c>
      <c r="L285" s="15">
        <f t="shared" si="59"/>
        <v>1.1770833333333299</v>
      </c>
    </row>
    <row r="286" spans="11:12" x14ac:dyDescent="0.25">
      <c r="K286" s="4">
        <v>3340</v>
      </c>
      <c r="L286" s="15">
        <f t="shared" si="59"/>
        <v>1.18055555555555</v>
      </c>
    </row>
    <row r="287" spans="11:12" x14ac:dyDescent="0.25">
      <c r="K287" s="4">
        <v>3350</v>
      </c>
      <c r="L287" s="15">
        <f t="shared" si="59"/>
        <v>1.1840277777777799</v>
      </c>
    </row>
    <row r="288" spans="11:12" x14ac:dyDescent="0.25">
      <c r="K288" s="4">
        <v>3360</v>
      </c>
      <c r="L288" s="15">
        <f t="shared" si="59"/>
        <v>1.1875</v>
      </c>
    </row>
    <row r="289" spans="11:12" x14ac:dyDescent="0.25">
      <c r="K289" s="4">
        <v>3370</v>
      </c>
      <c r="L289" s="15">
        <f t="shared" si="59"/>
        <v>1.1909722222222201</v>
      </c>
    </row>
    <row r="290" spans="11:12" x14ac:dyDescent="0.25">
      <c r="K290" s="4">
        <v>3380</v>
      </c>
      <c r="L290" s="15">
        <f t="shared" si="59"/>
        <v>1.19444444444444</v>
      </c>
    </row>
    <row r="291" spans="11:12" x14ac:dyDescent="0.25">
      <c r="K291" s="4">
        <v>3390</v>
      </c>
      <c r="L291" s="15">
        <f t="shared" si="59"/>
        <v>1.1979166666666701</v>
      </c>
    </row>
    <row r="292" spans="11:12" x14ac:dyDescent="0.25">
      <c r="K292" s="4">
        <v>3400</v>
      </c>
      <c r="L292" s="15">
        <f t="shared" si="59"/>
        <v>1.2013888888888899</v>
      </c>
    </row>
    <row r="293" spans="11:12" x14ac:dyDescent="0.25">
      <c r="K293" s="4">
        <v>3410</v>
      </c>
      <c r="L293" s="15">
        <f t="shared" si="59"/>
        <v>1.2048611111111101</v>
      </c>
    </row>
    <row r="294" spans="11:12" x14ac:dyDescent="0.25">
      <c r="K294" s="4">
        <v>3420</v>
      </c>
      <c r="L294" s="15">
        <f t="shared" si="59"/>
        <v>1.2083333333333299</v>
      </c>
    </row>
    <row r="295" spans="11:12" x14ac:dyDescent="0.25">
      <c r="K295" s="4">
        <v>3430</v>
      </c>
      <c r="L295" s="15">
        <f t="shared" si="59"/>
        <v>1.21180555555555</v>
      </c>
    </row>
    <row r="296" spans="11:12" x14ac:dyDescent="0.25">
      <c r="K296" s="4">
        <v>3440</v>
      </c>
      <c r="L296" s="15">
        <f t="shared" si="59"/>
        <v>1.2152777777777799</v>
      </c>
    </row>
    <row r="297" spans="11:12" x14ac:dyDescent="0.25">
      <c r="K297" s="4">
        <v>3450</v>
      </c>
      <c r="L297" s="15">
        <f t="shared" si="59"/>
        <v>1.21875</v>
      </c>
    </row>
    <row r="298" spans="11:12" x14ac:dyDescent="0.25">
      <c r="K298" s="4">
        <v>3460</v>
      </c>
      <c r="L298" s="15">
        <f t="shared" si="59"/>
        <v>1.2222222222222201</v>
      </c>
    </row>
    <row r="299" spans="11:12" x14ac:dyDescent="0.25">
      <c r="K299" s="4">
        <v>3470</v>
      </c>
      <c r="L299" s="15">
        <f t="shared" si="59"/>
        <v>1.22569444444444</v>
      </c>
    </row>
    <row r="300" spans="11:12" x14ac:dyDescent="0.25">
      <c r="K300" s="4">
        <v>3480</v>
      </c>
      <c r="L300" s="15">
        <f t="shared" si="59"/>
        <v>1.2291666666666701</v>
      </c>
    </row>
    <row r="301" spans="11:12" x14ac:dyDescent="0.25">
      <c r="K301" s="4">
        <v>3490</v>
      </c>
      <c r="L301" s="15">
        <f t="shared" si="59"/>
        <v>1.2326388888888899</v>
      </c>
    </row>
    <row r="302" spans="11:12" x14ac:dyDescent="0.25">
      <c r="K302" s="4">
        <v>3500</v>
      </c>
      <c r="L302" s="15">
        <f t="shared" si="59"/>
        <v>1.2361111111111101</v>
      </c>
    </row>
    <row r="303" spans="11:12" x14ac:dyDescent="0.25">
      <c r="K303" s="4">
        <v>3510</v>
      </c>
      <c r="L303" s="15">
        <f t="shared" si="59"/>
        <v>1.2395833333333299</v>
      </c>
    </row>
    <row r="304" spans="11:12" x14ac:dyDescent="0.25">
      <c r="K304" s="4">
        <v>3520</v>
      </c>
      <c r="L304" s="15">
        <f t="shared" si="59"/>
        <v>1.24305555555555</v>
      </c>
    </row>
    <row r="305" spans="11:12" x14ac:dyDescent="0.25">
      <c r="K305" s="4">
        <v>3530</v>
      </c>
      <c r="L305" s="15">
        <f t="shared" si="59"/>
        <v>1.2465277777777799</v>
      </c>
    </row>
    <row r="306" spans="11:12" x14ac:dyDescent="0.25">
      <c r="K306" s="4">
        <v>3540</v>
      </c>
      <c r="L306" s="15">
        <f t="shared" si="59"/>
        <v>1.25</v>
      </c>
    </row>
    <row r="307" spans="11:12" x14ac:dyDescent="0.25">
      <c r="K307" s="4">
        <v>3550</v>
      </c>
      <c r="L307" s="15">
        <f t="shared" si="59"/>
        <v>1.2534722222222201</v>
      </c>
    </row>
    <row r="308" spans="11:12" x14ac:dyDescent="0.25">
      <c r="K308" s="4">
        <v>3560</v>
      </c>
      <c r="L308" s="15">
        <f t="shared" si="59"/>
        <v>1.25694444444444</v>
      </c>
    </row>
    <row r="309" spans="11:12" x14ac:dyDescent="0.25">
      <c r="K309" s="4">
        <v>3570</v>
      </c>
      <c r="L309" s="15">
        <f t="shared" si="59"/>
        <v>1.2604166666666701</v>
      </c>
    </row>
    <row r="310" spans="11:12" x14ac:dyDescent="0.25">
      <c r="K310" s="4">
        <v>3580</v>
      </c>
      <c r="L310" s="15">
        <f t="shared" si="59"/>
        <v>1.2638888888888899</v>
      </c>
    </row>
    <row r="311" spans="11:12" x14ac:dyDescent="0.25">
      <c r="K311" s="4">
        <v>3590</v>
      </c>
      <c r="L311" s="15">
        <f t="shared" si="59"/>
        <v>1.2673611111111101</v>
      </c>
    </row>
    <row r="312" spans="11:12" x14ac:dyDescent="0.25">
      <c r="K312" s="4">
        <v>3600</v>
      </c>
      <c r="L312" s="15">
        <f t="shared" si="59"/>
        <v>1.2708333333333299</v>
      </c>
    </row>
    <row r="313" spans="11:12" x14ac:dyDescent="0.25">
      <c r="K313" s="4">
        <v>3610</v>
      </c>
      <c r="L313" s="15">
        <f t="shared" si="59"/>
        <v>1.27430555555555</v>
      </c>
    </row>
    <row r="314" spans="11:12" x14ac:dyDescent="0.25">
      <c r="K314" s="4">
        <v>3620</v>
      </c>
      <c r="L314" s="15">
        <f t="shared" si="59"/>
        <v>1.2777777777777799</v>
      </c>
    </row>
    <row r="315" spans="11:12" x14ac:dyDescent="0.25">
      <c r="K315" s="4">
        <v>3630</v>
      </c>
      <c r="L315" s="15">
        <f t="shared" si="59"/>
        <v>1.28125</v>
      </c>
    </row>
    <row r="316" spans="11:12" x14ac:dyDescent="0.25">
      <c r="K316" s="4">
        <v>3640</v>
      </c>
      <c r="L316" s="15">
        <f t="shared" si="59"/>
        <v>1.2847222222222201</v>
      </c>
    </row>
    <row r="317" spans="11:12" x14ac:dyDescent="0.25">
      <c r="K317" s="4">
        <v>3650</v>
      </c>
      <c r="L317" s="15">
        <f t="shared" si="59"/>
        <v>1.28819444444444</v>
      </c>
    </row>
    <row r="318" spans="11:12" x14ac:dyDescent="0.25">
      <c r="K318" s="4">
        <v>3660</v>
      </c>
      <c r="L318" s="15">
        <f t="shared" si="59"/>
        <v>1.2916666666666701</v>
      </c>
    </row>
    <row r="319" spans="11:12" x14ac:dyDescent="0.25">
      <c r="K319" s="4">
        <v>3670</v>
      </c>
      <c r="L319" s="15">
        <f t="shared" si="59"/>
        <v>1.2951388888888899</v>
      </c>
    </row>
    <row r="320" spans="11:12" x14ac:dyDescent="0.25">
      <c r="K320" s="4">
        <v>3680</v>
      </c>
      <c r="L320" s="15">
        <f t="shared" si="59"/>
        <v>1.2986111111111101</v>
      </c>
    </row>
    <row r="321" spans="11:12" x14ac:dyDescent="0.25">
      <c r="K321" s="4">
        <v>3690</v>
      </c>
      <c r="L321" s="15">
        <f t="shared" si="59"/>
        <v>1.3020833333333299</v>
      </c>
    </row>
    <row r="322" spans="11:12" x14ac:dyDescent="0.25">
      <c r="K322" s="4">
        <v>3700</v>
      </c>
      <c r="L322" s="15">
        <f t="shared" si="59"/>
        <v>1.30555555555555</v>
      </c>
    </row>
    <row r="323" spans="11:12" x14ac:dyDescent="0.25">
      <c r="K323" s="4">
        <v>3710</v>
      </c>
      <c r="L323" s="15">
        <f t="shared" si="59"/>
        <v>1.3090277777777799</v>
      </c>
    </row>
    <row r="324" spans="11:12" x14ac:dyDescent="0.25">
      <c r="K324" s="4">
        <v>3720</v>
      </c>
      <c r="L324" s="15">
        <f t="shared" si="59"/>
        <v>1.3125</v>
      </c>
    </row>
    <row r="325" spans="11:12" x14ac:dyDescent="0.25">
      <c r="K325" s="4">
        <v>3730</v>
      </c>
      <c r="L325" s="15">
        <f t="shared" si="59"/>
        <v>1.3159722222222201</v>
      </c>
    </row>
    <row r="326" spans="11:12" x14ac:dyDescent="0.25">
      <c r="K326" s="4">
        <v>3740</v>
      </c>
      <c r="L326" s="15">
        <f t="shared" si="59"/>
        <v>1.31944444444444</v>
      </c>
    </row>
    <row r="327" spans="11:12" x14ac:dyDescent="0.25">
      <c r="K327" s="4">
        <v>3750</v>
      </c>
      <c r="L327" s="15">
        <f t="shared" si="59"/>
        <v>1.3229166666666701</v>
      </c>
    </row>
    <row r="328" spans="11:12" x14ac:dyDescent="0.25">
      <c r="K328" s="4">
        <v>3760</v>
      </c>
      <c r="L328" s="15">
        <f t="shared" ref="L328:L391" si="60">$L$6+(((K328-$K$6)/10)*$M$2)</f>
        <v>1.3263888888888899</v>
      </c>
    </row>
    <row r="329" spans="11:12" x14ac:dyDescent="0.25">
      <c r="K329" s="4">
        <v>3770</v>
      </c>
      <c r="L329" s="15">
        <f t="shared" si="60"/>
        <v>1.3298611111111101</v>
      </c>
    </row>
    <row r="330" spans="11:12" x14ac:dyDescent="0.25">
      <c r="K330" s="4">
        <v>3780</v>
      </c>
      <c r="L330" s="15">
        <f t="shared" si="60"/>
        <v>1.3333333333333299</v>
      </c>
    </row>
    <row r="331" spans="11:12" x14ac:dyDescent="0.25">
      <c r="K331" s="4">
        <v>3790</v>
      </c>
      <c r="L331" s="15">
        <f t="shared" si="60"/>
        <v>1.33680555555555</v>
      </c>
    </row>
    <row r="332" spans="11:12" x14ac:dyDescent="0.25">
      <c r="K332" s="4">
        <v>3800</v>
      </c>
      <c r="L332" s="15">
        <f t="shared" si="60"/>
        <v>1.3402777777777799</v>
      </c>
    </row>
    <row r="333" spans="11:12" x14ac:dyDescent="0.25">
      <c r="K333" s="4">
        <v>3810</v>
      </c>
      <c r="L333" s="15">
        <f t="shared" si="60"/>
        <v>1.34375</v>
      </c>
    </row>
    <row r="334" spans="11:12" x14ac:dyDescent="0.25">
      <c r="K334" s="4">
        <v>3820</v>
      </c>
      <c r="L334" s="15">
        <f t="shared" si="60"/>
        <v>1.3472222222222201</v>
      </c>
    </row>
    <row r="335" spans="11:12" x14ac:dyDescent="0.25">
      <c r="K335" s="4">
        <v>3830</v>
      </c>
      <c r="L335" s="15">
        <f t="shared" si="60"/>
        <v>1.35069444444444</v>
      </c>
    </row>
    <row r="336" spans="11:12" x14ac:dyDescent="0.25">
      <c r="K336" s="4">
        <v>3840</v>
      </c>
      <c r="L336" s="15">
        <f t="shared" si="60"/>
        <v>1.3541666666666701</v>
      </c>
    </row>
    <row r="337" spans="11:12" x14ac:dyDescent="0.25">
      <c r="K337" s="4">
        <v>3850</v>
      </c>
      <c r="L337" s="15">
        <f t="shared" si="60"/>
        <v>1.3576388888888899</v>
      </c>
    </row>
    <row r="338" spans="11:12" x14ac:dyDescent="0.25">
      <c r="K338" s="4">
        <v>3860</v>
      </c>
      <c r="L338" s="15">
        <f t="shared" si="60"/>
        <v>1.3611111111111101</v>
      </c>
    </row>
    <row r="339" spans="11:12" x14ac:dyDescent="0.25">
      <c r="K339" s="4">
        <v>3870</v>
      </c>
      <c r="L339" s="15">
        <f t="shared" si="60"/>
        <v>1.3645833333333299</v>
      </c>
    </row>
    <row r="340" spans="11:12" x14ac:dyDescent="0.25">
      <c r="K340" s="4">
        <v>3880</v>
      </c>
      <c r="L340" s="15">
        <f t="shared" si="60"/>
        <v>1.36805555555555</v>
      </c>
    </row>
    <row r="341" spans="11:12" x14ac:dyDescent="0.25">
      <c r="K341" s="4">
        <v>3890</v>
      </c>
      <c r="L341" s="15">
        <f t="shared" si="60"/>
        <v>1.3715277777777799</v>
      </c>
    </row>
    <row r="342" spans="11:12" x14ac:dyDescent="0.25">
      <c r="K342" s="4">
        <v>3900</v>
      </c>
      <c r="L342" s="15">
        <f t="shared" si="60"/>
        <v>1.375</v>
      </c>
    </row>
    <row r="343" spans="11:12" x14ac:dyDescent="0.25">
      <c r="K343" s="4">
        <v>3910</v>
      </c>
      <c r="L343" s="15">
        <f t="shared" si="60"/>
        <v>1.3784722222222201</v>
      </c>
    </row>
    <row r="344" spans="11:12" x14ac:dyDescent="0.25">
      <c r="K344" s="4">
        <v>3920</v>
      </c>
      <c r="L344" s="15">
        <f t="shared" si="60"/>
        <v>1.38194444444444</v>
      </c>
    </row>
    <row r="345" spans="11:12" x14ac:dyDescent="0.25">
      <c r="K345" s="4">
        <v>3930</v>
      </c>
      <c r="L345" s="15">
        <f t="shared" si="60"/>
        <v>1.3854166666666701</v>
      </c>
    </row>
    <row r="346" spans="11:12" x14ac:dyDescent="0.25">
      <c r="K346" s="4">
        <v>3940</v>
      </c>
      <c r="L346" s="15">
        <f t="shared" si="60"/>
        <v>1.3888888888888899</v>
      </c>
    </row>
    <row r="347" spans="11:12" x14ac:dyDescent="0.25">
      <c r="K347" s="4">
        <v>3950</v>
      </c>
      <c r="L347" s="15">
        <f t="shared" si="60"/>
        <v>1.3923611111111101</v>
      </c>
    </row>
    <row r="348" spans="11:12" x14ac:dyDescent="0.25">
      <c r="K348" s="4">
        <v>3960</v>
      </c>
      <c r="L348" s="15">
        <f t="shared" si="60"/>
        <v>1.3958333333333299</v>
      </c>
    </row>
    <row r="349" spans="11:12" x14ac:dyDescent="0.25">
      <c r="K349" s="4">
        <v>3970</v>
      </c>
      <c r="L349" s="15">
        <f t="shared" si="60"/>
        <v>1.39930555555555</v>
      </c>
    </row>
    <row r="350" spans="11:12" x14ac:dyDescent="0.25">
      <c r="K350" s="4">
        <v>3980</v>
      </c>
      <c r="L350" s="15">
        <f t="shared" si="60"/>
        <v>1.4027777777777799</v>
      </c>
    </row>
    <row r="351" spans="11:12" x14ac:dyDescent="0.25">
      <c r="K351" s="4">
        <v>3990</v>
      </c>
      <c r="L351" s="15">
        <f t="shared" si="60"/>
        <v>1.40625</v>
      </c>
    </row>
    <row r="352" spans="11:12" x14ac:dyDescent="0.25">
      <c r="K352" s="4">
        <v>4000</v>
      </c>
      <c r="L352" s="15">
        <f t="shared" si="60"/>
        <v>1.4097222222222201</v>
      </c>
    </row>
    <row r="353" spans="11:12" x14ac:dyDescent="0.25">
      <c r="K353" s="4">
        <v>4010</v>
      </c>
      <c r="L353" s="15">
        <f t="shared" si="60"/>
        <v>1.41319444444444</v>
      </c>
    </row>
    <row r="354" spans="11:12" x14ac:dyDescent="0.25">
      <c r="K354" s="4">
        <v>4020</v>
      </c>
      <c r="L354" s="15">
        <f t="shared" si="60"/>
        <v>1.4166666666666701</v>
      </c>
    </row>
    <row r="355" spans="11:12" x14ac:dyDescent="0.25">
      <c r="K355" s="4">
        <v>4030</v>
      </c>
      <c r="L355" s="15">
        <f t="shared" si="60"/>
        <v>1.4201388888888899</v>
      </c>
    </row>
    <row r="356" spans="11:12" x14ac:dyDescent="0.25">
      <c r="K356" s="4">
        <v>4040</v>
      </c>
      <c r="L356" s="15">
        <f t="shared" si="60"/>
        <v>1.4236111111111101</v>
      </c>
    </row>
    <row r="357" spans="11:12" x14ac:dyDescent="0.25">
      <c r="K357" s="4">
        <v>4050</v>
      </c>
      <c r="L357" s="15">
        <f t="shared" si="60"/>
        <v>1.4270833333333299</v>
      </c>
    </row>
    <row r="358" spans="11:12" x14ac:dyDescent="0.25">
      <c r="K358" s="4">
        <v>4060</v>
      </c>
      <c r="L358" s="15">
        <f t="shared" si="60"/>
        <v>1.43055555555555</v>
      </c>
    </row>
    <row r="359" spans="11:12" x14ac:dyDescent="0.25">
      <c r="K359" s="4">
        <v>4070</v>
      </c>
      <c r="L359" s="15">
        <f t="shared" si="60"/>
        <v>1.4340277777777799</v>
      </c>
    </row>
    <row r="360" spans="11:12" x14ac:dyDescent="0.25">
      <c r="K360" s="4">
        <v>4080</v>
      </c>
      <c r="L360" s="15">
        <f t="shared" si="60"/>
        <v>1.4375</v>
      </c>
    </row>
    <row r="361" spans="11:12" x14ac:dyDescent="0.25">
      <c r="K361" s="4">
        <v>4090</v>
      </c>
      <c r="L361" s="15">
        <f t="shared" si="60"/>
        <v>1.4409722222222201</v>
      </c>
    </row>
    <row r="362" spans="11:12" x14ac:dyDescent="0.25">
      <c r="K362" s="4">
        <v>4100</v>
      </c>
      <c r="L362" s="15">
        <f t="shared" si="60"/>
        <v>1.44444444444444</v>
      </c>
    </row>
    <row r="363" spans="11:12" x14ac:dyDescent="0.25">
      <c r="K363" s="4">
        <v>4110</v>
      </c>
      <c r="L363" s="15">
        <f t="shared" si="60"/>
        <v>1.4479166666666701</v>
      </c>
    </row>
    <row r="364" spans="11:12" x14ac:dyDescent="0.25">
      <c r="K364" s="4">
        <v>4120</v>
      </c>
      <c r="L364" s="15">
        <f t="shared" si="60"/>
        <v>1.4513888888888899</v>
      </c>
    </row>
    <row r="365" spans="11:12" x14ac:dyDescent="0.25">
      <c r="K365" s="4">
        <v>4130</v>
      </c>
      <c r="L365" s="15">
        <f t="shared" si="60"/>
        <v>1.4548611111111101</v>
      </c>
    </row>
    <row r="366" spans="11:12" x14ac:dyDescent="0.25">
      <c r="K366" s="4">
        <v>4140</v>
      </c>
      <c r="L366" s="15">
        <f t="shared" si="60"/>
        <v>1.4583333333333299</v>
      </c>
    </row>
    <row r="367" spans="11:12" x14ac:dyDescent="0.25">
      <c r="K367" s="4">
        <v>4150</v>
      </c>
      <c r="L367" s="15">
        <f t="shared" si="60"/>
        <v>1.46180555555555</v>
      </c>
    </row>
    <row r="368" spans="11:12" x14ac:dyDescent="0.25">
      <c r="K368" s="4">
        <v>4160</v>
      </c>
      <c r="L368" s="15">
        <f t="shared" si="60"/>
        <v>1.4652777777777799</v>
      </c>
    </row>
    <row r="369" spans="11:12" x14ac:dyDescent="0.25">
      <c r="K369" s="4">
        <v>4170</v>
      </c>
      <c r="L369" s="15">
        <f t="shared" si="60"/>
        <v>1.46875</v>
      </c>
    </row>
    <row r="370" spans="11:12" x14ac:dyDescent="0.25">
      <c r="K370" s="4">
        <v>4180</v>
      </c>
      <c r="L370" s="15">
        <f t="shared" si="60"/>
        <v>1.4722222222222201</v>
      </c>
    </row>
    <row r="371" spans="11:12" x14ac:dyDescent="0.25">
      <c r="K371" s="4">
        <v>4190</v>
      </c>
      <c r="L371" s="15">
        <f t="shared" si="60"/>
        <v>1.47569444444444</v>
      </c>
    </row>
    <row r="372" spans="11:12" x14ac:dyDescent="0.25">
      <c r="K372" s="4">
        <v>4200</v>
      </c>
      <c r="L372" s="15">
        <f t="shared" si="60"/>
        <v>1.4791666666666701</v>
      </c>
    </row>
    <row r="373" spans="11:12" x14ac:dyDescent="0.25">
      <c r="K373" s="4">
        <v>4210</v>
      </c>
      <c r="L373" s="15">
        <f t="shared" si="60"/>
        <v>1.4826388888888899</v>
      </c>
    </row>
    <row r="374" spans="11:12" x14ac:dyDescent="0.25">
      <c r="K374" s="4">
        <v>4220</v>
      </c>
      <c r="L374" s="15">
        <f t="shared" si="60"/>
        <v>1.4861111111111101</v>
      </c>
    </row>
    <row r="375" spans="11:12" x14ac:dyDescent="0.25">
      <c r="K375" s="4">
        <v>4230</v>
      </c>
      <c r="L375" s="15">
        <f t="shared" si="60"/>
        <v>1.4895833333333299</v>
      </c>
    </row>
    <row r="376" spans="11:12" x14ac:dyDescent="0.25">
      <c r="K376" s="4">
        <v>4240</v>
      </c>
      <c r="L376" s="15">
        <f t="shared" si="60"/>
        <v>1.49305555555555</v>
      </c>
    </row>
    <row r="377" spans="11:12" x14ac:dyDescent="0.25">
      <c r="K377" s="4">
        <v>4250</v>
      </c>
      <c r="L377" s="15">
        <f t="shared" si="60"/>
        <v>1.4965277777777799</v>
      </c>
    </row>
    <row r="378" spans="11:12" x14ac:dyDescent="0.25">
      <c r="K378" s="4">
        <v>4260</v>
      </c>
      <c r="L378" s="15">
        <f t="shared" si="60"/>
        <v>1.5</v>
      </c>
    </row>
    <row r="379" spans="11:12" x14ac:dyDescent="0.25">
      <c r="K379" s="4">
        <v>4270</v>
      </c>
      <c r="L379" s="15">
        <f t="shared" si="60"/>
        <v>1.5034722222222201</v>
      </c>
    </row>
    <row r="380" spans="11:12" x14ac:dyDescent="0.25">
      <c r="K380" s="4">
        <v>4280</v>
      </c>
      <c r="L380" s="15">
        <f t="shared" si="60"/>
        <v>1.50694444444444</v>
      </c>
    </row>
    <row r="381" spans="11:12" x14ac:dyDescent="0.25">
      <c r="K381" s="4">
        <v>4290</v>
      </c>
      <c r="L381" s="15">
        <f t="shared" si="60"/>
        <v>1.5104166666666701</v>
      </c>
    </row>
    <row r="382" spans="11:12" x14ac:dyDescent="0.25">
      <c r="K382" s="4">
        <v>4300</v>
      </c>
      <c r="L382" s="15">
        <f t="shared" si="60"/>
        <v>1.5138888888888899</v>
      </c>
    </row>
    <row r="383" spans="11:12" x14ac:dyDescent="0.25">
      <c r="K383" s="4">
        <v>4310</v>
      </c>
      <c r="L383" s="15">
        <f t="shared" si="60"/>
        <v>1.5173611111111101</v>
      </c>
    </row>
    <row r="384" spans="11:12" x14ac:dyDescent="0.25">
      <c r="K384" s="4">
        <v>4320</v>
      </c>
      <c r="L384" s="15">
        <f t="shared" si="60"/>
        <v>1.5208333333333299</v>
      </c>
    </row>
    <row r="385" spans="11:12" x14ac:dyDescent="0.25">
      <c r="K385" s="4">
        <v>4330</v>
      </c>
      <c r="L385" s="15">
        <f t="shared" si="60"/>
        <v>1.52430555555555</v>
      </c>
    </row>
    <row r="386" spans="11:12" x14ac:dyDescent="0.25">
      <c r="K386" s="4">
        <v>4340</v>
      </c>
      <c r="L386" s="15">
        <f t="shared" si="60"/>
        <v>1.5277777777777799</v>
      </c>
    </row>
    <row r="387" spans="11:12" x14ac:dyDescent="0.25">
      <c r="K387" s="4">
        <v>4350</v>
      </c>
      <c r="L387" s="15">
        <f t="shared" si="60"/>
        <v>1.53125</v>
      </c>
    </row>
    <row r="388" spans="11:12" x14ac:dyDescent="0.25">
      <c r="K388" s="4">
        <v>4360</v>
      </c>
      <c r="L388" s="15">
        <f t="shared" si="60"/>
        <v>1.5347222222222201</v>
      </c>
    </row>
    <row r="389" spans="11:12" x14ac:dyDescent="0.25">
      <c r="K389" s="4">
        <v>4370</v>
      </c>
      <c r="L389" s="15">
        <f t="shared" si="60"/>
        <v>1.53819444444444</v>
      </c>
    </row>
    <row r="390" spans="11:12" x14ac:dyDescent="0.25">
      <c r="K390" s="4">
        <v>4380</v>
      </c>
      <c r="L390" s="15">
        <f t="shared" si="60"/>
        <v>1.5416666666666701</v>
      </c>
    </row>
    <row r="391" spans="11:12" x14ac:dyDescent="0.25">
      <c r="K391" s="4">
        <v>4390</v>
      </c>
      <c r="L391" s="15">
        <f t="shared" si="60"/>
        <v>1.5451388888888899</v>
      </c>
    </row>
    <row r="392" spans="11:12" x14ac:dyDescent="0.25">
      <c r="K392" s="4">
        <v>4400</v>
      </c>
      <c r="L392" s="15">
        <f t="shared" ref="L392:L415" si="61">$L$6+(((K392-$K$6)/10)*$M$2)</f>
        <v>1.5486111111111101</v>
      </c>
    </row>
    <row r="393" spans="11:12" x14ac:dyDescent="0.25">
      <c r="K393" s="4">
        <v>4410</v>
      </c>
      <c r="L393" s="15">
        <f t="shared" si="61"/>
        <v>1.5520833333333299</v>
      </c>
    </row>
    <row r="394" spans="11:12" x14ac:dyDescent="0.25">
      <c r="K394" s="4">
        <v>4420</v>
      </c>
      <c r="L394" s="15">
        <f t="shared" si="61"/>
        <v>1.55555555555555</v>
      </c>
    </row>
    <row r="395" spans="11:12" x14ac:dyDescent="0.25">
      <c r="K395" s="4">
        <v>4430</v>
      </c>
      <c r="L395" s="15">
        <f t="shared" si="61"/>
        <v>1.5590277777777799</v>
      </c>
    </row>
    <row r="396" spans="11:12" x14ac:dyDescent="0.25">
      <c r="K396" s="4">
        <v>4440</v>
      </c>
      <c r="L396" s="15">
        <f t="shared" si="61"/>
        <v>1.5625</v>
      </c>
    </row>
    <row r="397" spans="11:12" x14ac:dyDescent="0.25">
      <c r="K397" s="4">
        <v>4450</v>
      </c>
      <c r="L397" s="15">
        <f t="shared" si="61"/>
        <v>1.5659722222222201</v>
      </c>
    </row>
    <row r="398" spans="11:12" x14ac:dyDescent="0.25">
      <c r="K398" s="4">
        <v>4460</v>
      </c>
      <c r="L398" s="15">
        <f t="shared" si="61"/>
        <v>1.56944444444444</v>
      </c>
    </row>
    <row r="399" spans="11:12" x14ac:dyDescent="0.25">
      <c r="K399" s="4">
        <v>4470</v>
      </c>
      <c r="L399" s="15">
        <f t="shared" si="61"/>
        <v>1.5729166666666701</v>
      </c>
    </row>
    <row r="400" spans="11:12" x14ac:dyDescent="0.25">
      <c r="K400" s="4">
        <v>4480</v>
      </c>
      <c r="L400" s="15">
        <f t="shared" si="61"/>
        <v>1.5763888888888899</v>
      </c>
    </row>
    <row r="401" spans="11:12" x14ac:dyDescent="0.25">
      <c r="K401" s="4">
        <v>4490</v>
      </c>
      <c r="L401" s="15">
        <f t="shared" si="61"/>
        <v>1.5798611111111101</v>
      </c>
    </row>
    <row r="402" spans="11:12" x14ac:dyDescent="0.25">
      <c r="K402" s="4">
        <v>4500</v>
      </c>
      <c r="L402" s="15">
        <f t="shared" si="61"/>
        <v>1.5833333333333299</v>
      </c>
    </row>
    <row r="403" spans="11:12" x14ac:dyDescent="0.25">
      <c r="K403" s="4">
        <v>4510</v>
      </c>
      <c r="L403" s="15">
        <f t="shared" si="61"/>
        <v>1.58680555555555</v>
      </c>
    </row>
    <row r="404" spans="11:12" x14ac:dyDescent="0.25">
      <c r="K404" s="4">
        <v>4520</v>
      </c>
      <c r="L404" s="15">
        <f t="shared" si="61"/>
        <v>1.5902777777777799</v>
      </c>
    </row>
    <row r="405" spans="11:12" x14ac:dyDescent="0.25">
      <c r="K405" s="4">
        <v>4530</v>
      </c>
      <c r="L405" s="15">
        <f t="shared" si="61"/>
        <v>1.59375</v>
      </c>
    </row>
    <row r="406" spans="11:12" x14ac:dyDescent="0.25">
      <c r="K406" s="4">
        <v>4540</v>
      </c>
      <c r="L406" s="15">
        <f t="shared" si="61"/>
        <v>1.5972222222222201</v>
      </c>
    </row>
    <row r="407" spans="11:12" x14ac:dyDescent="0.25">
      <c r="K407" s="4">
        <v>4550</v>
      </c>
      <c r="L407" s="15">
        <f t="shared" si="61"/>
        <v>1.60069444444444</v>
      </c>
    </row>
    <row r="408" spans="11:12" x14ac:dyDescent="0.25">
      <c r="K408" s="4">
        <v>4560</v>
      </c>
      <c r="L408" s="15">
        <f t="shared" si="61"/>
        <v>1.6041666666666701</v>
      </c>
    </row>
    <row r="409" spans="11:12" x14ac:dyDescent="0.25">
      <c r="K409" s="4">
        <v>4570</v>
      </c>
      <c r="L409" s="15">
        <f t="shared" si="61"/>
        <v>1.6076388888888899</v>
      </c>
    </row>
    <row r="410" spans="11:12" x14ac:dyDescent="0.25">
      <c r="K410" s="4">
        <v>4580</v>
      </c>
      <c r="L410" s="15">
        <f t="shared" si="61"/>
        <v>1.6111111111111101</v>
      </c>
    </row>
    <row r="411" spans="11:12" x14ac:dyDescent="0.25">
      <c r="K411" s="4">
        <v>4590</v>
      </c>
      <c r="L411" s="15">
        <f t="shared" si="61"/>
        <v>1.6145833333333299</v>
      </c>
    </row>
    <row r="412" spans="11:12" x14ac:dyDescent="0.25">
      <c r="K412" s="4">
        <v>4600</v>
      </c>
      <c r="L412" s="15">
        <f t="shared" si="61"/>
        <v>1.61805555555555</v>
      </c>
    </row>
    <row r="413" spans="11:12" x14ac:dyDescent="0.25">
      <c r="K413" s="4">
        <v>4610</v>
      </c>
      <c r="L413" s="15">
        <f t="shared" si="61"/>
        <v>1.6215277777777799</v>
      </c>
    </row>
    <row r="414" spans="11:12" x14ac:dyDescent="0.25">
      <c r="K414" s="4">
        <v>4620</v>
      </c>
      <c r="L414" s="15">
        <f t="shared" si="61"/>
        <v>1.625</v>
      </c>
    </row>
    <row r="415" spans="11:12" x14ac:dyDescent="0.25">
      <c r="K415" s="4">
        <v>4630</v>
      </c>
      <c r="L415" s="15">
        <f t="shared" si="61"/>
        <v>1.6284722222222201</v>
      </c>
    </row>
  </sheetData>
  <mergeCells count="19">
    <mergeCell ref="AC2:AD2"/>
    <mergeCell ref="T103:T203"/>
    <mergeCell ref="V1:Z1"/>
    <mergeCell ref="AB1:AF1"/>
    <mergeCell ref="T64:T73"/>
    <mergeCell ref="T9:T18"/>
    <mergeCell ref="T4:T8"/>
    <mergeCell ref="F191:G191"/>
    <mergeCell ref="P1:T1"/>
    <mergeCell ref="H191:I191"/>
    <mergeCell ref="T29:T38"/>
    <mergeCell ref="T74:T83"/>
    <mergeCell ref="P4:P8"/>
    <mergeCell ref="A182:E182"/>
    <mergeCell ref="T19:T28"/>
    <mergeCell ref="T47:T63"/>
    <mergeCell ref="Q2:R2"/>
    <mergeCell ref="W2:X2"/>
    <mergeCell ref="T84:T102"/>
  </mergeCells>
  <dataValidations disablePrompts="1" count="1">
    <dataValidation showInputMessage="1" showErrorMessage="1" sqref="B215" xr:uid="{5E66A1E8-BDDE-4C1D-B341-8D3618DE0CB4}"/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415"/>
  <sheetViews>
    <sheetView topLeftCell="B224" zoomScale="85" zoomScaleNormal="85" workbookViewId="0">
      <selection activeCell="C13" sqref="C13"/>
    </sheetView>
  </sheetViews>
  <sheetFormatPr defaultRowHeight="15" x14ac:dyDescent="0.25"/>
  <cols>
    <col min="1" max="1" width="72" bestFit="1" customWidth="1"/>
    <col min="2" max="2" width="32.28515625" bestFit="1" customWidth="1"/>
    <col min="3" max="3" width="38.7109375" customWidth="1"/>
    <col min="4" max="4" width="56.42578125" bestFit="1" customWidth="1"/>
    <col min="5" max="5" width="34" customWidth="1"/>
    <col min="6" max="6" width="30.28515625" bestFit="1" customWidth="1"/>
    <col min="7" max="7" width="34" customWidth="1"/>
    <col min="8" max="8" width="34.42578125" customWidth="1"/>
    <col min="9" max="9" width="24.28515625" bestFit="1" customWidth="1"/>
    <col min="10" max="10" width="32.28515625" bestFit="1" customWidth="1"/>
    <col min="11" max="11" width="10.5703125" bestFit="1" customWidth="1"/>
    <col min="12" max="12" width="9.7109375" style="14" bestFit="1" customWidth="1"/>
    <col min="13" max="13" width="25.7109375" customWidth="1"/>
    <col min="14" max="14" width="8.7109375" bestFit="1" customWidth="1"/>
    <col min="15" max="15" width="15.42578125" customWidth="1"/>
    <col min="16" max="16" width="28.7109375" bestFit="1" customWidth="1"/>
    <col min="17" max="17" width="15.42578125" style="14" bestFit="1" customWidth="1"/>
    <col min="18" max="18" width="19.42578125" bestFit="1" customWidth="1"/>
    <col min="19" max="19" width="22.42578125" bestFit="1" customWidth="1"/>
    <col min="20" max="20" width="43.42578125" customWidth="1"/>
    <col min="21" max="21" width="8.7109375" bestFit="1" customWidth="1"/>
    <col min="22" max="22" width="29.5703125" bestFit="1" customWidth="1"/>
    <col min="23" max="23" width="12.42578125" bestFit="1" customWidth="1"/>
    <col min="24" max="24" width="9.5703125" bestFit="1" customWidth="1"/>
    <col min="25" max="25" width="30.7109375" customWidth="1"/>
    <col min="26" max="26" width="41.7109375" customWidth="1"/>
    <col min="27" max="27" width="8.7109375" bestFit="1" customWidth="1"/>
    <col min="28" max="28" width="29.5703125" bestFit="1" customWidth="1"/>
    <col min="29" max="29" width="12.42578125" bestFit="1" customWidth="1"/>
    <col min="30" max="30" width="9.5703125" bestFit="1" customWidth="1"/>
    <col min="31" max="31" width="30.7109375" customWidth="1"/>
    <col min="32" max="32" width="41.7109375" customWidth="1"/>
  </cols>
  <sheetData>
    <row r="1" spans="1:32" ht="33" customHeight="1" thickBot="1" x14ac:dyDescent="0.55000000000000004">
      <c r="A1" s="49" t="s">
        <v>0</v>
      </c>
      <c r="B1" s="4"/>
      <c r="D1" s="167" t="s">
        <v>1</v>
      </c>
      <c r="E1" s="168"/>
      <c r="F1" s="117"/>
      <c r="I1" s="13" t="s">
        <v>2</v>
      </c>
      <c r="J1" s="13"/>
      <c r="K1" s="110" t="s">
        <v>3</v>
      </c>
      <c r="L1" s="111"/>
      <c r="M1" s="112" t="s">
        <v>4</v>
      </c>
      <c r="P1" s="632" t="s">
        <v>5</v>
      </c>
      <c r="Q1" s="620"/>
      <c r="R1" s="620"/>
      <c r="S1" s="620"/>
      <c r="T1" s="621"/>
      <c r="V1" s="632" t="s">
        <v>6</v>
      </c>
      <c r="W1" s="620"/>
      <c r="X1" s="620"/>
      <c r="Y1" s="620"/>
      <c r="Z1" s="621"/>
      <c r="AA1" s="104"/>
      <c r="AB1" s="632" t="s">
        <v>7</v>
      </c>
      <c r="AC1" s="620"/>
      <c r="AD1" s="620"/>
      <c r="AE1" s="620"/>
      <c r="AF1" s="621"/>
    </row>
    <row r="2" spans="1:32" ht="24" customHeight="1" thickBot="1" x14ac:dyDescent="0.4">
      <c r="A2" s="4" t="s">
        <v>8</v>
      </c>
      <c r="B2" s="116">
        <f>H21</f>
        <v>1.0416666666666701E-2</v>
      </c>
      <c r="D2" s="165" t="s">
        <v>9</v>
      </c>
      <c r="E2" s="166"/>
      <c r="I2" s="211" t="s">
        <v>10</v>
      </c>
      <c r="J2" s="212" t="s">
        <v>11</v>
      </c>
      <c r="K2" s="81" t="s">
        <v>12</v>
      </c>
      <c r="L2" s="113" t="s">
        <v>13</v>
      </c>
      <c r="M2" s="114">
        <v>3.4722222222222199E-3</v>
      </c>
      <c r="P2" s="40"/>
      <c r="Q2" s="626" t="s">
        <v>5</v>
      </c>
      <c r="R2" s="627"/>
      <c r="S2" s="89"/>
      <c r="T2" s="90"/>
      <c r="V2" s="105"/>
      <c r="W2" s="628" t="s">
        <v>14</v>
      </c>
      <c r="X2" s="629"/>
      <c r="Y2" s="105"/>
      <c r="Z2" s="105"/>
      <c r="AB2" s="105"/>
      <c r="AC2" s="628" t="s">
        <v>14</v>
      </c>
      <c r="AD2" s="629"/>
      <c r="AE2" s="105"/>
      <c r="AF2" s="105"/>
    </row>
    <row r="3" spans="1:32" ht="15" customHeight="1" thickBot="1" x14ac:dyDescent="0.3">
      <c r="A3" s="4" t="s">
        <v>15</v>
      </c>
      <c r="B3" s="15">
        <f>(B2*E7)/2</f>
        <v>0</v>
      </c>
      <c r="D3" s="3" t="s">
        <v>16</v>
      </c>
      <c r="E3" s="115"/>
      <c r="I3" s="4">
        <v>0</v>
      </c>
      <c r="J3" s="15">
        <v>0</v>
      </c>
      <c r="K3" s="4">
        <v>1</v>
      </c>
      <c r="L3" s="15">
        <v>3.125E-2</v>
      </c>
      <c r="P3" s="294" t="s">
        <v>17</v>
      </c>
      <c r="Q3" s="176" t="s">
        <v>18</v>
      </c>
      <c r="R3" s="295" t="s">
        <v>19</v>
      </c>
      <c r="S3" s="296" t="s">
        <v>20</v>
      </c>
      <c r="T3" s="297" t="s">
        <v>21</v>
      </c>
      <c r="V3" s="3" t="s">
        <v>17</v>
      </c>
      <c r="W3" s="4" t="s">
        <v>22</v>
      </c>
      <c r="X3" s="298" t="s">
        <v>23</v>
      </c>
      <c r="Y3" s="299" t="s">
        <v>24</v>
      </c>
      <c r="Z3" s="300" t="s">
        <v>21</v>
      </c>
      <c r="AB3" s="222" t="s">
        <v>17</v>
      </c>
      <c r="AC3" s="301" t="s">
        <v>22</v>
      </c>
      <c r="AD3" s="302" t="s">
        <v>23</v>
      </c>
      <c r="AE3" s="303" t="s">
        <v>24</v>
      </c>
      <c r="AF3" s="304" t="s">
        <v>21</v>
      </c>
    </row>
    <row r="4" spans="1:32" ht="15" customHeight="1" thickBot="1" x14ac:dyDescent="0.3">
      <c r="A4" s="4" t="s">
        <v>25</v>
      </c>
      <c r="B4" s="15">
        <f>H20</f>
        <v>1.0416666666666701E-2</v>
      </c>
      <c r="D4" s="3" t="s">
        <v>26</v>
      </c>
      <c r="E4" s="115"/>
      <c r="I4" s="4">
        <v>1</v>
      </c>
      <c r="J4" s="15">
        <v>1.0416666666666699E-3</v>
      </c>
      <c r="K4" s="4">
        <v>10</v>
      </c>
      <c r="L4" s="15">
        <v>3.125E-2</v>
      </c>
      <c r="P4" s="636" t="s">
        <v>27</v>
      </c>
      <c r="Q4" s="59">
        <v>1</v>
      </c>
      <c r="R4" s="44">
        <v>2.7777777777777801E-2</v>
      </c>
      <c r="S4" s="52">
        <v>0</v>
      </c>
      <c r="T4" s="644">
        <v>1.38888888888889E-3</v>
      </c>
      <c r="V4" s="206">
        <v>0</v>
      </c>
      <c r="W4" s="207">
        <v>0</v>
      </c>
      <c r="X4" s="207">
        <v>0</v>
      </c>
      <c r="Y4" s="207">
        <v>0</v>
      </c>
      <c r="Z4" s="208">
        <v>0</v>
      </c>
      <c r="AB4" s="206">
        <v>0</v>
      </c>
      <c r="AC4" s="207">
        <v>0</v>
      </c>
      <c r="AD4" s="207">
        <v>0</v>
      </c>
      <c r="AE4" s="207">
        <v>0</v>
      </c>
      <c r="AF4" s="208">
        <v>0</v>
      </c>
    </row>
    <row r="5" spans="1:32" ht="15" customHeight="1" x14ac:dyDescent="0.25">
      <c r="A5" s="4" t="s">
        <v>28</v>
      </c>
      <c r="B5" s="15" t="e">
        <f>INDEX(R4:R203,MATCH(E8,Q4:Q203,0))</f>
        <v>#N/A</v>
      </c>
      <c r="D5" s="3" t="s">
        <v>299</v>
      </c>
      <c r="E5" s="3" t="e">
        <f>E4/E3</f>
        <v>#DIV/0!</v>
      </c>
      <c r="I5" s="4">
        <v>50</v>
      </c>
      <c r="J5" s="15">
        <v>1.0416666666666699E-3</v>
      </c>
      <c r="K5" s="4">
        <v>20</v>
      </c>
      <c r="L5" s="15">
        <v>3.125E-2</v>
      </c>
      <c r="P5" s="637"/>
      <c r="Q5" s="59">
        <v>2</v>
      </c>
      <c r="R5" s="52">
        <f t="shared" ref="R5:R36" si="0">$R$4+S5</f>
        <v>2.9166666666666698E-2</v>
      </c>
      <c r="S5" s="53">
        <f>S4+$T$4</f>
        <v>1.38888888888889E-3</v>
      </c>
      <c r="T5" s="623"/>
      <c r="V5" s="184" t="s">
        <v>29</v>
      </c>
      <c r="W5" s="59">
        <v>1</v>
      </c>
      <c r="X5" s="44">
        <v>1.38888888888889E-2</v>
      </c>
      <c r="Y5" s="52">
        <v>0</v>
      </c>
      <c r="Z5" s="201">
        <v>2.0833333333333298E-3</v>
      </c>
      <c r="AB5" s="203" t="s">
        <v>29</v>
      </c>
      <c r="AC5" s="204">
        <v>1</v>
      </c>
      <c r="AD5" s="205">
        <v>1.38888888888889E-2</v>
      </c>
      <c r="AE5" s="52">
        <v>0</v>
      </c>
      <c r="AF5" s="201">
        <v>2.0833333333333298E-3</v>
      </c>
    </row>
    <row r="6" spans="1:32" ht="14.65" customHeight="1" x14ac:dyDescent="0.25">
      <c r="A6" s="4" t="s">
        <v>30</v>
      </c>
      <c r="B6" s="44">
        <v>0</v>
      </c>
      <c r="C6" t="s">
        <v>31</v>
      </c>
      <c r="D6" s="3" t="s">
        <v>300</v>
      </c>
      <c r="E6" s="4">
        <f>E9*E3</f>
        <v>0</v>
      </c>
      <c r="I6" s="4">
        <v>100</v>
      </c>
      <c r="J6" s="15">
        <v>1.38888888888889E-3</v>
      </c>
      <c r="K6" s="4">
        <v>30</v>
      </c>
      <c r="L6" s="15">
        <v>3.125E-2</v>
      </c>
      <c r="P6" s="637"/>
      <c r="Q6" s="59">
        <v>3</v>
      </c>
      <c r="R6" s="52">
        <f t="shared" si="0"/>
        <v>3.05555555555556E-2</v>
      </c>
      <c r="S6" s="53">
        <f>S5+$T$4</f>
        <v>2.7777777777777801E-3</v>
      </c>
      <c r="T6" s="623"/>
      <c r="V6" s="184"/>
      <c r="W6" s="59">
        <v>2</v>
      </c>
      <c r="X6" s="52">
        <f t="shared" ref="X6:X37" si="1">$X$5+Y6</f>
        <v>1.59722222222222E-2</v>
      </c>
      <c r="Y6" s="53">
        <f>Y5+$Z$5</f>
        <v>2.0833333333333298E-3</v>
      </c>
      <c r="Z6" s="201"/>
      <c r="AB6" s="184"/>
      <c r="AC6" s="59">
        <v>2</v>
      </c>
      <c r="AD6" s="52">
        <f t="shared" ref="AD6:AD37" si="2">$AD$5+AE6</f>
        <v>1.59722222222222E-2</v>
      </c>
      <c r="AE6" s="53">
        <f>AE5+$AF$5</f>
        <v>2.0833333333333298E-3</v>
      </c>
      <c r="AF6" s="201"/>
    </row>
    <row r="7" spans="1:32" ht="15" customHeight="1" x14ac:dyDescent="0.25">
      <c r="A7" s="4" t="s">
        <v>32</v>
      </c>
      <c r="B7" s="15">
        <f>H24</f>
        <v>2.7777777777777801E-2</v>
      </c>
      <c r="D7" s="3" t="s">
        <v>33</v>
      </c>
      <c r="E7" s="115"/>
      <c r="I7" s="4">
        <v>200</v>
      </c>
      <c r="J7" s="15">
        <v>1.7361111111111099E-3</v>
      </c>
      <c r="K7" s="4">
        <v>40</v>
      </c>
      <c r="L7" s="15">
        <v>3.125E-2</v>
      </c>
      <c r="P7" s="637"/>
      <c r="Q7" s="59">
        <v>4</v>
      </c>
      <c r="R7" s="52">
        <f t="shared" si="0"/>
        <v>3.1944444444444497E-2</v>
      </c>
      <c r="S7" s="53">
        <f>S6+$T$4</f>
        <v>4.1666666666666701E-3</v>
      </c>
      <c r="T7" s="623"/>
      <c r="V7" s="184"/>
      <c r="W7" s="59">
        <v>3</v>
      </c>
      <c r="X7" s="52">
        <f t="shared" si="1"/>
        <v>1.8055555555555599E-2</v>
      </c>
      <c r="Y7" s="53">
        <f>Y6+$Z$5</f>
        <v>4.1666666666666597E-3</v>
      </c>
      <c r="Z7" s="201"/>
      <c r="AB7" s="184"/>
      <c r="AC7" s="59">
        <v>3</v>
      </c>
      <c r="AD7" s="52">
        <f t="shared" si="2"/>
        <v>1.8055555555555599E-2</v>
      </c>
      <c r="AE7" s="53">
        <f>AE6+$Z$5</f>
        <v>4.1666666666666597E-3</v>
      </c>
      <c r="AF7" s="201"/>
    </row>
    <row r="8" spans="1:32" ht="14.65" customHeight="1" x14ac:dyDescent="0.25">
      <c r="A8" s="4" t="s">
        <v>34</v>
      </c>
      <c r="B8" s="15">
        <f>B7*E7</f>
        <v>0</v>
      </c>
      <c r="C8" s="391">
        <f>B10*24</f>
        <v>0</v>
      </c>
      <c r="D8" s="421" t="s">
        <v>35</v>
      </c>
      <c r="E8" s="422"/>
      <c r="I8" s="4">
        <v>400</v>
      </c>
      <c r="J8" s="15">
        <v>2.0833333333333298E-3</v>
      </c>
      <c r="K8" s="4">
        <v>50</v>
      </c>
      <c r="L8" s="15">
        <v>3.125E-2</v>
      </c>
      <c r="P8" s="638"/>
      <c r="Q8" s="59">
        <v>5</v>
      </c>
      <c r="R8" s="52">
        <f t="shared" si="0"/>
        <v>3.3333333333333402E-2</v>
      </c>
      <c r="S8" s="53">
        <f>S7+$T$4</f>
        <v>5.5555555555555601E-3</v>
      </c>
      <c r="T8" s="624"/>
      <c r="V8" s="184"/>
      <c r="W8" s="59">
        <v>4</v>
      </c>
      <c r="X8" s="52">
        <f t="shared" si="1"/>
        <v>2.0138888888888901E-2</v>
      </c>
      <c r="Y8" s="53">
        <f>Y7+$Z$5</f>
        <v>6.2499999999999899E-3</v>
      </c>
      <c r="Z8" s="201"/>
      <c r="AB8" s="184"/>
      <c r="AC8" s="59">
        <v>4</v>
      </c>
      <c r="AD8" s="52">
        <f t="shared" si="2"/>
        <v>2.0138888888888901E-2</v>
      </c>
      <c r="AE8" s="53">
        <f>AE7+$Z$5</f>
        <v>6.2499999999999899E-3</v>
      </c>
      <c r="AF8" s="201"/>
    </row>
    <row r="9" spans="1:32" ht="15" customHeight="1" x14ac:dyDescent="0.25">
      <c r="A9" s="4" t="s">
        <v>36</v>
      </c>
      <c r="B9" s="341" t="e">
        <f>SUM(B2:B8)</f>
        <v>#N/A</v>
      </c>
      <c r="C9" s="381" t="s">
        <v>37</v>
      </c>
      <c r="D9" s="421" t="s">
        <v>38</v>
      </c>
      <c r="E9" s="115"/>
      <c r="I9" s="4">
        <v>600</v>
      </c>
      <c r="J9" s="15">
        <v>3.4722222222222199E-3</v>
      </c>
      <c r="K9" s="4">
        <v>60</v>
      </c>
      <c r="L9" s="15">
        <f t="shared" ref="L9:L40" si="3">$L$6+(((K9-$K$6)/10)*$M$2)</f>
        <v>4.1666666666666699E-2</v>
      </c>
      <c r="P9" s="91" t="s">
        <v>39</v>
      </c>
      <c r="Q9" s="69">
        <v>6</v>
      </c>
      <c r="R9" s="70">
        <f t="shared" si="0"/>
        <v>3.50694444444445E-2</v>
      </c>
      <c r="S9" s="71">
        <f t="shared" ref="S9:S18" si="4">S8+$T$9</f>
        <v>7.2916666666666703E-3</v>
      </c>
      <c r="T9" s="643">
        <v>1.7361111111111099E-3</v>
      </c>
      <c r="V9" s="184"/>
      <c r="W9" s="59">
        <v>5</v>
      </c>
      <c r="X9" s="52">
        <f t="shared" si="1"/>
        <v>2.2222222222222199E-2</v>
      </c>
      <c r="Y9" s="53">
        <f>Y8+$Z$5</f>
        <v>8.3333333333333193E-3</v>
      </c>
      <c r="Z9" s="201"/>
      <c r="AB9" s="184"/>
      <c r="AC9" s="59">
        <v>5</v>
      </c>
      <c r="AD9" s="52">
        <f t="shared" si="2"/>
        <v>2.2222222222222199E-2</v>
      </c>
      <c r="AE9" s="53">
        <f>AE8+$Z$5</f>
        <v>8.3333333333333193E-3</v>
      </c>
      <c r="AF9" s="201"/>
    </row>
    <row r="10" spans="1:32" ht="15" customHeight="1" thickBot="1" x14ac:dyDescent="0.3">
      <c r="A10" s="329" t="s">
        <v>40</v>
      </c>
      <c r="B10" s="17">
        <f>IF(E9&gt;0,B9,0)</f>
        <v>0</v>
      </c>
      <c r="C10" s="382">
        <f>C8/7</f>
        <v>0</v>
      </c>
      <c r="D10" s="421" t="s">
        <v>41</v>
      </c>
      <c r="E10" s="115"/>
      <c r="I10" s="4">
        <v>700</v>
      </c>
      <c r="J10" s="15">
        <v>3.81944444444444E-3</v>
      </c>
      <c r="K10" s="4">
        <v>70</v>
      </c>
      <c r="L10" s="15">
        <f t="shared" si="3"/>
        <v>4.5138888888888902E-2</v>
      </c>
      <c r="P10" s="91"/>
      <c r="Q10" s="69">
        <v>7</v>
      </c>
      <c r="R10" s="70">
        <f t="shared" si="0"/>
        <v>3.6805555555555598E-2</v>
      </c>
      <c r="S10" s="71">
        <f t="shared" si="4"/>
        <v>9.0277777777777804E-3</v>
      </c>
      <c r="T10" s="623"/>
      <c r="V10" s="68" t="s">
        <v>42</v>
      </c>
      <c r="W10" s="69">
        <v>6</v>
      </c>
      <c r="X10" s="52">
        <f t="shared" si="1"/>
        <v>2.4652777777777801E-2</v>
      </c>
      <c r="Y10" s="71">
        <f t="shared" ref="Y10:Y19" si="5">Y9+$Z$10</f>
        <v>1.0763888888888899E-2</v>
      </c>
      <c r="Z10" s="202">
        <v>2.4305555555555599E-3</v>
      </c>
      <c r="AB10" s="68" t="s">
        <v>42</v>
      </c>
      <c r="AC10" s="69">
        <v>6</v>
      </c>
      <c r="AD10" s="52">
        <f t="shared" si="2"/>
        <v>2.4652777777777801E-2</v>
      </c>
      <c r="AE10" s="71">
        <f t="shared" ref="AE10:AE19" si="6">AE9+$AF$10</f>
        <v>1.0763888888888899E-2</v>
      </c>
      <c r="AF10" s="202">
        <v>2.4305555555555599E-3</v>
      </c>
    </row>
    <row r="11" spans="1:32" ht="15" customHeight="1" thickBot="1" x14ac:dyDescent="0.3">
      <c r="A11" s="30"/>
      <c r="B11" s="30"/>
      <c r="C11" s="383"/>
      <c r="D11" s="3" t="s">
        <v>43</v>
      </c>
      <c r="E11" s="422"/>
      <c r="I11" s="4">
        <v>800</v>
      </c>
      <c r="J11" s="15">
        <v>4.5138888888888902E-3</v>
      </c>
      <c r="K11" s="4">
        <v>80</v>
      </c>
      <c r="L11" s="15">
        <f t="shared" si="3"/>
        <v>4.8611111111111098E-2</v>
      </c>
      <c r="P11" s="91"/>
      <c r="Q11" s="69">
        <v>8</v>
      </c>
      <c r="R11" s="70">
        <f t="shared" si="0"/>
        <v>3.8541666666666703E-2</v>
      </c>
      <c r="S11" s="71">
        <f t="shared" si="4"/>
        <v>1.0763888888888899E-2</v>
      </c>
      <c r="T11" s="623"/>
      <c r="V11" s="68"/>
      <c r="W11" s="69">
        <v>7</v>
      </c>
      <c r="X11" s="52">
        <f t="shared" si="1"/>
        <v>2.70833333333334E-2</v>
      </c>
      <c r="Y11" s="71">
        <f t="shared" si="5"/>
        <v>1.31944444444445E-2</v>
      </c>
      <c r="Z11" s="187"/>
      <c r="AB11" s="68"/>
      <c r="AC11" s="69">
        <v>7</v>
      </c>
      <c r="AD11" s="52">
        <f t="shared" si="2"/>
        <v>2.70833333333334E-2</v>
      </c>
      <c r="AE11" s="71">
        <f t="shared" si="6"/>
        <v>1.31944444444445E-2</v>
      </c>
      <c r="AF11" s="187"/>
    </row>
    <row r="12" spans="1:32" ht="15" customHeight="1" thickBot="1" x14ac:dyDescent="0.3">
      <c r="A12" s="337" t="s">
        <v>44</v>
      </c>
      <c r="B12" s="340"/>
      <c r="C12" s="244"/>
      <c r="D12" s="421" t="s">
        <v>45</v>
      </c>
      <c r="E12" s="115"/>
      <c r="I12" s="4">
        <v>900</v>
      </c>
      <c r="J12" s="15">
        <v>4.8611111111111103E-3</v>
      </c>
      <c r="K12" s="4">
        <v>90</v>
      </c>
      <c r="L12" s="15">
        <f t="shared" si="3"/>
        <v>5.2083333333333301E-2</v>
      </c>
      <c r="P12" s="91"/>
      <c r="Q12" s="69">
        <v>9</v>
      </c>
      <c r="R12" s="70">
        <f t="shared" si="0"/>
        <v>4.0277777777777801E-2</v>
      </c>
      <c r="S12" s="71">
        <f t="shared" si="4"/>
        <v>1.2500000000000001E-2</v>
      </c>
      <c r="T12" s="623"/>
      <c r="V12" s="68"/>
      <c r="W12" s="69">
        <v>8</v>
      </c>
      <c r="X12" s="52">
        <f t="shared" si="1"/>
        <v>2.9513888888888999E-2</v>
      </c>
      <c r="Y12" s="71">
        <f t="shared" si="5"/>
        <v>1.5625000000000101E-2</v>
      </c>
      <c r="Z12" s="187"/>
      <c r="AB12" s="68"/>
      <c r="AC12" s="69">
        <v>8</v>
      </c>
      <c r="AD12" s="52">
        <f t="shared" si="2"/>
        <v>2.9513888888888999E-2</v>
      </c>
      <c r="AE12" s="71">
        <f t="shared" si="6"/>
        <v>1.5625000000000101E-2</v>
      </c>
      <c r="AF12" s="187"/>
    </row>
    <row r="13" spans="1:32" ht="15" customHeight="1" x14ac:dyDescent="0.25">
      <c r="A13" s="106" t="s">
        <v>46</v>
      </c>
      <c r="B13" s="107"/>
      <c r="C13" s="244"/>
      <c r="D13" s="3" t="s">
        <v>47</v>
      </c>
      <c r="E13" s="422"/>
      <c r="I13" s="4">
        <v>1000</v>
      </c>
      <c r="J13" s="15">
        <v>5.9027777777777802E-3</v>
      </c>
      <c r="K13" s="4">
        <v>100</v>
      </c>
      <c r="L13" s="15">
        <f t="shared" si="3"/>
        <v>5.5555555555555497E-2</v>
      </c>
      <c r="P13" s="91"/>
      <c r="Q13" s="69">
        <v>10</v>
      </c>
      <c r="R13" s="70">
        <f t="shared" si="0"/>
        <v>4.2013888888888899E-2</v>
      </c>
      <c r="S13" s="71">
        <f t="shared" si="4"/>
        <v>1.42361111111111E-2</v>
      </c>
      <c r="T13" s="623"/>
      <c r="V13" s="68"/>
      <c r="W13" s="69">
        <v>9</v>
      </c>
      <c r="X13" s="52">
        <f t="shared" si="1"/>
        <v>3.1944444444444602E-2</v>
      </c>
      <c r="Y13" s="71">
        <f t="shared" si="5"/>
        <v>1.80555555555557E-2</v>
      </c>
      <c r="Z13" s="187"/>
      <c r="AB13" s="68"/>
      <c r="AC13" s="69">
        <v>9</v>
      </c>
      <c r="AD13" s="52">
        <f t="shared" si="2"/>
        <v>3.1944444444444602E-2</v>
      </c>
      <c r="AE13" s="71">
        <f t="shared" si="6"/>
        <v>1.80555555555557E-2</v>
      </c>
      <c r="AF13" s="187"/>
    </row>
    <row r="14" spans="1:32" ht="15" customHeight="1" x14ac:dyDescent="0.25">
      <c r="A14" s="5" t="s">
        <v>48</v>
      </c>
      <c r="B14" s="108">
        <f>H29</f>
        <v>1.38888888888889E-2</v>
      </c>
      <c r="C14" s="244"/>
      <c r="D14" s="421" t="s">
        <v>49</v>
      </c>
      <c r="E14" s="115"/>
      <c r="I14" s="4">
        <v>1100</v>
      </c>
      <c r="J14" s="15">
        <v>6.2500000000000003E-3</v>
      </c>
      <c r="K14" s="4">
        <v>110</v>
      </c>
      <c r="L14" s="15">
        <f t="shared" si="3"/>
        <v>5.9027777777777797E-2</v>
      </c>
      <c r="P14" s="91"/>
      <c r="Q14" s="69">
        <v>11</v>
      </c>
      <c r="R14" s="70">
        <f t="shared" si="0"/>
        <v>4.3749999999999997E-2</v>
      </c>
      <c r="S14" s="71">
        <f t="shared" si="4"/>
        <v>1.59722222222222E-2</v>
      </c>
      <c r="T14" s="623"/>
      <c r="V14" s="68"/>
      <c r="W14" s="69">
        <v>10</v>
      </c>
      <c r="X14" s="52">
        <f t="shared" si="1"/>
        <v>3.4375000000000197E-2</v>
      </c>
      <c r="Y14" s="71">
        <f t="shared" si="5"/>
        <v>2.0486111111111299E-2</v>
      </c>
      <c r="Z14" s="187"/>
      <c r="AB14" s="68"/>
      <c r="AC14" s="69">
        <v>10</v>
      </c>
      <c r="AD14" s="52">
        <f t="shared" si="2"/>
        <v>3.4375000000000197E-2</v>
      </c>
      <c r="AE14" s="71">
        <f t="shared" si="6"/>
        <v>2.0486111111111299E-2</v>
      </c>
      <c r="AF14" s="187"/>
    </row>
    <row r="15" spans="1:32" ht="14.65" customHeight="1" x14ac:dyDescent="0.25">
      <c r="A15" s="5" t="s">
        <v>50</v>
      </c>
      <c r="B15" s="108">
        <f>(B14*E7)*2</f>
        <v>0</v>
      </c>
      <c r="C15" s="244"/>
      <c r="D15" s="421" t="s">
        <v>51</v>
      </c>
      <c r="E15" s="115"/>
      <c r="I15" s="4">
        <v>1200</v>
      </c>
      <c r="J15" s="15">
        <v>6.5972222222222196E-3</v>
      </c>
      <c r="K15" s="4">
        <v>120</v>
      </c>
      <c r="L15" s="15">
        <f t="shared" si="3"/>
        <v>6.25E-2</v>
      </c>
      <c r="P15" s="91"/>
      <c r="Q15" s="69">
        <v>12</v>
      </c>
      <c r="R15" s="70">
        <f t="shared" si="0"/>
        <v>4.5486111111111102E-2</v>
      </c>
      <c r="S15" s="71">
        <f t="shared" si="4"/>
        <v>1.7708333333333302E-2</v>
      </c>
      <c r="T15" s="623"/>
      <c r="V15" s="68"/>
      <c r="W15" s="69">
        <v>11</v>
      </c>
      <c r="X15" s="52">
        <f t="shared" si="1"/>
        <v>3.6805555555555799E-2</v>
      </c>
      <c r="Y15" s="71">
        <f t="shared" si="5"/>
        <v>2.2916666666666901E-2</v>
      </c>
      <c r="Z15" s="187"/>
      <c r="AB15" s="68"/>
      <c r="AC15" s="69">
        <v>11</v>
      </c>
      <c r="AD15" s="52">
        <f t="shared" si="2"/>
        <v>3.6805555555555799E-2</v>
      </c>
      <c r="AE15" s="71">
        <f t="shared" si="6"/>
        <v>2.2916666666666901E-2</v>
      </c>
      <c r="AF15" s="187"/>
    </row>
    <row r="16" spans="1:32" ht="15" customHeight="1" x14ac:dyDescent="0.25">
      <c r="A16" s="5" t="s">
        <v>52</v>
      </c>
      <c r="B16" s="109">
        <f>SUM(B14:B15)</f>
        <v>1.38888888888889E-2</v>
      </c>
      <c r="C16" s="244"/>
      <c r="D16" s="3" t="s">
        <v>53</v>
      </c>
      <c r="E16" s="115"/>
      <c r="I16" s="4">
        <v>1300</v>
      </c>
      <c r="J16" s="15">
        <v>6.9444444444444397E-3</v>
      </c>
      <c r="K16" s="4">
        <v>130</v>
      </c>
      <c r="L16" s="15">
        <f t="shared" si="3"/>
        <v>6.5972222222222196E-2</v>
      </c>
      <c r="P16" s="91"/>
      <c r="Q16" s="69">
        <v>13</v>
      </c>
      <c r="R16" s="70">
        <f t="shared" si="0"/>
        <v>4.72222222222222E-2</v>
      </c>
      <c r="S16" s="71">
        <f t="shared" si="4"/>
        <v>1.94444444444444E-2</v>
      </c>
      <c r="T16" s="623"/>
      <c r="V16" s="68"/>
      <c r="W16" s="69">
        <v>12</v>
      </c>
      <c r="X16" s="52">
        <f t="shared" si="1"/>
        <v>3.9236111111111402E-2</v>
      </c>
      <c r="Y16" s="71">
        <f t="shared" si="5"/>
        <v>2.53472222222225E-2</v>
      </c>
      <c r="Z16" s="187"/>
      <c r="AB16" s="68"/>
      <c r="AC16" s="69">
        <v>12</v>
      </c>
      <c r="AD16" s="52">
        <f t="shared" si="2"/>
        <v>3.9236111111111402E-2</v>
      </c>
      <c r="AE16" s="71">
        <f t="shared" si="6"/>
        <v>2.53472222222225E-2</v>
      </c>
      <c r="AF16" s="187"/>
    </row>
    <row r="17" spans="1:32" ht="15" customHeight="1" thickBot="1" x14ac:dyDescent="0.3">
      <c r="A17" s="10"/>
      <c r="B17" s="325">
        <f>IF(E9&gt;0,B16,0)</f>
        <v>0</v>
      </c>
      <c r="C17" s="244"/>
      <c r="K17" s="4">
        <v>140</v>
      </c>
      <c r="L17" s="15">
        <f t="shared" si="3"/>
        <v>6.9444444444444406E-2</v>
      </c>
      <c r="P17" s="91"/>
      <c r="Q17" s="69">
        <v>14</v>
      </c>
      <c r="R17" s="70">
        <f t="shared" si="0"/>
        <v>4.8958333333333298E-2</v>
      </c>
      <c r="S17" s="71">
        <f t="shared" si="4"/>
        <v>2.1180555555555501E-2</v>
      </c>
      <c r="T17" s="623"/>
      <c r="V17" s="68"/>
      <c r="W17" s="69">
        <v>13</v>
      </c>
      <c r="X17" s="52">
        <f t="shared" si="1"/>
        <v>4.1666666666666997E-2</v>
      </c>
      <c r="Y17" s="71">
        <f t="shared" si="5"/>
        <v>2.7777777777778099E-2</v>
      </c>
      <c r="Z17" s="187"/>
      <c r="AB17" s="68"/>
      <c r="AC17" s="69">
        <v>13</v>
      </c>
      <c r="AD17" s="52">
        <f t="shared" si="2"/>
        <v>4.1666666666666997E-2</v>
      </c>
      <c r="AE17" s="71">
        <f t="shared" si="6"/>
        <v>2.7777777777778099E-2</v>
      </c>
      <c r="AF17" s="187"/>
    </row>
    <row r="18" spans="1:32" ht="14.65" customHeight="1" x14ac:dyDescent="0.25">
      <c r="A18" s="333" t="s">
        <v>54</v>
      </c>
      <c r="B18" s="1"/>
      <c r="C18" s="244"/>
      <c r="K18" s="4">
        <v>150</v>
      </c>
      <c r="L18" s="15">
        <f t="shared" si="3"/>
        <v>7.2916666666666602E-2</v>
      </c>
      <c r="P18" s="91"/>
      <c r="Q18" s="69">
        <v>15</v>
      </c>
      <c r="R18" s="70">
        <f t="shared" si="0"/>
        <v>5.0694444444444403E-2</v>
      </c>
      <c r="S18" s="71">
        <f t="shared" si="4"/>
        <v>2.2916666666666599E-2</v>
      </c>
      <c r="T18" s="624"/>
      <c r="V18" s="68"/>
      <c r="W18" s="69">
        <v>14</v>
      </c>
      <c r="X18" s="52">
        <f t="shared" si="1"/>
        <v>4.40972222222226E-2</v>
      </c>
      <c r="Y18" s="71">
        <f t="shared" si="5"/>
        <v>3.0208333333333701E-2</v>
      </c>
      <c r="Z18" s="187"/>
      <c r="AB18" s="68"/>
      <c r="AC18" s="69">
        <v>14</v>
      </c>
      <c r="AD18" s="52">
        <f t="shared" si="2"/>
        <v>4.40972222222226E-2</v>
      </c>
      <c r="AE18" s="71">
        <f t="shared" si="6"/>
        <v>3.0208333333333701E-2</v>
      </c>
      <c r="AF18" s="187"/>
    </row>
    <row r="19" spans="1:32" ht="21" customHeight="1" x14ac:dyDescent="0.35">
      <c r="A19" s="4" t="s">
        <v>55</v>
      </c>
      <c r="B19" s="15">
        <f>INDEX(X4:X154,MATCH(E10,W4:W154,0))</f>
        <v>0</v>
      </c>
      <c r="C19" s="244"/>
      <c r="G19" s="266" t="s">
        <v>5</v>
      </c>
      <c r="H19" s="322" t="s">
        <v>56</v>
      </c>
      <c r="I19" s="323" t="s">
        <v>57</v>
      </c>
      <c r="K19" s="4">
        <v>160</v>
      </c>
      <c r="L19" s="15">
        <f t="shared" si="3"/>
        <v>7.6388888888888895E-2</v>
      </c>
      <c r="P19" s="92" t="s">
        <v>58</v>
      </c>
      <c r="Q19" s="63">
        <v>16</v>
      </c>
      <c r="R19" s="55">
        <f t="shared" si="0"/>
        <v>5.2604166666666598E-2</v>
      </c>
      <c r="S19" s="56">
        <f t="shared" ref="S19:S28" si="7">S18+$T$19</f>
        <v>2.4826388888888801E-2</v>
      </c>
      <c r="T19" s="622">
        <v>1.90972222222222E-3</v>
      </c>
      <c r="V19" s="68"/>
      <c r="W19" s="69">
        <v>15</v>
      </c>
      <c r="X19" s="52">
        <f t="shared" si="1"/>
        <v>4.6527777777778202E-2</v>
      </c>
      <c r="Y19" s="71">
        <f t="shared" si="5"/>
        <v>3.26388888888893E-2</v>
      </c>
      <c r="Z19" s="86"/>
      <c r="AB19" s="68"/>
      <c r="AC19" s="69">
        <v>15</v>
      </c>
      <c r="AD19" s="52">
        <f t="shared" si="2"/>
        <v>4.6527777777778202E-2</v>
      </c>
      <c r="AE19" s="71">
        <f t="shared" si="6"/>
        <v>3.26388888888893E-2</v>
      </c>
      <c r="AF19" s="86"/>
    </row>
    <row r="20" spans="1:32" ht="14.65" customHeight="1" x14ac:dyDescent="0.25">
      <c r="A20" s="4" t="s">
        <v>59</v>
      </c>
      <c r="B20" s="15">
        <f>INDEX(AD4:AD64,MATCH(E12,AC4:AC64,0))</f>
        <v>0</v>
      </c>
      <c r="C20" s="244"/>
      <c r="G20" s="267" t="s">
        <v>60</v>
      </c>
      <c r="H20" s="116">
        <v>1.0416666666666701E-2</v>
      </c>
      <c r="I20" s="15">
        <v>2.0833333333333301E-2</v>
      </c>
      <c r="K20" s="4">
        <v>170</v>
      </c>
      <c r="L20" s="15">
        <f t="shared" si="3"/>
        <v>7.9861111111111105E-2</v>
      </c>
      <c r="P20" s="92"/>
      <c r="Q20" s="63">
        <v>17</v>
      </c>
      <c r="R20" s="55">
        <f t="shared" si="0"/>
        <v>5.4513888888888799E-2</v>
      </c>
      <c r="S20" s="56">
        <f t="shared" si="7"/>
        <v>2.6736111111110999E-2</v>
      </c>
      <c r="T20" s="623"/>
      <c r="V20" s="62" t="s">
        <v>61</v>
      </c>
      <c r="W20" s="63">
        <v>16</v>
      </c>
      <c r="X20" s="52">
        <f t="shared" si="1"/>
        <v>4.9652777777778198E-2</v>
      </c>
      <c r="Y20" s="56">
        <f t="shared" ref="Y20:Y29" si="8">Y19+$Z$20</f>
        <v>3.5763888888889303E-2</v>
      </c>
      <c r="Z20" s="198">
        <v>3.1250000000000002E-3</v>
      </c>
      <c r="AB20" s="62" t="s">
        <v>61</v>
      </c>
      <c r="AC20" s="63">
        <v>16</v>
      </c>
      <c r="AD20" s="52">
        <f t="shared" si="2"/>
        <v>4.9652777777778198E-2</v>
      </c>
      <c r="AE20" s="56">
        <f t="shared" ref="AE20:AE29" si="9">AE19+$AF$20</f>
        <v>3.5763888888889303E-2</v>
      </c>
      <c r="AF20" s="198">
        <v>3.1250000000000002E-3</v>
      </c>
    </row>
    <row r="21" spans="1:32" ht="14.65" customHeight="1" x14ac:dyDescent="0.25">
      <c r="A21" s="4" t="s">
        <v>62</v>
      </c>
      <c r="B21" s="116">
        <f>H33*E10</f>
        <v>0</v>
      </c>
      <c r="C21" s="244"/>
      <c r="G21" s="267" t="s">
        <v>63</v>
      </c>
      <c r="H21" s="252">
        <v>1.0416666666666701E-2</v>
      </c>
      <c r="I21" s="264">
        <v>3.125E-2</v>
      </c>
      <c r="K21" s="4">
        <v>180</v>
      </c>
      <c r="L21" s="15">
        <f t="shared" si="3"/>
        <v>8.3333333333333301E-2</v>
      </c>
      <c r="P21" s="92"/>
      <c r="Q21" s="63">
        <v>18</v>
      </c>
      <c r="R21" s="55">
        <f t="shared" si="0"/>
        <v>5.6423611111111001E-2</v>
      </c>
      <c r="S21" s="56">
        <f t="shared" si="7"/>
        <v>2.86458333333332E-2</v>
      </c>
      <c r="T21" s="623"/>
      <c r="V21" s="62"/>
      <c r="W21" s="63">
        <v>17</v>
      </c>
      <c r="X21" s="52">
        <f t="shared" si="1"/>
        <v>5.2777777777778201E-2</v>
      </c>
      <c r="Y21" s="56">
        <f t="shared" si="8"/>
        <v>3.8888888888889299E-2</v>
      </c>
      <c r="Z21" s="199"/>
      <c r="AB21" s="62"/>
      <c r="AC21" s="63">
        <v>17</v>
      </c>
      <c r="AD21" s="52">
        <f t="shared" si="2"/>
        <v>5.2777777777778201E-2</v>
      </c>
      <c r="AE21" s="56">
        <f t="shared" si="9"/>
        <v>3.8888888888889299E-2</v>
      </c>
      <c r="AF21" s="199"/>
    </row>
    <row r="22" spans="1:32" ht="14.65" customHeight="1" x14ac:dyDescent="0.25">
      <c r="A22" s="4" t="s">
        <v>64</v>
      </c>
      <c r="B22" s="15">
        <f>B21/2</f>
        <v>0</v>
      </c>
      <c r="C22" s="244"/>
      <c r="G22" s="267" t="s">
        <v>65</v>
      </c>
      <c r="H22" s="50" t="s">
        <v>66</v>
      </c>
      <c r="I22" s="4"/>
      <c r="K22" s="4">
        <v>190</v>
      </c>
      <c r="L22" s="15">
        <f t="shared" si="3"/>
        <v>8.6805555555555497E-2</v>
      </c>
      <c r="P22" s="92"/>
      <c r="Q22" s="63">
        <v>19</v>
      </c>
      <c r="R22" s="55">
        <f t="shared" si="0"/>
        <v>5.8333333333333202E-2</v>
      </c>
      <c r="S22" s="56">
        <f t="shared" si="7"/>
        <v>3.0555555555555398E-2</v>
      </c>
      <c r="T22" s="623"/>
      <c r="V22" s="62"/>
      <c r="W22" s="63">
        <v>18</v>
      </c>
      <c r="X22" s="52">
        <f t="shared" si="1"/>
        <v>5.5902777777778197E-2</v>
      </c>
      <c r="Y22" s="56">
        <f t="shared" si="8"/>
        <v>4.2013888888889302E-2</v>
      </c>
      <c r="Z22" s="199"/>
      <c r="AB22" s="62"/>
      <c r="AC22" s="63">
        <v>18</v>
      </c>
      <c r="AD22" s="52">
        <f t="shared" si="2"/>
        <v>5.5902777777778197E-2</v>
      </c>
      <c r="AE22" s="56">
        <f t="shared" si="9"/>
        <v>4.2013888888889302E-2</v>
      </c>
      <c r="AF22" s="199"/>
    </row>
    <row r="23" spans="1:32" ht="14.65" customHeight="1" x14ac:dyDescent="0.25">
      <c r="A23" s="4" t="s">
        <v>67</v>
      </c>
      <c r="B23" s="15">
        <f>H33*E12</f>
        <v>0</v>
      </c>
      <c r="C23" s="244"/>
      <c r="G23" s="267" t="s">
        <v>30</v>
      </c>
      <c r="H23" s="252">
        <v>0</v>
      </c>
      <c r="I23" s="51">
        <v>0</v>
      </c>
      <c r="K23" s="4">
        <v>200</v>
      </c>
      <c r="L23" s="15">
        <f t="shared" si="3"/>
        <v>9.0277777777777707E-2</v>
      </c>
      <c r="P23" s="92"/>
      <c r="Q23" s="63">
        <v>20</v>
      </c>
      <c r="R23" s="55">
        <f t="shared" si="0"/>
        <v>6.0243055555555397E-2</v>
      </c>
      <c r="S23" s="56">
        <f t="shared" si="7"/>
        <v>3.24652777777776E-2</v>
      </c>
      <c r="T23" s="623"/>
      <c r="V23" s="62"/>
      <c r="W23" s="63">
        <v>19</v>
      </c>
      <c r="X23" s="52">
        <f t="shared" si="1"/>
        <v>5.90277777777782E-2</v>
      </c>
      <c r="Y23" s="56">
        <f t="shared" si="8"/>
        <v>4.5138888888889298E-2</v>
      </c>
      <c r="Z23" s="199"/>
      <c r="AB23" s="62"/>
      <c r="AC23" s="63">
        <v>19</v>
      </c>
      <c r="AD23" s="52">
        <f t="shared" si="2"/>
        <v>5.90277777777782E-2</v>
      </c>
      <c r="AE23" s="56">
        <f t="shared" si="9"/>
        <v>4.5138888888889298E-2</v>
      </c>
      <c r="AF23" s="199"/>
    </row>
    <row r="24" spans="1:32" ht="14.65" customHeight="1" x14ac:dyDescent="0.25">
      <c r="A24" s="4" t="s">
        <v>68</v>
      </c>
      <c r="B24" s="15">
        <f>B23</f>
        <v>0</v>
      </c>
      <c r="C24" s="380">
        <f>B26*24</f>
        <v>0.75</v>
      </c>
      <c r="G24" s="267" t="s">
        <v>69</v>
      </c>
      <c r="H24" s="116">
        <v>2.7777777777777801E-2</v>
      </c>
      <c r="I24" s="15">
        <v>2.7777777777777801E-2</v>
      </c>
      <c r="K24" s="4">
        <v>210</v>
      </c>
      <c r="L24" s="15">
        <f t="shared" si="3"/>
        <v>9.375E-2</v>
      </c>
      <c r="P24" s="92"/>
      <c r="Q24" s="63">
        <v>21</v>
      </c>
      <c r="R24" s="55">
        <f t="shared" si="0"/>
        <v>6.2152777777777599E-2</v>
      </c>
      <c r="S24" s="56">
        <f t="shared" si="7"/>
        <v>3.4374999999999802E-2</v>
      </c>
      <c r="T24" s="623"/>
      <c r="V24" s="62"/>
      <c r="W24" s="63">
        <v>20</v>
      </c>
      <c r="X24" s="52">
        <f t="shared" si="1"/>
        <v>6.2152777777778202E-2</v>
      </c>
      <c r="Y24" s="56">
        <f t="shared" si="8"/>
        <v>4.82638888888893E-2</v>
      </c>
      <c r="Z24" s="199"/>
      <c r="AB24" s="62"/>
      <c r="AC24" s="63">
        <v>20</v>
      </c>
      <c r="AD24" s="52">
        <f t="shared" si="2"/>
        <v>6.2152777777778202E-2</v>
      </c>
      <c r="AE24" s="56">
        <f t="shared" si="9"/>
        <v>4.82638888888893E-2</v>
      </c>
      <c r="AF24" s="199"/>
    </row>
    <row r="25" spans="1:32" ht="21" customHeight="1" x14ac:dyDescent="0.35">
      <c r="A25" s="4" t="s">
        <v>70</v>
      </c>
      <c r="B25" s="116">
        <f>H26+(H27*E8)</f>
        <v>3.125E-2</v>
      </c>
      <c r="C25" s="381" t="s">
        <v>37</v>
      </c>
      <c r="G25" s="268" t="s">
        <v>14</v>
      </c>
      <c r="H25" s="4"/>
      <c r="I25" s="4"/>
      <c r="K25" s="4">
        <v>220</v>
      </c>
      <c r="L25" s="15">
        <f t="shared" si="3"/>
        <v>9.7222222222222196E-2</v>
      </c>
      <c r="P25" s="92"/>
      <c r="Q25" s="63">
        <v>22</v>
      </c>
      <c r="R25" s="55">
        <f t="shared" si="0"/>
        <v>6.40624999999998E-2</v>
      </c>
      <c r="S25" s="56">
        <f t="shared" si="7"/>
        <v>3.6284722222222003E-2</v>
      </c>
      <c r="T25" s="623"/>
      <c r="V25" s="62"/>
      <c r="W25" s="63">
        <v>21</v>
      </c>
      <c r="X25" s="52">
        <f t="shared" si="1"/>
        <v>6.5277777777778198E-2</v>
      </c>
      <c r="Y25" s="56">
        <f t="shared" si="8"/>
        <v>5.1388888888889303E-2</v>
      </c>
      <c r="Z25" s="199"/>
      <c r="AB25" s="62"/>
      <c r="AC25" s="63">
        <v>21</v>
      </c>
      <c r="AD25" s="52">
        <f t="shared" si="2"/>
        <v>6.5277777777778198E-2</v>
      </c>
      <c r="AE25" s="56">
        <f t="shared" si="9"/>
        <v>5.1388888888889303E-2</v>
      </c>
      <c r="AF25" s="199"/>
    </row>
    <row r="26" spans="1:32" ht="14.65" customHeight="1" x14ac:dyDescent="0.25">
      <c r="A26" s="49" t="s">
        <v>71</v>
      </c>
      <c r="B26" s="332">
        <f>SUM(B17:B25)</f>
        <v>3.125E-2</v>
      </c>
      <c r="C26" s="382">
        <f>C24/7</f>
        <v>0.11</v>
      </c>
      <c r="F26" s="169"/>
      <c r="G26" s="267" t="s">
        <v>72</v>
      </c>
      <c r="H26" s="51">
        <v>3.125E-2</v>
      </c>
      <c r="I26" s="4"/>
      <c r="K26" s="4">
        <v>230</v>
      </c>
      <c r="L26" s="15">
        <f t="shared" si="3"/>
        <v>0.100694444444444</v>
      </c>
      <c r="P26" s="92"/>
      <c r="Q26" s="63">
        <v>23</v>
      </c>
      <c r="R26" s="55">
        <f t="shared" si="0"/>
        <v>6.5972222222222002E-2</v>
      </c>
      <c r="S26" s="56">
        <f t="shared" si="7"/>
        <v>3.8194444444444198E-2</v>
      </c>
      <c r="T26" s="623"/>
      <c r="V26" s="62"/>
      <c r="W26" s="63">
        <v>22</v>
      </c>
      <c r="X26" s="52">
        <f t="shared" si="1"/>
        <v>6.8402777777778201E-2</v>
      </c>
      <c r="Y26" s="56">
        <f t="shared" si="8"/>
        <v>5.4513888888889299E-2</v>
      </c>
      <c r="Z26" s="199"/>
      <c r="AB26" s="62"/>
      <c r="AC26" s="63">
        <v>22</v>
      </c>
      <c r="AD26" s="52">
        <f t="shared" si="2"/>
        <v>6.8402777777778201E-2</v>
      </c>
      <c r="AE26" s="56">
        <f t="shared" si="9"/>
        <v>5.4513888888889299E-2</v>
      </c>
      <c r="AF26" s="199"/>
    </row>
    <row r="27" spans="1:32" ht="15" customHeight="1" thickBot="1" x14ac:dyDescent="0.3">
      <c r="A27" s="30"/>
      <c r="B27" s="30"/>
      <c r="C27" s="244"/>
      <c r="G27" s="267" t="s">
        <v>73</v>
      </c>
      <c r="H27" s="51">
        <v>1.0416666666666699E-3</v>
      </c>
      <c r="I27" s="4"/>
      <c r="K27" s="4">
        <v>240</v>
      </c>
      <c r="L27" s="15">
        <f t="shared" si="3"/>
        <v>0.104166666666667</v>
      </c>
      <c r="P27" s="92"/>
      <c r="Q27" s="63">
        <v>24</v>
      </c>
      <c r="R27" s="55">
        <f t="shared" si="0"/>
        <v>6.7881944444444203E-2</v>
      </c>
      <c r="S27" s="56">
        <f t="shared" si="7"/>
        <v>4.0104166666666399E-2</v>
      </c>
      <c r="T27" s="623"/>
      <c r="V27" s="62"/>
      <c r="W27" s="63">
        <v>23</v>
      </c>
      <c r="X27" s="52">
        <f t="shared" si="1"/>
        <v>7.1527777777778204E-2</v>
      </c>
      <c r="Y27" s="56">
        <f t="shared" si="8"/>
        <v>5.7638888888889302E-2</v>
      </c>
      <c r="Z27" s="199"/>
      <c r="AB27" s="62"/>
      <c r="AC27" s="63">
        <v>23</v>
      </c>
      <c r="AD27" s="52">
        <f t="shared" si="2"/>
        <v>7.1527777777778204E-2</v>
      </c>
      <c r="AE27" s="56">
        <f t="shared" si="9"/>
        <v>5.7638888888889302E-2</v>
      </c>
      <c r="AF27" s="199"/>
    </row>
    <row r="28" spans="1:32" ht="21.4" customHeight="1" thickBot="1" x14ac:dyDescent="0.4">
      <c r="A28" s="163" t="s">
        <v>74</v>
      </c>
      <c r="B28" s="164"/>
      <c r="C28" s="244"/>
      <c r="G28" s="268" t="s">
        <v>75</v>
      </c>
      <c r="H28" s="38">
        <v>1.0416666666666699E-3</v>
      </c>
      <c r="I28" s="4"/>
      <c r="K28" s="4">
        <v>250</v>
      </c>
      <c r="L28" s="15">
        <f t="shared" si="3"/>
        <v>0.10763888888888901</v>
      </c>
      <c r="P28" s="92"/>
      <c r="Q28" s="63">
        <v>25</v>
      </c>
      <c r="R28" s="55">
        <f t="shared" si="0"/>
        <v>6.9791666666666405E-2</v>
      </c>
      <c r="S28" s="56">
        <f t="shared" si="7"/>
        <v>4.2013888888888601E-2</v>
      </c>
      <c r="T28" s="624"/>
      <c r="V28" s="62"/>
      <c r="W28" s="63">
        <v>24</v>
      </c>
      <c r="X28" s="52">
        <f t="shared" si="1"/>
        <v>7.4652777777778206E-2</v>
      </c>
      <c r="Y28" s="56">
        <f t="shared" si="8"/>
        <v>6.0763888888889298E-2</v>
      </c>
      <c r="Z28" s="199"/>
      <c r="AB28" s="62"/>
      <c r="AC28" s="63">
        <v>24</v>
      </c>
      <c r="AD28" s="52">
        <f t="shared" si="2"/>
        <v>7.4652777777778206E-2</v>
      </c>
      <c r="AE28" s="56">
        <f t="shared" si="9"/>
        <v>6.0763888888889298E-2</v>
      </c>
      <c r="AF28" s="199"/>
    </row>
    <row r="29" spans="1:32" ht="14.65" customHeight="1" x14ac:dyDescent="0.25">
      <c r="A29" s="8" t="s">
        <v>76</v>
      </c>
      <c r="B29" s="36">
        <f>H28</f>
        <v>1.0416666666666699E-3</v>
      </c>
      <c r="C29" s="244"/>
      <c r="G29" s="267" t="s">
        <v>77</v>
      </c>
      <c r="H29" s="252">
        <v>1.38888888888889E-2</v>
      </c>
      <c r="I29" s="4"/>
      <c r="K29" s="4">
        <v>260</v>
      </c>
      <c r="L29" s="15">
        <f t="shared" si="3"/>
        <v>0.11111111111111099</v>
      </c>
      <c r="P29" s="93" t="s">
        <v>78</v>
      </c>
      <c r="Q29" s="73">
        <v>26</v>
      </c>
      <c r="R29" s="74">
        <f t="shared" si="0"/>
        <v>7.1874999999999703E-2</v>
      </c>
      <c r="S29" s="75">
        <f t="shared" ref="S29:S38" si="10">S28+$T$29</f>
        <v>4.4097222222221899E-2</v>
      </c>
      <c r="T29" s="634">
        <v>2.0833333333333298E-3</v>
      </c>
      <c r="V29" s="62"/>
      <c r="W29" s="63">
        <v>25</v>
      </c>
      <c r="X29" s="52">
        <f t="shared" si="1"/>
        <v>7.7777777777778195E-2</v>
      </c>
      <c r="Y29" s="56">
        <f t="shared" si="8"/>
        <v>6.38888888888893E-2</v>
      </c>
      <c r="Z29" s="200"/>
      <c r="AB29" s="62"/>
      <c r="AC29" s="63">
        <v>25</v>
      </c>
      <c r="AD29" s="52">
        <f t="shared" si="2"/>
        <v>7.7777777777778195E-2</v>
      </c>
      <c r="AE29" s="56">
        <f t="shared" si="9"/>
        <v>6.38888888888893E-2</v>
      </c>
      <c r="AF29" s="200"/>
    </row>
    <row r="30" spans="1:32" ht="14.65" customHeight="1" x14ac:dyDescent="0.25">
      <c r="A30" s="5" t="s">
        <v>79</v>
      </c>
      <c r="B30" s="21" t="e">
        <f>B29*E5</f>
        <v>#DIV/0!</v>
      </c>
      <c r="C30" s="244"/>
      <c r="F30" s="169"/>
      <c r="G30" s="267" t="s">
        <v>80</v>
      </c>
      <c r="H30" s="38">
        <v>1.38888888888889E-2</v>
      </c>
      <c r="I30" s="38">
        <v>1.38888888888889E-2</v>
      </c>
      <c r="K30" s="4">
        <v>270</v>
      </c>
      <c r="L30" s="15">
        <f t="shared" si="3"/>
        <v>0.114583333333333</v>
      </c>
      <c r="P30" s="93"/>
      <c r="Q30" s="73">
        <v>27</v>
      </c>
      <c r="R30" s="74">
        <f t="shared" si="0"/>
        <v>7.3958333333333001E-2</v>
      </c>
      <c r="S30" s="75">
        <f t="shared" si="10"/>
        <v>4.6180555555555197E-2</v>
      </c>
      <c r="T30" s="623"/>
      <c r="V30" s="72" t="s">
        <v>81</v>
      </c>
      <c r="W30" s="73">
        <v>26</v>
      </c>
      <c r="X30" s="52">
        <f t="shared" si="1"/>
        <v>8.0902777777778198E-2</v>
      </c>
      <c r="Y30" s="75">
        <f t="shared" ref="Y30:Y39" si="11">Y29+$Z$30</f>
        <v>6.7013888888889303E-2</v>
      </c>
      <c r="Z30" s="194">
        <v>3.1250000000000002E-3</v>
      </c>
      <c r="AB30" s="72" t="s">
        <v>81</v>
      </c>
      <c r="AC30" s="73">
        <v>26</v>
      </c>
      <c r="AD30" s="52">
        <f t="shared" si="2"/>
        <v>8.0902777777778198E-2</v>
      </c>
      <c r="AE30" s="75">
        <f t="shared" ref="AE30:AE39" si="12">AE29+$AF$30</f>
        <v>6.7013888888889303E-2</v>
      </c>
      <c r="AF30" s="194">
        <v>3.1250000000000002E-3</v>
      </c>
    </row>
    <row r="31" spans="1:32" ht="14.65" customHeight="1" x14ac:dyDescent="0.25">
      <c r="A31" s="4" t="s">
        <v>82</v>
      </c>
      <c r="B31" s="37">
        <f>H30</f>
        <v>1.38888888888889E-2</v>
      </c>
      <c r="C31" s="244"/>
      <c r="G31" s="267" t="s">
        <v>55</v>
      </c>
      <c r="H31" s="51" t="s">
        <v>66</v>
      </c>
      <c r="I31" s="4"/>
      <c r="K31" s="4">
        <v>280</v>
      </c>
      <c r="L31" s="15">
        <f t="shared" si="3"/>
        <v>0.118055555555555</v>
      </c>
      <c r="P31" s="93"/>
      <c r="Q31" s="73">
        <v>28</v>
      </c>
      <c r="R31" s="74">
        <f t="shared" si="0"/>
        <v>7.6041666666666299E-2</v>
      </c>
      <c r="S31" s="75">
        <f t="shared" si="10"/>
        <v>4.8263888888888502E-2</v>
      </c>
      <c r="T31" s="623"/>
      <c r="V31" s="72"/>
      <c r="W31" s="73">
        <v>27</v>
      </c>
      <c r="X31" s="52">
        <f t="shared" si="1"/>
        <v>8.4027777777778201E-2</v>
      </c>
      <c r="Y31" s="75">
        <f t="shared" si="11"/>
        <v>7.0138888888889306E-2</v>
      </c>
      <c r="Z31" s="195"/>
      <c r="AB31" s="72"/>
      <c r="AC31" s="73">
        <v>27</v>
      </c>
      <c r="AD31" s="52">
        <f t="shared" si="2"/>
        <v>8.4027777777778201E-2</v>
      </c>
      <c r="AE31" s="75">
        <f t="shared" si="12"/>
        <v>7.0138888888889306E-2</v>
      </c>
      <c r="AF31" s="195"/>
    </row>
    <row r="32" spans="1:32" ht="21" customHeight="1" x14ac:dyDescent="0.35">
      <c r="A32" s="4" t="s">
        <v>83</v>
      </c>
      <c r="B32" s="15">
        <f>H43</f>
        <v>3.4722222222222202E-4</v>
      </c>
      <c r="C32" s="244"/>
      <c r="G32" s="268" t="s">
        <v>84</v>
      </c>
      <c r="H32" s="38">
        <v>1.1574074074074101E-5</v>
      </c>
      <c r="I32" s="4"/>
      <c r="K32" s="4">
        <v>290</v>
      </c>
      <c r="L32" s="15">
        <f t="shared" si="3"/>
        <v>0.121527777777778</v>
      </c>
      <c r="P32" s="93"/>
      <c r="Q32" s="73">
        <v>29</v>
      </c>
      <c r="R32" s="74">
        <f t="shared" si="0"/>
        <v>7.8124999999999598E-2</v>
      </c>
      <c r="S32" s="75">
        <f t="shared" si="10"/>
        <v>5.03472222222218E-2</v>
      </c>
      <c r="T32" s="623"/>
      <c r="V32" s="72"/>
      <c r="W32" s="73">
        <v>28</v>
      </c>
      <c r="X32" s="52">
        <f t="shared" si="1"/>
        <v>8.7152777777778204E-2</v>
      </c>
      <c r="Y32" s="75">
        <f t="shared" si="11"/>
        <v>7.3263888888889295E-2</v>
      </c>
      <c r="Z32" s="195"/>
      <c r="AB32" s="72"/>
      <c r="AC32" s="73">
        <v>28</v>
      </c>
      <c r="AD32" s="52">
        <f t="shared" si="2"/>
        <v>8.7152777777778204E-2</v>
      </c>
      <c r="AE32" s="75">
        <f t="shared" si="12"/>
        <v>7.3263888888889295E-2</v>
      </c>
      <c r="AF32" s="195"/>
    </row>
    <row r="33" spans="1:32" ht="14.65" customHeight="1" x14ac:dyDescent="0.25">
      <c r="A33" s="4" t="s">
        <v>85</v>
      </c>
      <c r="B33" s="15" t="e">
        <f>B32*E5</f>
        <v>#DIV/0!</v>
      </c>
      <c r="C33" s="244"/>
      <c r="G33" s="267" t="s">
        <v>86</v>
      </c>
      <c r="H33" s="51">
        <v>1.38888888888889E-3</v>
      </c>
      <c r="I33" s="4"/>
      <c r="K33" s="4">
        <v>300</v>
      </c>
      <c r="L33" s="15">
        <f t="shared" si="3"/>
        <v>0.125</v>
      </c>
      <c r="P33" s="93"/>
      <c r="Q33" s="73">
        <v>30</v>
      </c>
      <c r="R33" s="74">
        <f t="shared" si="0"/>
        <v>8.0208333333332896E-2</v>
      </c>
      <c r="S33" s="75">
        <f t="shared" si="10"/>
        <v>5.2430555555555099E-2</v>
      </c>
      <c r="T33" s="623"/>
      <c r="V33" s="72"/>
      <c r="W33" s="73">
        <v>29</v>
      </c>
      <c r="X33" s="52">
        <f t="shared" si="1"/>
        <v>9.0277777777778206E-2</v>
      </c>
      <c r="Y33" s="75">
        <f t="shared" si="11"/>
        <v>7.6388888888889298E-2</v>
      </c>
      <c r="Z33" s="195"/>
      <c r="AB33" s="72"/>
      <c r="AC33" s="73">
        <v>29</v>
      </c>
      <c r="AD33" s="52">
        <f t="shared" si="2"/>
        <v>9.0277777777778206E-2</v>
      </c>
      <c r="AE33" s="75">
        <f t="shared" si="12"/>
        <v>7.6388888888889298E-2</v>
      </c>
      <c r="AF33" s="195"/>
    </row>
    <row r="34" spans="1:32" ht="14.65" customHeight="1" x14ac:dyDescent="0.25">
      <c r="A34" s="4" t="s">
        <v>87</v>
      </c>
      <c r="B34" s="37" t="e">
        <f>B30+B31+B33</f>
        <v>#DIV/0!</v>
      </c>
      <c r="C34" s="244"/>
      <c r="G34" s="269" t="s">
        <v>88</v>
      </c>
      <c r="H34" s="4">
        <f>E11*E3</f>
        <v>0</v>
      </c>
      <c r="I34" s="4"/>
      <c r="K34" s="4">
        <v>310</v>
      </c>
      <c r="L34" s="15">
        <f t="shared" si="3"/>
        <v>0.12847222222222199</v>
      </c>
      <c r="P34" s="93"/>
      <c r="Q34" s="73">
        <v>31</v>
      </c>
      <c r="R34" s="74">
        <f t="shared" si="0"/>
        <v>8.2291666666666194E-2</v>
      </c>
      <c r="S34" s="75">
        <f t="shared" si="10"/>
        <v>5.4513888888888397E-2</v>
      </c>
      <c r="T34" s="623"/>
      <c r="V34" s="72"/>
      <c r="W34" s="73">
        <v>30</v>
      </c>
      <c r="X34" s="52">
        <f t="shared" si="1"/>
        <v>9.3402777777778195E-2</v>
      </c>
      <c r="Y34" s="75">
        <f t="shared" si="11"/>
        <v>7.95138888888893E-2</v>
      </c>
      <c r="Z34" s="195"/>
      <c r="AB34" s="72"/>
      <c r="AC34" s="73">
        <v>30</v>
      </c>
      <c r="AD34" s="52">
        <f t="shared" si="2"/>
        <v>9.3402777777778195E-2</v>
      </c>
      <c r="AE34" s="75">
        <f t="shared" si="12"/>
        <v>7.95138888888893E-2</v>
      </c>
      <c r="AF34" s="195"/>
    </row>
    <row r="35" spans="1:32" ht="21" customHeight="1" x14ac:dyDescent="0.35">
      <c r="A35" s="31" t="s">
        <v>89</v>
      </c>
      <c r="B35" s="9">
        <f>E7</f>
        <v>0</v>
      </c>
      <c r="C35" s="244"/>
      <c r="G35" s="268" t="s">
        <v>90</v>
      </c>
      <c r="H35" s="38">
        <f>final!H31</f>
        <v>2.31481481481481E-5</v>
      </c>
      <c r="I35" s="38">
        <v>3.4722222222222202E-5</v>
      </c>
      <c r="K35" s="4">
        <v>320</v>
      </c>
      <c r="L35" s="15">
        <f t="shared" si="3"/>
        <v>0.131944444444444</v>
      </c>
      <c r="P35" s="93"/>
      <c r="Q35" s="73">
        <v>32</v>
      </c>
      <c r="R35" s="74">
        <f t="shared" si="0"/>
        <v>8.4374999999999506E-2</v>
      </c>
      <c r="S35" s="75">
        <f t="shared" si="10"/>
        <v>5.6597222222221702E-2</v>
      </c>
      <c r="T35" s="623"/>
      <c r="V35" s="72"/>
      <c r="W35" s="73">
        <v>31</v>
      </c>
      <c r="X35" s="52">
        <f t="shared" si="1"/>
        <v>9.6527777777778198E-2</v>
      </c>
      <c r="Y35" s="75">
        <f t="shared" si="11"/>
        <v>8.2638888888889303E-2</v>
      </c>
      <c r="Z35" s="195"/>
      <c r="AB35" s="72"/>
      <c r="AC35" s="73">
        <v>31</v>
      </c>
      <c r="AD35" s="52">
        <f t="shared" si="2"/>
        <v>9.6527777777778198E-2</v>
      </c>
      <c r="AE35" s="75">
        <f t="shared" si="12"/>
        <v>8.2638888888889303E-2</v>
      </c>
      <c r="AF35" s="195"/>
    </row>
    <row r="36" spans="1:32" ht="14.65" customHeight="1" x14ac:dyDescent="0.25">
      <c r="A36" s="32" t="s">
        <v>91</v>
      </c>
      <c r="B36" s="16" t="str">
        <f>IF(B35&gt;0,B34+0,"0")</f>
        <v>0</v>
      </c>
      <c r="C36" s="244"/>
      <c r="G36" s="267" t="s">
        <v>59</v>
      </c>
      <c r="H36" s="51" t="s">
        <v>66</v>
      </c>
      <c r="I36" s="4"/>
      <c r="K36" s="4">
        <v>330</v>
      </c>
      <c r="L36" s="15">
        <f t="shared" si="3"/>
        <v>0.13541666666666699</v>
      </c>
      <c r="P36" s="93"/>
      <c r="Q36" s="73">
        <v>33</v>
      </c>
      <c r="R36" s="74">
        <f t="shared" si="0"/>
        <v>8.6458333333332804E-2</v>
      </c>
      <c r="S36" s="75">
        <f t="shared" si="10"/>
        <v>5.8680555555555E-2</v>
      </c>
      <c r="T36" s="623"/>
      <c r="V36" s="72"/>
      <c r="W36" s="73">
        <v>32</v>
      </c>
      <c r="X36" s="52">
        <f t="shared" si="1"/>
        <v>9.9652777777778201E-2</v>
      </c>
      <c r="Y36" s="75">
        <f t="shared" si="11"/>
        <v>8.5763888888889306E-2</v>
      </c>
      <c r="Z36" s="195"/>
      <c r="AB36" s="72"/>
      <c r="AC36" s="73">
        <v>32</v>
      </c>
      <c r="AD36" s="52">
        <f t="shared" si="2"/>
        <v>9.9652777777778201E-2</v>
      </c>
      <c r="AE36" s="75">
        <f t="shared" si="12"/>
        <v>8.5763888888889306E-2</v>
      </c>
      <c r="AF36" s="195"/>
    </row>
    <row r="37" spans="1:32" ht="14.65" customHeight="1" x14ac:dyDescent="0.25">
      <c r="A37" s="32" t="s">
        <v>92</v>
      </c>
      <c r="B37" s="16" t="str">
        <f>IF(B35&gt;0,B31*2,"0")</f>
        <v>0</v>
      </c>
      <c r="C37" s="244"/>
      <c r="G37" s="269" t="s">
        <v>93</v>
      </c>
      <c r="H37" s="4">
        <f>E13*E3</f>
        <v>0</v>
      </c>
      <c r="I37" s="4"/>
      <c r="K37" s="4">
        <v>340</v>
      </c>
      <c r="L37" s="15">
        <f t="shared" si="3"/>
        <v>0.13888888888888901</v>
      </c>
      <c r="P37" s="93"/>
      <c r="Q37" s="73">
        <v>34</v>
      </c>
      <c r="R37" s="74">
        <f t="shared" ref="R37:R68" si="13">$R$4+S37</f>
        <v>8.8541666666666102E-2</v>
      </c>
      <c r="S37" s="75">
        <f t="shared" si="10"/>
        <v>6.0763888888888298E-2</v>
      </c>
      <c r="T37" s="623"/>
      <c r="V37" s="72"/>
      <c r="W37" s="73">
        <v>33</v>
      </c>
      <c r="X37" s="52">
        <f t="shared" si="1"/>
        <v>0.102777777777778</v>
      </c>
      <c r="Y37" s="75">
        <f t="shared" si="11"/>
        <v>8.8888888888889295E-2</v>
      </c>
      <c r="Z37" s="195"/>
      <c r="AB37" s="72"/>
      <c r="AC37" s="73">
        <v>33</v>
      </c>
      <c r="AD37" s="52">
        <f t="shared" si="2"/>
        <v>0.102777777777778</v>
      </c>
      <c r="AE37" s="75">
        <f t="shared" si="12"/>
        <v>8.8888888888889295E-2</v>
      </c>
      <c r="AF37" s="195"/>
    </row>
    <row r="38" spans="1:32" ht="21" customHeight="1" x14ac:dyDescent="0.35">
      <c r="A38" s="32" t="s">
        <v>94</v>
      </c>
      <c r="B38" s="16">
        <f>B36+B37</f>
        <v>0</v>
      </c>
      <c r="C38" s="244"/>
      <c r="G38" s="268" t="s">
        <v>95</v>
      </c>
      <c r="I38" s="4"/>
      <c r="K38" s="4">
        <v>350</v>
      </c>
      <c r="L38" s="15">
        <f t="shared" si="3"/>
        <v>0.14236111111111099</v>
      </c>
      <c r="P38" s="93"/>
      <c r="Q38" s="73">
        <v>35</v>
      </c>
      <c r="R38" s="74">
        <f t="shared" si="13"/>
        <v>9.06249999999994E-2</v>
      </c>
      <c r="S38" s="75">
        <f t="shared" si="10"/>
        <v>6.2847222222221596E-2</v>
      </c>
      <c r="T38" s="624"/>
      <c r="V38" s="72"/>
      <c r="W38" s="73">
        <v>34</v>
      </c>
      <c r="X38" s="52">
        <f t="shared" ref="X38:X69" si="14">$X$5+Y38</f>
        <v>0.105902777777778</v>
      </c>
      <c r="Y38" s="75">
        <f t="shared" si="11"/>
        <v>9.2013888888889298E-2</v>
      </c>
      <c r="Z38" s="195"/>
      <c r="AB38" s="72"/>
      <c r="AC38" s="73">
        <v>34</v>
      </c>
      <c r="AD38" s="52">
        <f t="shared" ref="AD38:AD69" si="15">$AD$5+AE38</f>
        <v>0.105902777777778</v>
      </c>
      <c r="AE38" s="75">
        <f t="shared" si="12"/>
        <v>9.2013888888889298E-2</v>
      </c>
      <c r="AF38" s="195"/>
    </row>
    <row r="39" spans="1:32" x14ac:dyDescent="0.25">
      <c r="A39" s="3" t="s">
        <v>96</v>
      </c>
      <c r="B39" s="15" t="e">
        <f>(B38+B34)/E4</f>
        <v>#DIV/0!</v>
      </c>
      <c r="C39" s="244"/>
      <c r="G39" s="270" t="s">
        <v>97</v>
      </c>
      <c r="H39" s="38">
        <v>5.20833333333333E-4</v>
      </c>
      <c r="I39" s="37">
        <v>1.7361111111111101E-4</v>
      </c>
      <c r="K39" s="4">
        <v>360</v>
      </c>
      <c r="L39" s="15">
        <f t="shared" si="3"/>
        <v>0.14583333333333301</v>
      </c>
      <c r="P39" s="94" t="s">
        <v>98</v>
      </c>
      <c r="Q39" s="77">
        <v>36</v>
      </c>
      <c r="R39" s="78">
        <f t="shared" si="13"/>
        <v>9.3055555555555003E-2</v>
      </c>
      <c r="S39" s="79">
        <f t="shared" ref="S39:S46" si="16">S38+$T$39</f>
        <v>6.5277777777777199E-2</v>
      </c>
      <c r="T39" s="95">
        <v>2.4305555555555599E-3</v>
      </c>
      <c r="V39" s="72"/>
      <c r="W39" s="73">
        <v>35</v>
      </c>
      <c r="X39" s="52">
        <f t="shared" si="14"/>
        <v>0.109027777777778</v>
      </c>
      <c r="Y39" s="75">
        <f t="shared" si="11"/>
        <v>9.51388888888893E-2</v>
      </c>
      <c r="Z39" s="196"/>
      <c r="AB39" s="72"/>
      <c r="AC39" s="73">
        <v>35</v>
      </c>
      <c r="AD39" s="52">
        <f t="shared" si="15"/>
        <v>0.109027777777778</v>
      </c>
      <c r="AE39" s="75">
        <f t="shared" si="12"/>
        <v>9.51388888888893E-2</v>
      </c>
      <c r="AF39" s="196"/>
    </row>
    <row r="40" spans="1:32" x14ac:dyDescent="0.25">
      <c r="A40" s="3" t="s">
        <v>99</v>
      </c>
      <c r="B40" s="15" t="e">
        <f>(B38+B34)/E5</f>
        <v>#DIV/0!</v>
      </c>
      <c r="C40" s="380">
        <f>B42*24</f>
        <v>0</v>
      </c>
      <c r="G40" s="273" t="s">
        <v>100</v>
      </c>
      <c r="H40" s="274" t="s">
        <v>101</v>
      </c>
      <c r="I40" s="72">
        <f>IF(E14&gt;1, H58, 0)</f>
        <v>0</v>
      </c>
      <c r="K40" s="4">
        <v>370</v>
      </c>
      <c r="L40" s="15">
        <f t="shared" si="3"/>
        <v>0.149305555555555</v>
      </c>
      <c r="P40" s="94"/>
      <c r="Q40" s="77">
        <v>37</v>
      </c>
      <c r="R40" s="78">
        <f t="shared" si="13"/>
        <v>9.5486111111110605E-2</v>
      </c>
      <c r="S40" s="79">
        <f t="shared" si="16"/>
        <v>6.7708333333332801E-2</v>
      </c>
      <c r="T40" s="96"/>
      <c r="V40" s="76" t="s">
        <v>102</v>
      </c>
      <c r="W40" s="77">
        <v>36</v>
      </c>
      <c r="X40" s="52">
        <f t="shared" si="14"/>
        <v>0.112152777777778</v>
      </c>
      <c r="Y40" s="79">
        <f t="shared" ref="Y40:Y47" si="17">Y39+$Z$40</f>
        <v>9.8263888888889303E-2</v>
      </c>
      <c r="Z40" s="87">
        <v>3.1250000000000002E-3</v>
      </c>
      <c r="AB40" s="76" t="s">
        <v>102</v>
      </c>
      <c r="AC40" s="77">
        <v>36</v>
      </c>
      <c r="AD40" s="52">
        <f t="shared" si="15"/>
        <v>0.112152777777778</v>
      </c>
      <c r="AE40" s="79">
        <f t="shared" ref="AE40:AE47" si="18">AE39+$AF$40</f>
        <v>9.8263888888889303E-2</v>
      </c>
      <c r="AF40" s="87">
        <v>3.1250000000000002E-3</v>
      </c>
    </row>
    <row r="41" spans="1:32" ht="21.4" customHeight="1" thickBot="1" x14ac:dyDescent="0.4">
      <c r="A41" s="10" t="s">
        <v>103</v>
      </c>
      <c r="B41" s="325" t="e">
        <f>B34+B38</f>
        <v>#DIV/0!</v>
      </c>
      <c r="C41" s="381" t="s">
        <v>37</v>
      </c>
      <c r="G41" s="276" t="s">
        <v>104</v>
      </c>
      <c r="H41" s="72" t="s">
        <v>66</v>
      </c>
      <c r="I41" s="72"/>
      <c r="K41" s="4">
        <v>380</v>
      </c>
      <c r="L41" s="15">
        <f t="shared" ref="L41:L72" si="19">$L$6+(((K41-$K$6)/10)*$M$2)</f>
        <v>0.15277777777777801</v>
      </c>
      <c r="P41" s="94"/>
      <c r="Q41" s="77">
        <v>38</v>
      </c>
      <c r="R41" s="78">
        <f t="shared" si="13"/>
        <v>9.7916666666666194E-2</v>
      </c>
      <c r="S41" s="79">
        <f t="shared" si="16"/>
        <v>7.0138888888888404E-2</v>
      </c>
      <c r="T41" s="96"/>
      <c r="V41" s="76"/>
      <c r="W41" s="77">
        <v>37</v>
      </c>
      <c r="X41" s="52">
        <f t="shared" si="14"/>
        <v>0.11527777777777801</v>
      </c>
      <c r="Y41" s="79">
        <f t="shared" si="17"/>
        <v>0.101388888888889</v>
      </c>
      <c r="Z41" s="88"/>
      <c r="AB41" s="76"/>
      <c r="AC41" s="77">
        <v>37</v>
      </c>
      <c r="AD41" s="52">
        <f t="shared" si="15"/>
        <v>0.11527777777777801</v>
      </c>
      <c r="AE41" s="79">
        <f t="shared" si="18"/>
        <v>0.101388888888889</v>
      </c>
      <c r="AF41" s="88"/>
    </row>
    <row r="42" spans="1:32" ht="21.4" customHeight="1" thickBot="1" x14ac:dyDescent="0.4">
      <c r="A42" s="10" t="s">
        <v>105</v>
      </c>
      <c r="B42" s="17">
        <f>IF(E9&gt;0,B41,0)</f>
        <v>0</v>
      </c>
      <c r="C42" s="382">
        <f>C40/7</f>
        <v>0</v>
      </c>
      <c r="G42" s="276" t="s">
        <v>106</v>
      </c>
      <c r="H42" s="72" t="s">
        <v>66</v>
      </c>
      <c r="I42" s="74" t="e">
        <f>B139</f>
        <v>#DIV/0!</v>
      </c>
      <c r="K42" s="4">
        <v>390</v>
      </c>
      <c r="L42" s="15">
        <f t="shared" si="19"/>
        <v>0.15625</v>
      </c>
      <c r="P42" s="94"/>
      <c r="Q42" s="77">
        <v>39</v>
      </c>
      <c r="R42" s="78">
        <f t="shared" si="13"/>
        <v>0.100347222222222</v>
      </c>
      <c r="S42" s="79">
        <f t="shared" si="16"/>
        <v>7.2569444444444006E-2</v>
      </c>
      <c r="T42" s="96"/>
      <c r="V42" s="76"/>
      <c r="W42" s="77">
        <v>38</v>
      </c>
      <c r="X42" s="52">
        <f t="shared" si="14"/>
        <v>0.118402777777778</v>
      </c>
      <c r="Y42" s="79">
        <f t="shared" si="17"/>
        <v>0.104513888888889</v>
      </c>
      <c r="Z42" s="88"/>
      <c r="AB42" s="76"/>
      <c r="AC42" s="77">
        <v>38</v>
      </c>
      <c r="AD42" s="52">
        <f t="shared" si="15"/>
        <v>0.118402777777778</v>
      </c>
      <c r="AE42" s="79">
        <f t="shared" si="18"/>
        <v>0.104513888888889</v>
      </c>
      <c r="AF42" s="88"/>
    </row>
    <row r="43" spans="1:32" ht="21" customHeight="1" x14ac:dyDescent="0.35">
      <c r="A43" s="30" t="s">
        <v>107</v>
      </c>
      <c r="B43" s="30">
        <v>8.1597222222222196E-2</v>
      </c>
      <c r="C43" s="34" t="s">
        <v>108</v>
      </c>
      <c r="G43" s="276" t="s">
        <v>109</v>
      </c>
      <c r="H43" s="275">
        <v>3.4722222222222202E-4</v>
      </c>
      <c r="I43" s="72"/>
      <c r="K43" s="4">
        <v>400</v>
      </c>
      <c r="L43" s="15">
        <f t="shared" si="19"/>
        <v>0.15972222222222199</v>
      </c>
      <c r="P43" s="94"/>
      <c r="Q43" s="77">
        <v>40</v>
      </c>
      <c r="R43" s="78">
        <f t="shared" si="13"/>
        <v>0.102777777777777</v>
      </c>
      <c r="S43" s="79">
        <f t="shared" si="16"/>
        <v>7.4999999999999595E-2</v>
      </c>
      <c r="T43" s="96"/>
      <c r="V43" s="76"/>
      <c r="W43" s="77">
        <v>39</v>
      </c>
      <c r="X43" s="52">
        <f t="shared" si="14"/>
        <v>0.121527777777778</v>
      </c>
      <c r="Y43" s="79">
        <f t="shared" si="17"/>
        <v>0.10763888888888901</v>
      </c>
      <c r="Z43" s="88"/>
      <c r="AB43" s="76"/>
      <c r="AC43" s="77">
        <v>39</v>
      </c>
      <c r="AD43" s="52">
        <f t="shared" si="15"/>
        <v>0.121527777777778</v>
      </c>
      <c r="AE43" s="79">
        <f t="shared" si="18"/>
        <v>0.10763888888888901</v>
      </c>
      <c r="AF43" s="88"/>
    </row>
    <row r="44" spans="1:32" ht="21" customHeight="1" x14ac:dyDescent="0.35">
      <c r="A44" s="327" t="s">
        <v>110</v>
      </c>
      <c r="B44" s="38">
        <f>H32</f>
        <v>1.1574074074074101E-5</v>
      </c>
      <c r="C44" s="244" t="s">
        <v>111</v>
      </c>
      <c r="G44" s="277" t="s">
        <v>112</v>
      </c>
      <c r="H44" s="4"/>
      <c r="I44" s="4"/>
      <c r="K44" s="4">
        <v>410</v>
      </c>
      <c r="L44" s="15">
        <f t="shared" si="19"/>
        <v>0.163194444444444</v>
      </c>
      <c r="P44" s="94"/>
      <c r="Q44" s="77">
        <v>41</v>
      </c>
      <c r="R44" s="78">
        <f t="shared" si="13"/>
        <v>0.105208333333333</v>
      </c>
      <c r="S44" s="79">
        <f t="shared" si="16"/>
        <v>7.7430555555555197E-2</v>
      </c>
      <c r="T44" s="96"/>
      <c r="V44" s="76"/>
      <c r="W44" s="77">
        <v>40</v>
      </c>
      <c r="X44" s="52">
        <f t="shared" si="14"/>
        <v>0.124652777777778</v>
      </c>
      <c r="Y44" s="79">
        <f t="shared" si="17"/>
        <v>0.11076388888888899</v>
      </c>
      <c r="Z44" s="88"/>
      <c r="AB44" s="76"/>
      <c r="AC44" s="77">
        <v>40</v>
      </c>
      <c r="AD44" s="52">
        <f t="shared" si="15"/>
        <v>0.124652777777778</v>
      </c>
      <c r="AE44" s="79">
        <f t="shared" si="18"/>
        <v>0.11076388888888899</v>
      </c>
      <c r="AF44" s="88"/>
    </row>
    <row r="45" spans="1:32" x14ac:dyDescent="0.25">
      <c r="A45" s="4" t="s">
        <v>113</v>
      </c>
      <c r="B45" s="15">
        <f>((B44/final!H30)*(H34))</f>
        <v>0</v>
      </c>
      <c r="C45" s="244"/>
      <c r="G45" s="269" t="s">
        <v>114</v>
      </c>
      <c r="H45" s="4">
        <f>E3*E15</f>
        <v>0</v>
      </c>
      <c r="I45" s="4"/>
      <c r="K45" s="4">
        <v>420</v>
      </c>
      <c r="L45" s="15">
        <f t="shared" si="19"/>
        <v>0.16666666666666699</v>
      </c>
      <c r="P45" s="94"/>
      <c r="Q45" s="77">
        <v>42</v>
      </c>
      <c r="R45" s="78">
        <f t="shared" si="13"/>
        <v>0.10763888888888901</v>
      </c>
      <c r="S45" s="79">
        <f t="shared" si="16"/>
        <v>7.98611111111108E-2</v>
      </c>
      <c r="T45" s="96"/>
      <c r="V45" s="76"/>
      <c r="W45" s="77">
        <v>41</v>
      </c>
      <c r="X45" s="52">
        <f t="shared" si="14"/>
        <v>0.12777777777777799</v>
      </c>
      <c r="Y45" s="79">
        <f t="shared" si="17"/>
        <v>0.113888888888889</v>
      </c>
      <c r="Z45" s="88"/>
      <c r="AB45" s="76"/>
      <c r="AC45" s="77">
        <v>41</v>
      </c>
      <c r="AD45" s="52">
        <f t="shared" si="15"/>
        <v>0.12777777777777799</v>
      </c>
      <c r="AE45" s="79">
        <f t="shared" si="18"/>
        <v>0.113888888888889</v>
      </c>
      <c r="AF45" s="88"/>
    </row>
    <row r="46" spans="1:32" x14ac:dyDescent="0.25">
      <c r="A46" s="4" t="s">
        <v>109</v>
      </c>
      <c r="B46" s="15" t="e">
        <f>H43*E5</f>
        <v>#DIV/0!</v>
      </c>
      <c r="C46" s="244"/>
      <c r="G46" s="270" t="s">
        <v>115</v>
      </c>
      <c r="H46" s="29">
        <f>E16*E4</f>
        <v>0</v>
      </c>
      <c r="I46" s="4"/>
      <c r="K46" s="4">
        <v>430</v>
      </c>
      <c r="L46" s="15">
        <f t="shared" si="19"/>
        <v>0.17013888888888901</v>
      </c>
      <c r="P46" s="94"/>
      <c r="Q46" s="77">
        <v>43</v>
      </c>
      <c r="R46" s="78">
        <f t="shared" si="13"/>
        <v>0.110069444444444</v>
      </c>
      <c r="S46" s="79">
        <f t="shared" si="16"/>
        <v>8.2291666666666402E-2</v>
      </c>
      <c r="T46" s="96"/>
      <c r="V46" s="76"/>
      <c r="W46" s="77">
        <v>42</v>
      </c>
      <c r="X46" s="52">
        <f t="shared" si="14"/>
        <v>0.13090277777777801</v>
      </c>
      <c r="Y46" s="79">
        <f t="shared" si="17"/>
        <v>0.117013888888889</v>
      </c>
      <c r="Z46" s="88"/>
      <c r="AB46" s="76"/>
      <c r="AC46" s="77">
        <v>42</v>
      </c>
      <c r="AD46" s="52">
        <f t="shared" si="15"/>
        <v>0.13090277777777801</v>
      </c>
      <c r="AE46" s="79">
        <f t="shared" si="18"/>
        <v>0.117013888888889</v>
      </c>
      <c r="AF46" s="88"/>
    </row>
    <row r="47" spans="1:32" ht="14.65" customHeight="1" x14ac:dyDescent="0.25">
      <c r="A47" s="4" t="s">
        <v>116</v>
      </c>
      <c r="B47" s="15" t="e">
        <f>B45*E5</f>
        <v>#DIV/0!</v>
      </c>
      <c r="C47" s="384"/>
      <c r="G47" s="267" t="s">
        <v>117</v>
      </c>
      <c r="H47" s="309">
        <v>5.78703703703704E-4</v>
      </c>
      <c r="I47" s="38">
        <v>4.6296296296296298E-4</v>
      </c>
      <c r="K47" s="4">
        <v>440</v>
      </c>
      <c r="L47" s="15">
        <f t="shared" si="19"/>
        <v>0.17361111111111099</v>
      </c>
      <c r="P47" s="97" t="s">
        <v>118</v>
      </c>
      <c r="Q47" s="61">
        <v>44</v>
      </c>
      <c r="R47" s="28">
        <f t="shared" si="13"/>
        <v>0.112847222222222</v>
      </c>
      <c r="S47" s="54">
        <f>S46+$T$47</f>
        <v>8.5069444444444198E-2</v>
      </c>
      <c r="T47" s="625">
        <v>2.7777777777777801E-3</v>
      </c>
      <c r="V47" s="76"/>
      <c r="W47" s="77">
        <v>43</v>
      </c>
      <c r="X47" s="52">
        <f t="shared" si="14"/>
        <v>0.134027777777778</v>
      </c>
      <c r="Y47" s="79">
        <f t="shared" si="17"/>
        <v>0.120138888888889</v>
      </c>
      <c r="Z47" s="88"/>
      <c r="AB47" s="76"/>
      <c r="AC47" s="77">
        <v>43</v>
      </c>
      <c r="AD47" s="52">
        <f t="shared" si="15"/>
        <v>0.134027777777778</v>
      </c>
      <c r="AE47" s="79">
        <f t="shared" si="18"/>
        <v>0.120138888888889</v>
      </c>
      <c r="AF47" s="88"/>
    </row>
    <row r="48" spans="1:32" ht="14.65" customHeight="1" x14ac:dyDescent="0.25">
      <c r="A48" s="4" t="s">
        <v>119</v>
      </c>
      <c r="B48" s="15" t="e">
        <f>(B45*E5)+B46</f>
        <v>#DIV/0!</v>
      </c>
      <c r="C48" s="244"/>
      <c r="G48" s="267" t="s">
        <v>120</v>
      </c>
      <c r="H48" s="309">
        <v>8.1018518518518503E-5</v>
      </c>
      <c r="I48" s="37">
        <v>1.15740740740741E-4</v>
      </c>
      <c r="K48" s="4">
        <v>450</v>
      </c>
      <c r="L48" s="15">
        <f t="shared" si="19"/>
        <v>0.17708333333333301</v>
      </c>
      <c r="P48" s="97"/>
      <c r="Q48" s="61">
        <v>45</v>
      </c>
      <c r="R48" s="28">
        <f t="shared" si="13"/>
        <v>0.11527777777777801</v>
      </c>
      <c r="S48" s="54">
        <f t="shared" ref="S48:S53" si="20">S47+$T$39</f>
        <v>8.74999999999998E-2</v>
      </c>
      <c r="T48" s="623"/>
      <c r="V48" s="60" t="s">
        <v>121</v>
      </c>
      <c r="W48" s="61">
        <v>44</v>
      </c>
      <c r="X48" s="52">
        <f t="shared" si="14"/>
        <v>0.13819444444444501</v>
      </c>
      <c r="Y48" s="54">
        <f t="shared" ref="Y48:Y64" si="21">Y47+$Z$48</f>
        <v>0.124305555555556</v>
      </c>
      <c r="Z48" s="197">
        <v>4.1666666666666701E-3</v>
      </c>
      <c r="AB48" s="60" t="s">
        <v>121</v>
      </c>
      <c r="AC48" s="61">
        <v>44</v>
      </c>
      <c r="AD48" s="52">
        <f t="shared" si="15"/>
        <v>0.13819444444444501</v>
      </c>
      <c r="AE48" s="54">
        <f t="shared" ref="AE48:AE64" si="22">AE47+$AF$48</f>
        <v>0.124305555555556</v>
      </c>
      <c r="AF48" s="197">
        <v>4.1666666666666701E-3</v>
      </c>
    </row>
    <row r="49" spans="1:32" ht="14.65" customHeight="1" x14ac:dyDescent="0.25">
      <c r="A49" s="4" t="s">
        <v>122</v>
      </c>
      <c r="B49" s="38">
        <f>$H$57</f>
        <v>1.38888888888889E-2</v>
      </c>
      <c r="C49" s="244"/>
      <c r="G49" s="267" t="s">
        <v>123</v>
      </c>
      <c r="H49" s="309">
        <v>2.3148148148148201E-5</v>
      </c>
      <c r="I49" s="15">
        <v>3.4722222222222202E-5</v>
      </c>
      <c r="K49" s="4">
        <v>460</v>
      </c>
      <c r="L49" s="15">
        <f t="shared" si="19"/>
        <v>0.180555555555555</v>
      </c>
      <c r="P49" s="97"/>
      <c r="Q49" s="61">
        <v>46</v>
      </c>
      <c r="R49" s="28">
        <f t="shared" si="13"/>
        <v>0.117708333333333</v>
      </c>
      <c r="S49" s="54">
        <f t="shared" si="20"/>
        <v>8.9930555555555403E-2</v>
      </c>
      <c r="T49" s="623"/>
      <c r="V49" s="60"/>
      <c r="W49" s="61">
        <v>45</v>
      </c>
      <c r="X49" s="52">
        <f t="shared" si="14"/>
        <v>0.14236111111111199</v>
      </c>
      <c r="Y49" s="54">
        <f t="shared" si="21"/>
        <v>0.12847222222222299</v>
      </c>
      <c r="Z49" s="197"/>
      <c r="AB49" s="60"/>
      <c r="AC49" s="61">
        <v>45</v>
      </c>
      <c r="AD49" s="52">
        <f t="shared" si="15"/>
        <v>0.14236111111111199</v>
      </c>
      <c r="AE49" s="54">
        <f t="shared" si="22"/>
        <v>0.12847222222222299</v>
      </c>
      <c r="AF49" s="197"/>
    </row>
    <row r="50" spans="1:32" ht="21" customHeight="1" x14ac:dyDescent="0.35">
      <c r="A50" s="4" t="s">
        <v>124</v>
      </c>
      <c r="B50" s="15" t="e">
        <f>B49+B48</f>
        <v>#DIV/0!</v>
      </c>
      <c r="C50" s="244"/>
      <c r="G50" s="268" t="s">
        <v>125</v>
      </c>
      <c r="H50" s="309">
        <v>3.4722222222222199E-3</v>
      </c>
      <c r="I50" s="37">
        <v>6.9444444444444404E-4</v>
      </c>
      <c r="K50" s="4">
        <v>470</v>
      </c>
      <c r="L50" s="15">
        <f t="shared" si="19"/>
        <v>0.18402777777777801</v>
      </c>
      <c r="P50" s="97"/>
      <c r="Q50" s="61">
        <v>47</v>
      </c>
      <c r="R50" s="28">
        <f t="shared" si="13"/>
        <v>0.120138888888889</v>
      </c>
      <c r="S50" s="54">
        <f t="shared" si="20"/>
        <v>9.2361111111111005E-2</v>
      </c>
      <c r="T50" s="623"/>
      <c r="V50" s="60"/>
      <c r="W50" s="61">
        <v>46</v>
      </c>
      <c r="X50" s="52">
        <f t="shared" si="14"/>
        <v>0.14652777777777901</v>
      </c>
      <c r="Y50" s="54">
        <f t="shared" si="21"/>
        <v>0.13263888888889</v>
      </c>
      <c r="Z50" s="197"/>
      <c r="AB50" s="60"/>
      <c r="AC50" s="61">
        <v>46</v>
      </c>
      <c r="AD50" s="52">
        <f t="shared" si="15"/>
        <v>0.14652777777777901</v>
      </c>
      <c r="AE50" s="54">
        <f t="shared" si="22"/>
        <v>0.13263888888889</v>
      </c>
      <c r="AF50" s="197"/>
    </row>
    <row r="51" spans="1:32" ht="21" customHeight="1" x14ac:dyDescent="0.35">
      <c r="A51" s="265" t="s">
        <v>126</v>
      </c>
      <c r="B51" s="161">
        <f>E7</f>
        <v>0</v>
      </c>
      <c r="C51" s="385"/>
      <c r="G51" s="268" t="s">
        <v>127</v>
      </c>
      <c r="H51" s="265"/>
      <c r="I51" s="4"/>
      <c r="K51" s="4">
        <v>480</v>
      </c>
      <c r="L51" s="15">
        <f t="shared" si="19"/>
        <v>0.1875</v>
      </c>
      <c r="P51" s="97"/>
      <c r="Q51" s="61">
        <v>48</v>
      </c>
      <c r="R51" s="28">
        <f t="shared" si="13"/>
        <v>0.122569444444444</v>
      </c>
      <c r="S51" s="54">
        <f t="shared" si="20"/>
        <v>9.4791666666666594E-2</v>
      </c>
      <c r="T51" s="623"/>
      <c r="V51" s="60"/>
      <c r="W51" s="61">
        <v>47</v>
      </c>
      <c r="X51" s="52">
        <f t="shared" si="14"/>
        <v>0.15069444444444599</v>
      </c>
      <c r="Y51" s="54">
        <f t="shared" si="21"/>
        <v>0.13680555555555701</v>
      </c>
      <c r="Z51" s="197"/>
      <c r="AB51" s="60"/>
      <c r="AC51" s="61">
        <v>47</v>
      </c>
      <c r="AD51" s="52">
        <f t="shared" si="15"/>
        <v>0.15069444444444599</v>
      </c>
      <c r="AE51" s="54">
        <f t="shared" si="22"/>
        <v>0.13680555555555701</v>
      </c>
      <c r="AF51" s="197"/>
    </row>
    <row r="52" spans="1:32" ht="14.65" customHeight="1" x14ac:dyDescent="0.25">
      <c r="A52" s="3" t="s">
        <v>128</v>
      </c>
      <c r="B52" s="15" t="str">
        <f>IF(B51&gt;0,B48+0,"0")</f>
        <v>0</v>
      </c>
      <c r="C52" s="244"/>
      <c r="G52" s="267" t="s">
        <v>129</v>
      </c>
      <c r="H52" s="309">
        <v>4.6296296296296298E-4</v>
      </c>
      <c r="I52" s="263">
        <v>6.9444444444444404E-4</v>
      </c>
      <c r="K52" s="4">
        <v>490</v>
      </c>
      <c r="L52" s="15">
        <f t="shared" si="19"/>
        <v>0.19097222222222199</v>
      </c>
      <c r="P52" s="97"/>
      <c r="Q52" s="61">
        <v>49</v>
      </c>
      <c r="R52" s="28">
        <f t="shared" si="13"/>
        <v>0.125</v>
      </c>
      <c r="S52" s="54">
        <f t="shared" si="20"/>
        <v>9.7222222222222196E-2</v>
      </c>
      <c r="T52" s="623"/>
      <c r="V52" s="60"/>
      <c r="W52" s="61">
        <v>48</v>
      </c>
      <c r="X52" s="52">
        <f t="shared" si="14"/>
        <v>0.154861111111113</v>
      </c>
      <c r="Y52" s="54">
        <f t="shared" si="21"/>
        <v>0.140972222222224</v>
      </c>
      <c r="Z52" s="197"/>
      <c r="AB52" s="60"/>
      <c r="AC52" s="61">
        <v>48</v>
      </c>
      <c r="AD52" s="52">
        <f t="shared" si="15"/>
        <v>0.154861111111113</v>
      </c>
      <c r="AE52" s="54">
        <f t="shared" si="22"/>
        <v>0.140972222222224</v>
      </c>
      <c r="AF52" s="197"/>
    </row>
    <row r="53" spans="1:32" ht="21" customHeight="1" x14ac:dyDescent="0.35">
      <c r="A53" s="3" t="s">
        <v>130</v>
      </c>
      <c r="B53" s="15">
        <f>B51*B49</f>
        <v>0</v>
      </c>
      <c r="C53" s="244"/>
      <c r="G53" s="268" t="s">
        <v>131</v>
      </c>
      <c r="H53" s="265"/>
      <c r="I53" s="4"/>
      <c r="K53" s="4">
        <v>500</v>
      </c>
      <c r="L53" s="15">
        <f t="shared" si="19"/>
        <v>0.194444444444444</v>
      </c>
      <c r="P53" s="97"/>
      <c r="Q53" s="61">
        <v>50</v>
      </c>
      <c r="R53" s="28">
        <f t="shared" si="13"/>
        <v>0.12743055555555599</v>
      </c>
      <c r="S53" s="54">
        <f t="shared" si="20"/>
        <v>9.9652777777777798E-2</v>
      </c>
      <c r="T53" s="623"/>
      <c r="V53" s="60"/>
      <c r="W53" s="61">
        <v>49</v>
      </c>
      <c r="X53" s="52">
        <f t="shared" si="14"/>
        <v>0.15902777777777999</v>
      </c>
      <c r="Y53" s="54">
        <f t="shared" si="21"/>
        <v>0.14513888888889101</v>
      </c>
      <c r="Z53" s="197"/>
      <c r="AB53" s="60"/>
      <c r="AC53" s="61">
        <v>49</v>
      </c>
      <c r="AD53" s="52">
        <f t="shared" si="15"/>
        <v>0.15902777777777999</v>
      </c>
      <c r="AE53" s="54">
        <f t="shared" si="22"/>
        <v>0.14513888888889101</v>
      </c>
      <c r="AF53" s="197"/>
    </row>
    <row r="54" spans="1:32" ht="14.65" customHeight="1" x14ac:dyDescent="0.25">
      <c r="A54" s="3" t="s">
        <v>132</v>
      </c>
      <c r="B54" s="15">
        <f>B52+B53</f>
        <v>0</v>
      </c>
      <c r="C54" s="386"/>
      <c r="G54" s="267" t="s">
        <v>133</v>
      </c>
      <c r="H54" s="309">
        <v>6.9444444444444404E-4</v>
      </c>
      <c r="I54" s="37">
        <v>6.9444444444444404E-4</v>
      </c>
      <c r="K54" s="4">
        <v>510</v>
      </c>
      <c r="L54" s="15">
        <f t="shared" si="19"/>
        <v>0.19791666666666699</v>
      </c>
      <c r="P54" s="97"/>
      <c r="Q54" s="61">
        <v>51</v>
      </c>
      <c r="R54" s="28">
        <f t="shared" si="13"/>
        <v>0.13020833333333401</v>
      </c>
      <c r="S54" s="54">
        <f t="shared" ref="S54:S63" si="23">S53+$T$47</f>
        <v>0.102430555555556</v>
      </c>
      <c r="T54" s="623"/>
      <c r="V54" s="60"/>
      <c r="W54" s="61">
        <v>50</v>
      </c>
      <c r="X54" s="52">
        <f t="shared" si="14"/>
        <v>0.163194444444447</v>
      </c>
      <c r="Y54" s="54">
        <f t="shared" si="21"/>
        <v>0.14930555555555799</v>
      </c>
      <c r="Z54" s="197"/>
      <c r="AB54" s="60"/>
      <c r="AC54" s="61">
        <v>50</v>
      </c>
      <c r="AD54" s="52">
        <f t="shared" si="15"/>
        <v>0.163194444444447</v>
      </c>
      <c r="AE54" s="54">
        <f t="shared" si="22"/>
        <v>0.14930555555555799</v>
      </c>
      <c r="AF54" s="197"/>
    </row>
    <row r="55" spans="1:32" ht="21" customHeight="1" x14ac:dyDescent="0.35">
      <c r="A55" s="4" t="s">
        <v>134</v>
      </c>
      <c r="B55" s="15" t="e">
        <f>(B50+B54)/E5</f>
        <v>#DIV/0!</v>
      </c>
      <c r="C55" s="380">
        <f>B57*24</f>
        <v>0</v>
      </c>
      <c r="G55" s="268" t="s">
        <v>135</v>
      </c>
      <c r="H55" s="309">
        <v>6.9444444444444404E-4</v>
      </c>
      <c r="I55" s="37">
        <v>0</v>
      </c>
      <c r="K55" s="4">
        <v>520</v>
      </c>
      <c r="L55" s="15">
        <f t="shared" si="19"/>
        <v>0.20138888888888901</v>
      </c>
      <c r="P55" s="97"/>
      <c r="Q55" s="61">
        <v>52</v>
      </c>
      <c r="R55" s="28">
        <f t="shared" si="13"/>
        <v>0.132986111111112</v>
      </c>
      <c r="S55" s="54">
        <f t="shared" si="23"/>
        <v>0.105208333333334</v>
      </c>
      <c r="T55" s="623"/>
      <c r="V55" s="60"/>
      <c r="W55" s="61">
        <v>51</v>
      </c>
      <c r="X55" s="52">
        <f t="shared" si="14"/>
        <v>0.16736111111111401</v>
      </c>
      <c r="Y55" s="54">
        <f t="shared" si="21"/>
        <v>0.15347222222222501</v>
      </c>
      <c r="Z55" s="197"/>
      <c r="AB55" s="60"/>
      <c r="AC55" s="61">
        <v>51</v>
      </c>
      <c r="AD55" s="52">
        <f t="shared" si="15"/>
        <v>0.16736111111111401</v>
      </c>
      <c r="AE55" s="54">
        <f t="shared" si="22"/>
        <v>0.15347222222222501</v>
      </c>
      <c r="AF55" s="197"/>
    </row>
    <row r="56" spans="1:32" ht="23.65" customHeight="1" x14ac:dyDescent="0.35">
      <c r="A56" s="4" t="s">
        <v>136</v>
      </c>
      <c r="B56" s="37" t="e">
        <f>B50+B54</f>
        <v>#DIV/0!</v>
      </c>
      <c r="C56" s="381" t="s">
        <v>37</v>
      </c>
      <c r="E56" s="254"/>
      <c r="G56" s="268" t="s">
        <v>137</v>
      </c>
      <c r="H56" s="309">
        <v>0</v>
      </c>
      <c r="I56" s="4">
        <v>0</v>
      </c>
      <c r="K56" s="4">
        <v>530</v>
      </c>
      <c r="L56" s="15">
        <f t="shared" si="19"/>
        <v>0.20486111111111099</v>
      </c>
      <c r="P56" s="97"/>
      <c r="Q56" s="61">
        <v>53</v>
      </c>
      <c r="R56" s="28">
        <f t="shared" si="13"/>
        <v>0.13576388888888999</v>
      </c>
      <c r="S56" s="54">
        <f t="shared" si="23"/>
        <v>0.107986111111112</v>
      </c>
      <c r="T56" s="623"/>
      <c r="V56" s="60"/>
      <c r="W56" s="61">
        <v>52</v>
      </c>
      <c r="X56" s="52">
        <f t="shared" si="14"/>
        <v>0.171527777777781</v>
      </c>
      <c r="Y56" s="54">
        <f t="shared" si="21"/>
        <v>0.15763888888889199</v>
      </c>
      <c r="Z56" s="197"/>
      <c r="AB56" s="60"/>
      <c r="AC56" s="61">
        <v>52</v>
      </c>
      <c r="AD56" s="52">
        <f t="shared" si="15"/>
        <v>0.171527777777781</v>
      </c>
      <c r="AE56" s="54">
        <f t="shared" si="22"/>
        <v>0.15763888888889199</v>
      </c>
      <c r="AF56" s="197"/>
    </row>
    <row r="57" spans="1:32" ht="14.65" customHeight="1" x14ac:dyDescent="0.25">
      <c r="A57" s="3" t="s">
        <v>138</v>
      </c>
      <c r="B57" s="28">
        <f>IF(E11&gt;0,B56,0)</f>
        <v>0</v>
      </c>
      <c r="C57" s="382">
        <f>C55/7</f>
        <v>0</v>
      </c>
      <c r="G57" s="267" t="s">
        <v>139</v>
      </c>
      <c r="H57" s="38">
        <v>1.38888888888889E-2</v>
      </c>
      <c r="I57" s="38">
        <v>2.0833333333333301E-2</v>
      </c>
      <c r="K57" s="4">
        <v>540</v>
      </c>
      <c r="L57" s="15">
        <f t="shared" si="19"/>
        <v>0.20833333333333301</v>
      </c>
      <c r="P57" s="97"/>
      <c r="Q57" s="61">
        <v>54</v>
      </c>
      <c r="R57" s="28">
        <f t="shared" si="13"/>
        <v>0.13854166666666801</v>
      </c>
      <c r="S57" s="54">
        <f t="shared" si="23"/>
        <v>0.11076388888888999</v>
      </c>
      <c r="T57" s="623"/>
      <c r="V57" s="60"/>
      <c r="W57" s="61">
        <v>53</v>
      </c>
      <c r="X57" s="52">
        <f t="shared" si="14"/>
        <v>0.17569444444444801</v>
      </c>
      <c r="Y57" s="54">
        <f t="shared" si="21"/>
        <v>0.16180555555555901</v>
      </c>
      <c r="Z57" s="197"/>
      <c r="AB57" s="60"/>
      <c r="AC57" s="61">
        <v>53</v>
      </c>
      <c r="AD57" s="52">
        <f t="shared" si="15"/>
        <v>0.17569444444444801</v>
      </c>
      <c r="AE57" s="54">
        <f t="shared" si="22"/>
        <v>0.16180555555555901</v>
      </c>
      <c r="AF57" s="197"/>
    </row>
    <row r="58" spans="1:32" ht="14.65" customHeight="1" x14ac:dyDescent="0.25">
      <c r="A58" s="30"/>
      <c r="B58" s="30"/>
      <c r="C58" s="244"/>
      <c r="G58" s="267" t="s">
        <v>140</v>
      </c>
      <c r="H58" s="38">
        <v>1.38888888888889E-2</v>
      </c>
      <c r="I58" s="37">
        <v>1.0416666666666701E-2</v>
      </c>
      <c r="K58" s="4">
        <v>550</v>
      </c>
      <c r="L58" s="15">
        <f t="shared" si="19"/>
        <v>0.211805555555555</v>
      </c>
      <c r="P58" s="97"/>
      <c r="Q58" s="61">
        <v>55</v>
      </c>
      <c r="R58" s="28">
        <f t="shared" si="13"/>
        <v>0.141319444444446</v>
      </c>
      <c r="S58" s="54">
        <f t="shared" si="23"/>
        <v>0.113541666666668</v>
      </c>
      <c r="T58" s="623"/>
      <c r="V58" s="60"/>
      <c r="W58" s="61">
        <v>54</v>
      </c>
      <c r="X58" s="52">
        <f t="shared" si="14"/>
        <v>0.179861111111115</v>
      </c>
      <c r="Y58" s="54">
        <f t="shared" si="21"/>
        <v>0.16597222222222599</v>
      </c>
      <c r="Z58" s="197"/>
      <c r="AB58" s="60"/>
      <c r="AC58" s="61">
        <v>54</v>
      </c>
      <c r="AD58" s="52">
        <f t="shared" si="15"/>
        <v>0.179861111111115</v>
      </c>
      <c r="AE58" s="54">
        <f t="shared" si="22"/>
        <v>0.16597222222222599</v>
      </c>
      <c r="AF58" s="197"/>
    </row>
    <row r="59" spans="1:32" ht="14.65" customHeight="1" x14ac:dyDescent="0.25">
      <c r="A59" s="327" t="s">
        <v>141</v>
      </c>
      <c r="B59" s="38">
        <f>H35</f>
        <v>2.31481481481481E-5</v>
      </c>
      <c r="C59" s="244"/>
      <c r="G59" s="271" t="s">
        <v>142</v>
      </c>
      <c r="H59" s="248"/>
      <c r="I59" s="248"/>
      <c r="K59" s="4">
        <v>560</v>
      </c>
      <c r="L59" s="15">
        <f t="shared" si="19"/>
        <v>0.21527777777777801</v>
      </c>
      <c r="P59" s="97"/>
      <c r="Q59" s="61">
        <v>56</v>
      </c>
      <c r="R59" s="28">
        <f t="shared" si="13"/>
        <v>0.14409722222222399</v>
      </c>
      <c r="S59" s="54">
        <f t="shared" si="23"/>
        <v>0.116319444444446</v>
      </c>
      <c r="T59" s="623"/>
      <c r="V59" s="60"/>
      <c r="W59" s="61">
        <v>55</v>
      </c>
      <c r="X59" s="52">
        <f t="shared" si="14"/>
        <v>0.18402777777778201</v>
      </c>
      <c r="Y59" s="54">
        <f t="shared" si="21"/>
        <v>0.170138888888893</v>
      </c>
      <c r="Z59" s="197"/>
      <c r="AB59" s="60"/>
      <c r="AC59" s="61">
        <v>55</v>
      </c>
      <c r="AD59" s="52">
        <f t="shared" si="15"/>
        <v>0.18402777777778201</v>
      </c>
      <c r="AE59" s="54">
        <f t="shared" si="22"/>
        <v>0.170138888888893</v>
      </c>
      <c r="AF59" s="197"/>
    </row>
    <row r="60" spans="1:32" ht="14.65" customHeight="1" x14ac:dyDescent="0.25">
      <c r="A60" s="4" t="s">
        <v>113</v>
      </c>
      <c r="B60" s="15">
        <f>((B59)*(H37))</f>
        <v>0</v>
      </c>
      <c r="C60" s="244"/>
      <c r="G60" s="272" t="s">
        <v>143</v>
      </c>
      <c r="H60" s="249">
        <v>0</v>
      </c>
      <c r="I60" s="248"/>
      <c r="K60" s="4">
        <v>570</v>
      </c>
      <c r="L60" s="15">
        <f t="shared" si="19"/>
        <v>0.21875</v>
      </c>
      <c r="P60" s="97"/>
      <c r="Q60" s="61">
        <v>57</v>
      </c>
      <c r="R60" s="28">
        <f t="shared" si="13"/>
        <v>0.146875000000002</v>
      </c>
      <c r="S60" s="54">
        <f t="shared" si="23"/>
        <v>0.11909722222222401</v>
      </c>
      <c r="T60" s="623"/>
      <c r="V60" s="60"/>
      <c r="W60" s="61">
        <v>56</v>
      </c>
      <c r="X60" s="52">
        <f t="shared" si="14"/>
        <v>0.18819444444444899</v>
      </c>
      <c r="Y60" s="54">
        <f t="shared" si="21"/>
        <v>0.17430555555555999</v>
      </c>
      <c r="Z60" s="197"/>
      <c r="AB60" s="60"/>
      <c r="AC60" s="61">
        <v>56</v>
      </c>
      <c r="AD60" s="52">
        <f t="shared" si="15"/>
        <v>0.18819444444444899</v>
      </c>
      <c r="AE60" s="54">
        <f t="shared" si="22"/>
        <v>0.17430555555555999</v>
      </c>
      <c r="AF60" s="197"/>
    </row>
    <row r="61" spans="1:32" ht="14.65" customHeight="1" x14ac:dyDescent="0.25">
      <c r="A61" s="4" t="s">
        <v>109</v>
      </c>
      <c r="B61" s="15" t="e">
        <f>H43*E5</f>
        <v>#DIV/0!</v>
      </c>
      <c r="C61" s="244"/>
      <c r="D61" s="255"/>
      <c r="G61" s="272" t="s">
        <v>144</v>
      </c>
      <c r="H61" s="250">
        <v>3.4722222222222202E-4</v>
      </c>
      <c r="I61" s="251">
        <v>3.4722222222222202E-4</v>
      </c>
      <c r="K61" s="4">
        <v>580</v>
      </c>
      <c r="L61" s="15">
        <f t="shared" si="19"/>
        <v>0.22222222222222199</v>
      </c>
      <c r="P61" s="97"/>
      <c r="Q61" s="61">
        <v>58</v>
      </c>
      <c r="R61" s="28">
        <f t="shared" si="13"/>
        <v>0.14965277777777999</v>
      </c>
      <c r="S61" s="54">
        <f t="shared" si="23"/>
        <v>0.121875000000002</v>
      </c>
      <c r="T61" s="623"/>
      <c r="V61" s="60"/>
      <c r="W61" s="61">
        <v>57</v>
      </c>
      <c r="X61" s="52">
        <f t="shared" si="14"/>
        <v>0.19236111111111601</v>
      </c>
      <c r="Y61" s="54">
        <f t="shared" si="21"/>
        <v>0.178472222222227</v>
      </c>
      <c r="Z61" s="197"/>
      <c r="AB61" s="60"/>
      <c r="AC61" s="61">
        <v>57</v>
      </c>
      <c r="AD61" s="52">
        <f t="shared" si="15"/>
        <v>0.19236111111111601</v>
      </c>
      <c r="AE61" s="54">
        <f t="shared" si="22"/>
        <v>0.178472222222227</v>
      </c>
      <c r="AF61" s="197"/>
    </row>
    <row r="62" spans="1:32" ht="14.65" customHeight="1" x14ac:dyDescent="0.25">
      <c r="A62" s="4" t="s">
        <v>116</v>
      </c>
      <c r="B62" s="15" t="e">
        <f>B60*E5</f>
        <v>#DIV/0!</v>
      </c>
      <c r="C62" s="244"/>
      <c r="G62" s="272" t="s">
        <v>145</v>
      </c>
      <c r="H62" s="250">
        <v>8.1018518518518503E-5</v>
      </c>
      <c r="I62" s="251">
        <v>8.1018518518518503E-5</v>
      </c>
      <c r="K62" s="4">
        <v>590</v>
      </c>
      <c r="L62" s="15">
        <f t="shared" si="19"/>
        <v>0.225694444444444</v>
      </c>
      <c r="P62" s="97"/>
      <c r="Q62" s="61">
        <v>59</v>
      </c>
      <c r="R62" s="28">
        <f t="shared" si="13"/>
        <v>0.15243055555555801</v>
      </c>
      <c r="S62" s="54">
        <f t="shared" si="23"/>
        <v>0.12465277777778</v>
      </c>
      <c r="T62" s="623"/>
      <c r="V62" s="60"/>
      <c r="W62" s="61">
        <v>58</v>
      </c>
      <c r="X62" s="52">
        <f t="shared" si="14"/>
        <v>0.19652777777778299</v>
      </c>
      <c r="Y62" s="54">
        <f t="shared" si="21"/>
        <v>0.18263888888889401</v>
      </c>
      <c r="Z62" s="197"/>
      <c r="AB62" s="60"/>
      <c r="AC62" s="61">
        <v>58</v>
      </c>
      <c r="AD62" s="52">
        <f t="shared" si="15"/>
        <v>0.19652777777778299</v>
      </c>
      <c r="AE62" s="54">
        <f t="shared" si="22"/>
        <v>0.18263888888889401</v>
      </c>
      <c r="AF62" s="197"/>
    </row>
    <row r="63" spans="1:32" ht="14.65" customHeight="1" x14ac:dyDescent="0.25">
      <c r="A63" s="4" t="s">
        <v>119</v>
      </c>
      <c r="B63" s="15" t="e">
        <f>(B60*E5)+B61</f>
        <v>#DIV/0!</v>
      </c>
      <c r="C63" s="387"/>
      <c r="G63" s="272" t="s">
        <v>146</v>
      </c>
      <c r="H63" s="250">
        <v>0</v>
      </c>
      <c r="I63" s="251">
        <v>6.9444444444444404E-4</v>
      </c>
      <c r="K63" s="4">
        <v>600</v>
      </c>
      <c r="L63" s="15">
        <f t="shared" si="19"/>
        <v>0.22916666666666699</v>
      </c>
      <c r="P63" s="97"/>
      <c r="Q63" s="61">
        <v>60</v>
      </c>
      <c r="R63" s="28">
        <f t="shared" si="13"/>
        <v>0.155208333333336</v>
      </c>
      <c r="S63" s="54">
        <f t="shared" si="23"/>
        <v>0.12743055555555799</v>
      </c>
      <c r="T63" s="624"/>
      <c r="V63" s="60"/>
      <c r="W63" s="61">
        <v>59</v>
      </c>
      <c r="X63" s="52">
        <f t="shared" si="14"/>
        <v>0.20069444444445</v>
      </c>
      <c r="Y63" s="54">
        <f t="shared" si="21"/>
        <v>0.186805555555561</v>
      </c>
      <c r="Z63" s="197"/>
      <c r="AB63" s="60"/>
      <c r="AC63" s="61">
        <v>59</v>
      </c>
      <c r="AD63" s="52">
        <f t="shared" si="15"/>
        <v>0.20069444444445</v>
      </c>
      <c r="AE63" s="54">
        <f t="shared" si="22"/>
        <v>0.186805555555561</v>
      </c>
      <c r="AF63" s="197"/>
    </row>
    <row r="64" spans="1:32" ht="14.65" customHeight="1" x14ac:dyDescent="0.25">
      <c r="A64" s="4" t="s">
        <v>122</v>
      </c>
      <c r="B64" s="38">
        <f>$H$57</f>
        <v>1.38888888888889E-2</v>
      </c>
      <c r="C64" s="387"/>
      <c r="K64" s="4">
        <v>610</v>
      </c>
      <c r="L64" s="15">
        <f t="shared" si="19"/>
        <v>0.23263888888888901</v>
      </c>
      <c r="P64" s="98" t="s">
        <v>147</v>
      </c>
      <c r="Q64" s="82">
        <v>61</v>
      </c>
      <c r="R64" s="83">
        <f t="shared" si="13"/>
        <v>0.15833333333333599</v>
      </c>
      <c r="S64" s="84">
        <f t="shared" ref="S64:S73" si="24">S63+$T$64</f>
        <v>0.13055555555555801</v>
      </c>
      <c r="T64" s="642">
        <v>3.1250000000000002E-3</v>
      </c>
      <c r="V64" s="60"/>
      <c r="W64" s="61">
        <v>60</v>
      </c>
      <c r="X64" s="52">
        <f t="shared" si="14"/>
        <v>0.20486111111111699</v>
      </c>
      <c r="Y64" s="54">
        <f t="shared" si="21"/>
        <v>0.19097222222222801</v>
      </c>
      <c r="Z64" s="197"/>
      <c r="AB64" s="60"/>
      <c r="AC64" s="61">
        <v>60</v>
      </c>
      <c r="AD64" s="52">
        <f t="shared" si="15"/>
        <v>0.20486111111111699</v>
      </c>
      <c r="AE64" s="54">
        <f t="shared" si="22"/>
        <v>0.19097222222222801</v>
      </c>
      <c r="AF64" s="197"/>
    </row>
    <row r="65" spans="1:32" ht="14.65" customHeight="1" x14ac:dyDescent="0.25">
      <c r="A65" s="3" t="s">
        <v>124</v>
      </c>
      <c r="B65" s="37" t="e">
        <f>B64+B63</f>
        <v>#DIV/0!</v>
      </c>
      <c r="C65" s="387"/>
      <c r="G65" s="46"/>
      <c r="H65" s="256"/>
      <c r="K65" s="4">
        <v>620</v>
      </c>
      <c r="L65" s="15">
        <f t="shared" si="19"/>
        <v>0.23611111111111099</v>
      </c>
      <c r="P65" s="98"/>
      <c r="Q65" s="82">
        <v>62</v>
      </c>
      <c r="R65" s="83">
        <f t="shared" si="13"/>
        <v>0.16145833333333601</v>
      </c>
      <c r="S65" s="84">
        <f t="shared" si="24"/>
        <v>0.13368055555555799</v>
      </c>
      <c r="T65" s="623"/>
      <c r="V65" s="81" t="s">
        <v>148</v>
      </c>
      <c r="W65" s="82">
        <v>61</v>
      </c>
      <c r="X65" s="52">
        <f t="shared" si="14"/>
        <v>0.209027777777784</v>
      </c>
      <c r="Y65" s="84">
        <f t="shared" ref="Y65:Y74" si="25">Y64+$Z$65</f>
        <v>0.195138888888895</v>
      </c>
      <c r="Z65" s="188">
        <v>4.1666666666666701E-3</v>
      </c>
      <c r="AB65" s="81" t="s">
        <v>148</v>
      </c>
      <c r="AC65" s="82">
        <v>61</v>
      </c>
      <c r="AD65" s="52">
        <f t="shared" si="15"/>
        <v>0.209027777777784</v>
      </c>
      <c r="AE65" s="84">
        <f t="shared" ref="AE65:AE74" si="26">AE64+$AF$65</f>
        <v>0.195138888888895</v>
      </c>
      <c r="AF65" s="188">
        <v>4.1666666666666701E-3</v>
      </c>
    </row>
    <row r="66" spans="1:32" ht="14.65" customHeight="1" x14ac:dyDescent="0.25">
      <c r="A66" s="265" t="s">
        <v>126</v>
      </c>
      <c r="B66" s="265">
        <f>E7</f>
        <v>0</v>
      </c>
      <c r="C66" s="387"/>
      <c r="D66" s="47"/>
      <c r="E66" s="47"/>
      <c r="F66" s="47"/>
      <c r="K66" s="4">
        <v>630</v>
      </c>
      <c r="L66" s="15">
        <f t="shared" si="19"/>
        <v>0.23958333333333301</v>
      </c>
      <c r="P66" s="98"/>
      <c r="Q66" s="82">
        <v>63</v>
      </c>
      <c r="R66" s="83">
        <f t="shared" si="13"/>
        <v>0.164583333333336</v>
      </c>
      <c r="S66" s="84">
        <f t="shared" si="24"/>
        <v>0.13680555555555801</v>
      </c>
      <c r="T66" s="623"/>
      <c r="V66" s="81"/>
      <c r="W66" s="82">
        <v>62</v>
      </c>
      <c r="X66" s="52">
        <f t="shared" si="14"/>
        <v>0.21319444444445099</v>
      </c>
      <c r="Y66" s="84">
        <f t="shared" si="25"/>
        <v>0.19930555555556201</v>
      </c>
      <c r="Z66" s="189"/>
      <c r="AB66" s="81"/>
      <c r="AC66" s="82">
        <v>62</v>
      </c>
      <c r="AD66" s="52">
        <f t="shared" si="15"/>
        <v>0.21319444444445099</v>
      </c>
      <c r="AE66" s="84">
        <f t="shared" si="26"/>
        <v>0.19930555555556201</v>
      </c>
      <c r="AF66" s="189"/>
    </row>
    <row r="67" spans="1:32" ht="14.65" customHeight="1" x14ac:dyDescent="0.25">
      <c r="A67" s="3" t="s">
        <v>128</v>
      </c>
      <c r="B67" s="37" t="str">
        <f>IF(B66&gt;0,B63+0,"0")</f>
        <v>0</v>
      </c>
      <c r="C67" s="387" t="s">
        <v>149</v>
      </c>
      <c r="D67" s="47"/>
      <c r="E67" s="47"/>
      <c r="F67" s="47"/>
      <c r="K67" s="4">
        <v>640</v>
      </c>
      <c r="L67" s="15">
        <f t="shared" si="19"/>
        <v>0.243055555555555</v>
      </c>
      <c r="P67" s="98"/>
      <c r="Q67" s="82">
        <v>64</v>
      </c>
      <c r="R67" s="83">
        <f t="shared" si="13"/>
        <v>0.16770833333333601</v>
      </c>
      <c r="S67" s="84">
        <f t="shared" si="24"/>
        <v>0.139930555555558</v>
      </c>
      <c r="T67" s="623"/>
      <c r="V67" s="81"/>
      <c r="W67" s="82">
        <v>63</v>
      </c>
      <c r="X67" s="52">
        <f t="shared" si="14"/>
        <v>0.217361111111118</v>
      </c>
      <c r="Y67" s="84">
        <f t="shared" si="25"/>
        <v>0.20347222222222899</v>
      </c>
      <c r="Z67" s="189"/>
      <c r="AB67" s="81"/>
      <c r="AC67" s="82">
        <v>63</v>
      </c>
      <c r="AD67" s="52">
        <f t="shared" si="15"/>
        <v>0.217361111111118</v>
      </c>
      <c r="AE67" s="84">
        <f t="shared" si="26"/>
        <v>0.20347222222222899</v>
      </c>
      <c r="AF67" s="189"/>
    </row>
    <row r="68" spans="1:32" ht="14.65" customHeight="1" x14ac:dyDescent="0.25">
      <c r="A68" s="3" t="s">
        <v>130</v>
      </c>
      <c r="B68" s="37">
        <f>B66*B64</f>
        <v>0</v>
      </c>
      <c r="C68" s="387"/>
      <c r="K68" s="4">
        <v>650</v>
      </c>
      <c r="L68" s="15">
        <f t="shared" si="19"/>
        <v>0.24652777777777801</v>
      </c>
      <c r="P68" s="98"/>
      <c r="Q68" s="82">
        <v>65</v>
      </c>
      <c r="R68" s="83">
        <f t="shared" si="13"/>
        <v>0.170833333333336</v>
      </c>
      <c r="S68" s="84">
        <f t="shared" si="24"/>
        <v>0.14305555555555799</v>
      </c>
      <c r="T68" s="623"/>
      <c r="V68" s="81"/>
      <c r="W68" s="82">
        <v>64</v>
      </c>
      <c r="X68" s="52">
        <f t="shared" si="14"/>
        <v>0.22152777777778501</v>
      </c>
      <c r="Y68" s="84">
        <f t="shared" si="25"/>
        <v>0.20763888888889601</v>
      </c>
      <c r="Z68" s="189"/>
      <c r="AB68" s="81"/>
      <c r="AC68" s="82">
        <v>64</v>
      </c>
      <c r="AD68" s="52">
        <f t="shared" si="15"/>
        <v>0.22152777777778501</v>
      </c>
      <c r="AE68" s="84">
        <f t="shared" si="26"/>
        <v>0.20763888888889601</v>
      </c>
      <c r="AF68" s="189"/>
    </row>
    <row r="69" spans="1:32" ht="14.65" customHeight="1" x14ac:dyDescent="0.25">
      <c r="A69" s="3" t="s">
        <v>132</v>
      </c>
      <c r="B69" s="37">
        <f>B67+B68</f>
        <v>0</v>
      </c>
      <c r="C69" s="387"/>
      <c r="K69" s="4">
        <v>660</v>
      </c>
      <c r="L69" s="15">
        <f t="shared" si="19"/>
        <v>0.25</v>
      </c>
      <c r="P69" s="98"/>
      <c r="Q69" s="82">
        <v>66</v>
      </c>
      <c r="R69" s="83">
        <f t="shared" ref="R69:R100" si="27">$R$4+S69</f>
        <v>0.17395833333333599</v>
      </c>
      <c r="S69" s="84">
        <f t="shared" si="24"/>
        <v>0.14618055555555801</v>
      </c>
      <c r="T69" s="623"/>
      <c r="V69" s="81"/>
      <c r="W69" s="82">
        <v>65</v>
      </c>
      <c r="X69" s="52">
        <f t="shared" si="14"/>
        <v>0.225694444444452</v>
      </c>
      <c r="Y69" s="84">
        <f t="shared" si="25"/>
        <v>0.21180555555556299</v>
      </c>
      <c r="Z69" s="189"/>
      <c r="AB69" s="81"/>
      <c r="AC69" s="82">
        <v>65</v>
      </c>
      <c r="AD69" s="52">
        <f t="shared" si="15"/>
        <v>0.225694444444452</v>
      </c>
      <c r="AE69" s="84">
        <f t="shared" si="26"/>
        <v>0.21180555555556299</v>
      </c>
      <c r="AF69" s="189"/>
    </row>
    <row r="70" spans="1:32" ht="14.65" customHeight="1" x14ac:dyDescent="0.25">
      <c r="A70" s="3" t="s">
        <v>134</v>
      </c>
      <c r="B70" s="37" t="e">
        <f>(B65+B69)/E5</f>
        <v>#DIV/0!</v>
      </c>
      <c r="C70" s="380">
        <f>B72*24</f>
        <v>0</v>
      </c>
      <c r="G70" s="46"/>
      <c r="K70" s="4">
        <v>670</v>
      </c>
      <c r="L70" s="15">
        <f t="shared" si="19"/>
        <v>0.25347222222222199</v>
      </c>
      <c r="P70" s="98"/>
      <c r="Q70" s="82">
        <v>67</v>
      </c>
      <c r="R70" s="83">
        <f t="shared" si="27"/>
        <v>0.17708333333333601</v>
      </c>
      <c r="S70" s="84">
        <f t="shared" si="24"/>
        <v>0.14930555555555799</v>
      </c>
      <c r="T70" s="623"/>
      <c r="V70" s="81"/>
      <c r="W70" s="82">
        <v>66</v>
      </c>
      <c r="X70" s="52">
        <f t="shared" ref="X70:X101" si="28">$X$5+Y70</f>
        <v>0.22986111111111901</v>
      </c>
      <c r="Y70" s="84">
        <f t="shared" si="25"/>
        <v>0.21597222222223</v>
      </c>
      <c r="Z70" s="189"/>
      <c r="AB70" s="81"/>
      <c r="AC70" s="82">
        <v>66</v>
      </c>
      <c r="AD70" s="52">
        <f t="shared" ref="AD70:AD101" si="29">$AD$5+AE70</f>
        <v>0.22986111111111901</v>
      </c>
      <c r="AE70" s="84">
        <f t="shared" si="26"/>
        <v>0.21597222222223</v>
      </c>
      <c r="AF70" s="189"/>
    </row>
    <row r="71" spans="1:32" ht="14.65" customHeight="1" x14ac:dyDescent="0.25">
      <c r="A71" s="4" t="s">
        <v>150</v>
      </c>
      <c r="B71" s="37" t="e">
        <f>B65+B69</f>
        <v>#DIV/0!</v>
      </c>
      <c r="C71" s="381" t="s">
        <v>37</v>
      </c>
      <c r="G71" s="46"/>
      <c r="K71" s="4">
        <v>680</v>
      </c>
      <c r="L71" s="15">
        <f t="shared" si="19"/>
        <v>0.25694444444444398</v>
      </c>
      <c r="P71" s="98"/>
      <c r="Q71" s="82">
        <v>68</v>
      </c>
      <c r="R71" s="83">
        <f t="shared" si="27"/>
        <v>0.180208333333336</v>
      </c>
      <c r="S71" s="84">
        <f t="shared" si="24"/>
        <v>0.15243055555555801</v>
      </c>
      <c r="T71" s="623"/>
      <c r="V71" s="81"/>
      <c r="W71" s="82">
        <v>67</v>
      </c>
      <c r="X71" s="52">
        <f t="shared" si="28"/>
        <v>0.23402777777778599</v>
      </c>
      <c r="Y71" s="84">
        <f t="shared" si="25"/>
        <v>0.22013888888889699</v>
      </c>
      <c r="Z71" s="189"/>
      <c r="AB71" s="81"/>
      <c r="AC71" s="82">
        <v>67</v>
      </c>
      <c r="AD71" s="52">
        <f t="shared" si="29"/>
        <v>0.23402777777778599</v>
      </c>
      <c r="AE71" s="84">
        <f t="shared" si="26"/>
        <v>0.22013888888889699</v>
      </c>
      <c r="AF71" s="189"/>
    </row>
    <row r="72" spans="1:32" ht="14.65" customHeight="1" x14ac:dyDescent="0.25">
      <c r="A72" s="3" t="s">
        <v>138</v>
      </c>
      <c r="B72" s="28">
        <f>IF(E13&gt;0,B71,0)</f>
        <v>0</v>
      </c>
      <c r="C72" s="382">
        <f>C70/7</f>
        <v>0</v>
      </c>
      <c r="K72" s="4">
        <v>690</v>
      </c>
      <c r="L72" s="15">
        <f t="shared" si="19"/>
        <v>0.26041666666666702</v>
      </c>
      <c r="P72" s="98"/>
      <c r="Q72" s="82">
        <v>69</v>
      </c>
      <c r="R72" s="83">
        <f t="shared" si="27"/>
        <v>0.18333333333333601</v>
      </c>
      <c r="S72" s="84">
        <f t="shared" si="24"/>
        <v>0.155555555555558</v>
      </c>
      <c r="T72" s="623"/>
      <c r="V72" s="81"/>
      <c r="W72" s="82">
        <v>68</v>
      </c>
      <c r="X72" s="52">
        <f t="shared" si="28"/>
        <v>0.23819444444445301</v>
      </c>
      <c r="Y72" s="84">
        <f t="shared" si="25"/>
        <v>0.224305555555564</v>
      </c>
      <c r="Z72" s="189"/>
      <c r="AB72" s="81"/>
      <c r="AC72" s="82">
        <v>68</v>
      </c>
      <c r="AD72" s="52">
        <f t="shared" si="29"/>
        <v>0.23819444444445301</v>
      </c>
      <c r="AE72" s="84">
        <f t="shared" si="26"/>
        <v>0.224305555555564</v>
      </c>
      <c r="AF72" s="189"/>
    </row>
    <row r="73" spans="1:32" ht="15" customHeight="1" thickBot="1" x14ac:dyDescent="0.3">
      <c r="A73" s="30"/>
      <c r="B73" s="30"/>
      <c r="C73" s="387"/>
      <c r="K73" s="4">
        <v>700</v>
      </c>
      <c r="L73" s="15">
        <f t="shared" ref="L73:L104" si="30">$L$6+(((K73-$K$6)/10)*$M$2)</f>
        <v>0.26388888888888901</v>
      </c>
      <c r="P73" s="98"/>
      <c r="Q73" s="82">
        <v>70</v>
      </c>
      <c r="R73" s="83">
        <f t="shared" si="27"/>
        <v>0.186458333333336</v>
      </c>
      <c r="S73" s="84">
        <f t="shared" si="24"/>
        <v>0.15868055555555799</v>
      </c>
      <c r="T73" s="624"/>
      <c r="V73" s="81"/>
      <c r="W73" s="82">
        <v>69</v>
      </c>
      <c r="X73" s="52">
        <f t="shared" si="28"/>
        <v>0.24236111111111999</v>
      </c>
      <c r="Y73" s="84">
        <f t="shared" si="25"/>
        <v>0.22847222222223099</v>
      </c>
      <c r="Z73" s="189"/>
      <c r="AB73" s="81"/>
      <c r="AC73" s="82">
        <v>69</v>
      </c>
      <c r="AD73" s="52">
        <f t="shared" si="29"/>
        <v>0.24236111111111999</v>
      </c>
      <c r="AE73" s="84">
        <f t="shared" si="26"/>
        <v>0.22847222222223099</v>
      </c>
      <c r="AF73" s="189"/>
    </row>
    <row r="74" spans="1:32" ht="14.65" customHeight="1" x14ac:dyDescent="0.25">
      <c r="A74" s="8" t="s">
        <v>97</v>
      </c>
      <c r="B74" s="36">
        <f>H39</f>
        <v>5.20833333333333E-4</v>
      </c>
      <c r="C74" s="387"/>
      <c r="K74" s="4">
        <v>710</v>
      </c>
      <c r="L74" s="15">
        <f t="shared" si="30"/>
        <v>0.26736111111111099</v>
      </c>
      <c r="P74" s="99" t="s">
        <v>151</v>
      </c>
      <c r="Q74" s="65">
        <v>71</v>
      </c>
      <c r="R74" s="57">
        <f t="shared" si="27"/>
        <v>0.18993055555555799</v>
      </c>
      <c r="S74" s="58">
        <f>S73+$T$74</f>
        <v>0.16215277777778001</v>
      </c>
      <c r="T74" s="635">
        <v>3.4722222222222199E-3</v>
      </c>
      <c r="V74" s="81"/>
      <c r="W74" s="82">
        <v>70</v>
      </c>
      <c r="X74" s="52">
        <f t="shared" si="28"/>
        <v>0.246527777777787</v>
      </c>
      <c r="Y74" s="84">
        <f t="shared" si="25"/>
        <v>0.232638888888898</v>
      </c>
      <c r="Z74" s="190"/>
      <c r="AB74" s="81"/>
      <c r="AC74" s="82">
        <v>70</v>
      </c>
      <c r="AD74" s="52">
        <f t="shared" si="29"/>
        <v>0.246527777777787</v>
      </c>
      <c r="AE74" s="84">
        <f t="shared" si="26"/>
        <v>0.232638888888898</v>
      </c>
      <c r="AF74" s="190"/>
    </row>
    <row r="75" spans="1:32" ht="14.65" customHeight="1" x14ac:dyDescent="0.25">
      <c r="A75" s="5" t="s">
        <v>152</v>
      </c>
      <c r="B75" s="4">
        <f>E14*E4</f>
        <v>0</v>
      </c>
      <c r="C75" s="387"/>
      <c r="K75" s="4">
        <v>720</v>
      </c>
      <c r="L75" s="15">
        <f t="shared" si="30"/>
        <v>0.27083333333333298</v>
      </c>
      <c r="P75" s="99"/>
      <c r="Q75" s="65">
        <v>72</v>
      </c>
      <c r="R75" s="57">
        <f t="shared" si="27"/>
        <v>0.19305555555555801</v>
      </c>
      <c r="S75" s="58">
        <f t="shared" ref="S75:S83" si="31">S74+$T$64</f>
        <v>0.16527777777777999</v>
      </c>
      <c r="T75" s="623"/>
      <c r="V75" s="64" t="s">
        <v>153</v>
      </c>
      <c r="W75" s="65">
        <v>71</v>
      </c>
      <c r="X75" s="52">
        <f t="shared" si="28"/>
        <v>0.25138888888889799</v>
      </c>
      <c r="Y75" s="58">
        <f t="shared" ref="Y75:Y84" si="32">Y74+$Z$75</f>
        <v>0.23750000000000901</v>
      </c>
      <c r="Z75" s="191">
        <v>4.8611111111111103E-3</v>
      </c>
      <c r="AB75" s="64" t="s">
        <v>153</v>
      </c>
      <c r="AC75" s="65">
        <v>71</v>
      </c>
      <c r="AD75" s="52">
        <f t="shared" si="29"/>
        <v>0.25138888888889799</v>
      </c>
      <c r="AE75" s="58">
        <f t="shared" ref="AE75:AE84" si="33">AE74+$AF$75</f>
        <v>0.23750000000000901</v>
      </c>
      <c r="AF75" s="191">
        <v>4.8611111111111103E-3</v>
      </c>
    </row>
    <row r="76" spans="1:32" ht="14.65" customHeight="1" x14ac:dyDescent="0.25">
      <c r="A76" s="4" t="s">
        <v>154</v>
      </c>
      <c r="B76" s="116">
        <f>H58</f>
        <v>1.38888888888889E-2</v>
      </c>
      <c r="C76" s="244"/>
      <c r="K76" s="4">
        <v>730</v>
      </c>
      <c r="L76" s="15">
        <f t="shared" si="30"/>
        <v>0.27430555555555503</v>
      </c>
      <c r="P76" s="99"/>
      <c r="Q76" s="65">
        <v>73</v>
      </c>
      <c r="R76" s="57">
        <f t="shared" si="27"/>
        <v>0.19618055555555799</v>
      </c>
      <c r="S76" s="58">
        <f t="shared" si="31"/>
        <v>0.16840277777778001</v>
      </c>
      <c r="T76" s="623"/>
      <c r="V76" s="64"/>
      <c r="W76" s="65">
        <v>72</v>
      </c>
      <c r="X76" s="52">
        <f t="shared" si="28"/>
        <v>0.25625000000000903</v>
      </c>
      <c r="Y76" s="58">
        <f t="shared" si="32"/>
        <v>0.24236111111111999</v>
      </c>
      <c r="Z76" s="192"/>
      <c r="AB76" s="64"/>
      <c r="AC76" s="65">
        <v>72</v>
      </c>
      <c r="AD76" s="52">
        <f t="shared" si="29"/>
        <v>0.25625000000000903</v>
      </c>
      <c r="AE76" s="58">
        <f t="shared" si="33"/>
        <v>0.24236111111111999</v>
      </c>
      <c r="AF76" s="192"/>
    </row>
    <row r="77" spans="1:32" ht="14.65" customHeight="1" x14ac:dyDescent="0.25">
      <c r="A77" s="5" t="s">
        <v>155</v>
      </c>
      <c r="B77" s="16" t="e">
        <f>(B74*B75)/E4</f>
        <v>#DIV/0!</v>
      </c>
      <c r="C77" s="380">
        <f>B79*24</f>
        <v>0</v>
      </c>
      <c r="K77" s="4">
        <v>740</v>
      </c>
      <c r="L77" s="15">
        <f t="shared" si="30"/>
        <v>0.27777777777777801</v>
      </c>
      <c r="P77" s="99"/>
      <c r="Q77" s="65">
        <v>74</v>
      </c>
      <c r="R77" s="57">
        <f t="shared" si="27"/>
        <v>0.19930555555555801</v>
      </c>
      <c r="S77" s="58">
        <f t="shared" si="31"/>
        <v>0.17152777777778</v>
      </c>
      <c r="T77" s="623"/>
      <c r="V77" s="64"/>
      <c r="W77" s="65">
        <v>73</v>
      </c>
      <c r="X77" s="52">
        <f t="shared" si="28"/>
        <v>0.26111111111112001</v>
      </c>
      <c r="Y77" s="58">
        <f t="shared" si="32"/>
        <v>0.247222222222231</v>
      </c>
      <c r="Z77" s="192"/>
      <c r="AB77" s="64"/>
      <c r="AC77" s="65">
        <v>73</v>
      </c>
      <c r="AD77" s="52">
        <f t="shared" si="29"/>
        <v>0.26111111111112001</v>
      </c>
      <c r="AE77" s="58">
        <f t="shared" si="33"/>
        <v>0.247222222222231</v>
      </c>
      <c r="AF77" s="192"/>
    </row>
    <row r="78" spans="1:32" ht="15" customHeight="1" thickBot="1" x14ac:dyDescent="0.3">
      <c r="A78" s="41" t="s">
        <v>156</v>
      </c>
      <c r="B78" s="326">
        <f>(B74*B75)+B76</f>
        <v>1.38888888888889E-2</v>
      </c>
      <c r="C78" s="381" t="s">
        <v>37</v>
      </c>
      <c r="K78" s="4">
        <v>750</v>
      </c>
      <c r="L78" s="15">
        <f t="shared" si="30"/>
        <v>0.28125</v>
      </c>
      <c r="P78" s="99"/>
      <c r="Q78" s="65">
        <v>75</v>
      </c>
      <c r="R78" s="57">
        <f t="shared" si="27"/>
        <v>0.202430555555558</v>
      </c>
      <c r="S78" s="58">
        <f t="shared" si="31"/>
        <v>0.17465277777777999</v>
      </c>
      <c r="T78" s="623"/>
      <c r="V78" s="64"/>
      <c r="W78" s="65">
        <v>74</v>
      </c>
      <c r="X78" s="52">
        <f t="shared" si="28"/>
        <v>0.26597222222223099</v>
      </c>
      <c r="Y78" s="58">
        <f t="shared" si="32"/>
        <v>0.25208333333334199</v>
      </c>
      <c r="Z78" s="192"/>
      <c r="AB78" s="64"/>
      <c r="AC78" s="65">
        <v>74</v>
      </c>
      <c r="AD78" s="52">
        <f t="shared" si="29"/>
        <v>0.26597222222223099</v>
      </c>
      <c r="AE78" s="58">
        <f t="shared" si="33"/>
        <v>0.25208333333334199</v>
      </c>
      <c r="AF78" s="192"/>
    </row>
    <row r="79" spans="1:32" ht="14.65" customHeight="1" x14ac:dyDescent="0.25">
      <c r="A79" s="331" t="s">
        <v>157</v>
      </c>
      <c r="B79" s="28">
        <f>IF(E14&gt;0,B78,0)</f>
        <v>0</v>
      </c>
      <c r="C79" s="382">
        <f>C77/7</f>
        <v>0</v>
      </c>
      <c r="K79" s="4">
        <v>760</v>
      </c>
      <c r="L79" s="15">
        <f t="shared" si="30"/>
        <v>0.28472222222222199</v>
      </c>
      <c r="P79" s="99"/>
      <c r="Q79" s="65">
        <v>76</v>
      </c>
      <c r="R79" s="57">
        <f t="shared" si="27"/>
        <v>0.20555555555555799</v>
      </c>
      <c r="S79" s="58">
        <f t="shared" si="31"/>
        <v>0.17777777777778001</v>
      </c>
      <c r="T79" s="623"/>
      <c r="V79" s="64"/>
      <c r="W79" s="65">
        <v>75</v>
      </c>
      <c r="X79" s="52">
        <f t="shared" si="28"/>
        <v>0.27083333333334197</v>
      </c>
      <c r="Y79" s="58">
        <f t="shared" si="32"/>
        <v>0.25694444444445302</v>
      </c>
      <c r="Z79" s="192"/>
      <c r="AB79" s="64"/>
      <c r="AC79" s="65">
        <v>75</v>
      </c>
      <c r="AD79" s="52">
        <f t="shared" si="29"/>
        <v>0.27083333333334197</v>
      </c>
      <c r="AE79" s="58">
        <f t="shared" si="33"/>
        <v>0.25694444444445302</v>
      </c>
      <c r="AF79" s="192"/>
    </row>
    <row r="80" spans="1:32" ht="15" customHeight="1" thickBot="1" x14ac:dyDescent="0.3">
      <c r="A80" s="30"/>
      <c r="B80" s="33"/>
      <c r="C80" s="242"/>
      <c r="K80" s="4">
        <v>770</v>
      </c>
      <c r="L80" s="15">
        <f t="shared" si="30"/>
        <v>0.28819444444444398</v>
      </c>
      <c r="P80" s="99"/>
      <c r="Q80" s="65">
        <v>77</v>
      </c>
      <c r="R80" s="57">
        <f t="shared" si="27"/>
        <v>0.20868055555555801</v>
      </c>
      <c r="S80" s="58">
        <f t="shared" si="31"/>
        <v>0.18090277777777999</v>
      </c>
      <c r="T80" s="623"/>
      <c r="V80" s="64"/>
      <c r="W80" s="65">
        <v>76</v>
      </c>
      <c r="X80" s="52">
        <f t="shared" si="28"/>
        <v>0.27569444444445301</v>
      </c>
      <c r="Y80" s="58">
        <f t="shared" si="32"/>
        <v>0.26180555555556401</v>
      </c>
      <c r="Z80" s="192"/>
      <c r="AB80" s="64"/>
      <c r="AC80" s="65">
        <v>76</v>
      </c>
      <c r="AD80" s="52">
        <f t="shared" si="29"/>
        <v>0.27569444444445301</v>
      </c>
      <c r="AE80" s="58">
        <f t="shared" si="33"/>
        <v>0.26180555555556401</v>
      </c>
      <c r="AF80" s="192"/>
    </row>
    <row r="81" spans="1:32" ht="14.65" customHeight="1" x14ac:dyDescent="0.25">
      <c r="A81" s="8" t="s">
        <v>12</v>
      </c>
      <c r="B81" s="20" t="e">
        <f>INDEX(L3:L415,MATCH(E5,K3:K415,1))</f>
        <v>#DIV/0!</v>
      </c>
      <c r="C81" s="244"/>
      <c r="K81" s="4">
        <v>780</v>
      </c>
      <c r="L81" s="15">
        <f t="shared" si="30"/>
        <v>0.29166666666666602</v>
      </c>
      <c r="P81" s="99"/>
      <c r="Q81" s="65">
        <v>78</v>
      </c>
      <c r="R81" s="57">
        <f t="shared" si="27"/>
        <v>0.21180555555555799</v>
      </c>
      <c r="S81" s="58">
        <f t="shared" si="31"/>
        <v>0.18402777777778001</v>
      </c>
      <c r="T81" s="623"/>
      <c r="V81" s="64"/>
      <c r="W81" s="65">
        <v>77</v>
      </c>
      <c r="X81" s="52">
        <f t="shared" si="28"/>
        <v>0.280555555555564</v>
      </c>
      <c r="Y81" s="58">
        <f t="shared" si="32"/>
        <v>0.26666666666667499</v>
      </c>
      <c r="Z81" s="192"/>
      <c r="AB81" s="64"/>
      <c r="AC81" s="65">
        <v>77</v>
      </c>
      <c r="AD81" s="52">
        <f t="shared" si="29"/>
        <v>0.280555555555564</v>
      </c>
      <c r="AE81" s="58">
        <f t="shared" si="33"/>
        <v>0.26666666666667499</v>
      </c>
      <c r="AF81" s="192"/>
    </row>
    <row r="82" spans="1:32" ht="14.65" customHeight="1" x14ac:dyDescent="0.25">
      <c r="A82" s="5" t="s">
        <v>158</v>
      </c>
      <c r="B82" s="16" t="e">
        <f>(B81)</f>
        <v>#DIV/0!</v>
      </c>
      <c r="C82" s="244"/>
      <c r="K82" s="4">
        <v>790</v>
      </c>
      <c r="L82" s="15">
        <f t="shared" si="30"/>
        <v>0.29513888888888901</v>
      </c>
      <c r="P82" s="99"/>
      <c r="Q82" s="65">
        <v>79</v>
      </c>
      <c r="R82" s="57">
        <f t="shared" si="27"/>
        <v>0.21493055555555801</v>
      </c>
      <c r="S82" s="58">
        <f t="shared" si="31"/>
        <v>0.18715277777778</v>
      </c>
      <c r="T82" s="623"/>
      <c r="V82" s="64"/>
      <c r="W82" s="65">
        <v>78</v>
      </c>
      <c r="X82" s="52">
        <f t="shared" si="28"/>
        <v>0.28541666666667498</v>
      </c>
      <c r="Y82" s="58">
        <f t="shared" si="32"/>
        <v>0.27152777777778597</v>
      </c>
      <c r="Z82" s="192"/>
      <c r="AB82" s="64"/>
      <c r="AC82" s="65">
        <v>78</v>
      </c>
      <c r="AD82" s="52">
        <f t="shared" si="29"/>
        <v>0.28541666666667498</v>
      </c>
      <c r="AE82" s="58">
        <f t="shared" si="33"/>
        <v>0.27152777777778597</v>
      </c>
      <c r="AF82" s="192"/>
    </row>
    <row r="83" spans="1:32" ht="14.65" customHeight="1" x14ac:dyDescent="0.25">
      <c r="A83" s="7" t="s">
        <v>126</v>
      </c>
      <c r="B83" s="6">
        <f>E7</f>
        <v>0</v>
      </c>
      <c r="C83" s="244"/>
      <c r="K83" s="4">
        <v>800</v>
      </c>
      <c r="L83" s="15">
        <f t="shared" si="30"/>
        <v>0.29861111111111099</v>
      </c>
      <c r="P83" s="99"/>
      <c r="Q83" s="65">
        <v>80</v>
      </c>
      <c r="R83" s="57">
        <f t="shared" si="27"/>
        <v>0.218055555555558</v>
      </c>
      <c r="S83" s="58">
        <f t="shared" si="31"/>
        <v>0.19027777777777999</v>
      </c>
      <c r="T83" s="624"/>
      <c r="V83" s="64"/>
      <c r="W83" s="65">
        <v>79</v>
      </c>
      <c r="X83" s="52">
        <f t="shared" si="28"/>
        <v>0.29027777777778602</v>
      </c>
      <c r="Y83" s="58">
        <f t="shared" si="32"/>
        <v>0.27638888888889701</v>
      </c>
      <c r="Z83" s="192"/>
      <c r="AB83" s="64"/>
      <c r="AC83" s="65">
        <v>79</v>
      </c>
      <c r="AD83" s="52">
        <f t="shared" si="29"/>
        <v>0.29027777777778602</v>
      </c>
      <c r="AE83" s="58">
        <f t="shared" si="33"/>
        <v>0.27638888888889701</v>
      </c>
      <c r="AF83" s="192"/>
    </row>
    <row r="84" spans="1:32" ht="14.65" customHeight="1" x14ac:dyDescent="0.25">
      <c r="A84" s="5" t="s">
        <v>159</v>
      </c>
      <c r="B84" s="16" t="e">
        <f>B82*B83</f>
        <v>#DIV/0!</v>
      </c>
      <c r="C84" s="244"/>
      <c r="K84" s="4">
        <v>810</v>
      </c>
      <c r="L84" s="15">
        <f t="shared" si="30"/>
        <v>0.30208333333333298</v>
      </c>
      <c r="P84" s="100" t="s">
        <v>160</v>
      </c>
      <c r="Q84" s="67">
        <v>81</v>
      </c>
      <c r="R84" s="80">
        <f t="shared" si="27"/>
        <v>0.22291666666666901</v>
      </c>
      <c r="S84" s="85">
        <f t="shared" ref="S84:S102" si="34">S83+$T$84</f>
        <v>0.195138888888891</v>
      </c>
      <c r="T84" s="630">
        <v>4.8611111111111103E-3</v>
      </c>
      <c r="V84" s="64"/>
      <c r="W84" s="65">
        <v>80</v>
      </c>
      <c r="X84" s="52">
        <f t="shared" si="28"/>
        <v>0.295138888888897</v>
      </c>
      <c r="Y84" s="58">
        <f t="shared" si="32"/>
        <v>0.28125000000000799</v>
      </c>
      <c r="Z84" s="193"/>
      <c r="AB84" s="64"/>
      <c r="AC84" s="65">
        <v>80</v>
      </c>
      <c r="AD84" s="52">
        <f t="shared" si="29"/>
        <v>0.295138888888897</v>
      </c>
      <c r="AE84" s="58">
        <f t="shared" si="33"/>
        <v>0.28125000000000799</v>
      </c>
      <c r="AF84" s="193"/>
    </row>
    <row r="85" spans="1:32" ht="14.65" customHeight="1" x14ac:dyDescent="0.25">
      <c r="A85" s="5" t="s">
        <v>161</v>
      </c>
      <c r="B85" s="16" t="e">
        <f>(B84)</f>
        <v>#DIV/0!</v>
      </c>
      <c r="C85" s="244"/>
      <c r="K85" s="4">
        <v>820</v>
      </c>
      <c r="L85" s="15">
        <f t="shared" si="30"/>
        <v>0.30555555555555503</v>
      </c>
      <c r="P85" s="100"/>
      <c r="Q85" s="67">
        <v>82</v>
      </c>
      <c r="R85" s="80">
        <f t="shared" si="27"/>
        <v>0.22777777777777999</v>
      </c>
      <c r="S85" s="85">
        <f t="shared" si="34"/>
        <v>0.20000000000000201</v>
      </c>
      <c r="T85" s="623"/>
      <c r="V85" s="66" t="s">
        <v>162</v>
      </c>
      <c r="W85" s="67">
        <v>81</v>
      </c>
      <c r="X85" s="52">
        <f t="shared" si="28"/>
        <v>0.30000000000000798</v>
      </c>
      <c r="Y85" s="85">
        <f t="shared" ref="Y85:Y103" si="35">Y84+$Z$85</f>
        <v>0.28611111111111898</v>
      </c>
      <c r="Z85" s="185">
        <v>4.8611111111111103E-3</v>
      </c>
      <c r="AB85" s="66" t="s">
        <v>162</v>
      </c>
      <c r="AC85" s="67">
        <v>81</v>
      </c>
      <c r="AD85" s="52">
        <f t="shared" si="29"/>
        <v>0.30000000000000798</v>
      </c>
      <c r="AE85" s="85">
        <f t="shared" ref="AE85:AE103" si="36">AE84+$AF$85</f>
        <v>0.28611111111111898</v>
      </c>
      <c r="AF85" s="185">
        <v>4.8611111111111103E-3</v>
      </c>
    </row>
    <row r="86" spans="1:32" ht="14.65" customHeight="1" x14ac:dyDescent="0.25">
      <c r="A86" s="23" t="s">
        <v>163</v>
      </c>
      <c r="B86" s="334" t="e">
        <f>(B85+B82)/E5</f>
        <v>#DIV/0!</v>
      </c>
      <c r="C86" s="380">
        <f>B88*24</f>
        <v>0</v>
      </c>
      <c r="K86" s="4">
        <v>830</v>
      </c>
      <c r="L86" s="15">
        <f t="shared" si="30"/>
        <v>0.30902777777777801</v>
      </c>
      <c r="P86" s="100"/>
      <c r="Q86" s="67">
        <v>83</v>
      </c>
      <c r="R86" s="80">
        <f t="shared" si="27"/>
        <v>0.232638888888891</v>
      </c>
      <c r="S86" s="85">
        <f t="shared" si="34"/>
        <v>0.20486111111111299</v>
      </c>
      <c r="T86" s="623"/>
      <c r="V86" s="66"/>
      <c r="W86" s="67">
        <v>82</v>
      </c>
      <c r="X86" s="52">
        <f t="shared" si="28"/>
        <v>0.30486111111111902</v>
      </c>
      <c r="Y86" s="85">
        <f t="shared" si="35"/>
        <v>0.29097222222223001</v>
      </c>
      <c r="Z86" s="186"/>
      <c r="AB86" s="66"/>
      <c r="AC86" s="67">
        <v>82</v>
      </c>
      <c r="AD86" s="52">
        <f t="shared" si="29"/>
        <v>0.30486111111111902</v>
      </c>
      <c r="AE86" s="85">
        <f t="shared" si="36"/>
        <v>0.29097222222223001</v>
      </c>
      <c r="AF86" s="186"/>
    </row>
    <row r="87" spans="1:32" ht="15" customHeight="1" thickBot="1" x14ac:dyDescent="0.3">
      <c r="A87" s="10" t="s">
        <v>164</v>
      </c>
      <c r="B87" s="325" t="e">
        <f>B82+B85</f>
        <v>#DIV/0!</v>
      </c>
      <c r="C87" s="381" t="s">
        <v>37</v>
      </c>
      <c r="K87" s="4">
        <v>840</v>
      </c>
      <c r="L87" s="15">
        <f t="shared" si="30"/>
        <v>0.3125</v>
      </c>
      <c r="P87" s="100"/>
      <c r="Q87" s="67">
        <v>84</v>
      </c>
      <c r="R87" s="80">
        <f t="shared" si="27"/>
        <v>0.23750000000000199</v>
      </c>
      <c r="S87" s="85">
        <f t="shared" si="34"/>
        <v>0.209722222222224</v>
      </c>
      <c r="T87" s="623"/>
      <c r="V87" s="66"/>
      <c r="W87" s="67">
        <v>83</v>
      </c>
      <c r="X87" s="52">
        <f t="shared" si="28"/>
        <v>0.30972222222223</v>
      </c>
      <c r="Y87" s="85">
        <f t="shared" si="35"/>
        <v>0.295833333333341</v>
      </c>
      <c r="Z87" s="186"/>
      <c r="AB87" s="66"/>
      <c r="AC87" s="67">
        <v>83</v>
      </c>
      <c r="AD87" s="52">
        <f t="shared" si="29"/>
        <v>0.30972222222223</v>
      </c>
      <c r="AE87" s="85">
        <f t="shared" si="36"/>
        <v>0.295833333333341</v>
      </c>
      <c r="AF87" s="186"/>
    </row>
    <row r="88" spans="1:32" ht="15" customHeight="1" thickBot="1" x14ac:dyDescent="0.3">
      <c r="A88" s="24" t="s">
        <v>165</v>
      </c>
      <c r="B88" s="17">
        <f>IF(E9&gt;0,B87,0)</f>
        <v>0</v>
      </c>
      <c r="C88" s="382">
        <f>C86/7</f>
        <v>0</v>
      </c>
      <c r="K88" s="4">
        <v>850</v>
      </c>
      <c r="L88" s="15">
        <f t="shared" si="30"/>
        <v>0.31597222222222199</v>
      </c>
      <c r="P88" s="100"/>
      <c r="Q88" s="67">
        <v>85</v>
      </c>
      <c r="R88" s="80">
        <f t="shared" si="27"/>
        <v>0.242361111111113</v>
      </c>
      <c r="S88" s="85">
        <f t="shared" si="34"/>
        <v>0.21458333333333501</v>
      </c>
      <c r="T88" s="623"/>
      <c r="V88" s="66"/>
      <c r="W88" s="67">
        <v>84</v>
      </c>
      <c r="X88" s="52">
        <f t="shared" si="28"/>
        <v>0.31458333333334099</v>
      </c>
      <c r="Y88" s="85">
        <f t="shared" si="35"/>
        <v>0.30069444444445198</v>
      </c>
      <c r="Z88" s="186"/>
      <c r="AB88" s="66"/>
      <c r="AC88" s="67">
        <v>84</v>
      </c>
      <c r="AD88" s="52">
        <f t="shared" si="29"/>
        <v>0.31458333333334099</v>
      </c>
      <c r="AE88" s="85">
        <f t="shared" si="36"/>
        <v>0.30069444444445198</v>
      </c>
      <c r="AF88" s="186"/>
    </row>
    <row r="89" spans="1:32" ht="14.65" customHeight="1" x14ac:dyDescent="0.25">
      <c r="A89" s="30"/>
      <c r="B89" s="33"/>
      <c r="C89" s="380">
        <f>B91*24</f>
        <v>0.33</v>
      </c>
      <c r="H89" s="42"/>
      <c r="K89" s="4">
        <v>860</v>
      </c>
      <c r="L89" s="15">
        <f t="shared" si="30"/>
        <v>0.31944444444444398</v>
      </c>
      <c r="P89" s="100"/>
      <c r="Q89" s="67">
        <v>86</v>
      </c>
      <c r="R89" s="80">
        <f t="shared" si="27"/>
        <v>0.24722222222222401</v>
      </c>
      <c r="S89" s="85">
        <f t="shared" si="34"/>
        <v>0.219444444444446</v>
      </c>
      <c r="T89" s="623"/>
      <c r="V89" s="66"/>
      <c r="W89" s="67">
        <v>85</v>
      </c>
      <c r="X89" s="52">
        <f t="shared" si="28"/>
        <v>0.31944444444445202</v>
      </c>
      <c r="Y89" s="85">
        <f t="shared" si="35"/>
        <v>0.30555555555556302</v>
      </c>
      <c r="Z89" s="186"/>
      <c r="AB89" s="66"/>
      <c r="AC89" s="67">
        <v>85</v>
      </c>
      <c r="AD89" s="52">
        <f t="shared" si="29"/>
        <v>0.31944444444445202</v>
      </c>
      <c r="AE89" s="85">
        <f t="shared" si="36"/>
        <v>0.30555555555556302</v>
      </c>
      <c r="AF89" s="186"/>
    </row>
    <row r="90" spans="1:32" ht="14.65" customHeight="1" x14ac:dyDescent="0.25">
      <c r="A90" s="330" t="s">
        <v>166</v>
      </c>
      <c r="B90" s="335" t="e">
        <f>B91/E5</f>
        <v>#DIV/0!</v>
      </c>
      <c r="C90" s="381" t="s">
        <v>37</v>
      </c>
      <c r="H90" s="43"/>
      <c r="K90" s="4">
        <v>870</v>
      </c>
      <c r="L90" s="15">
        <f t="shared" si="30"/>
        <v>0.32291666666666602</v>
      </c>
      <c r="P90" s="100"/>
      <c r="Q90" s="67">
        <v>87</v>
      </c>
      <c r="R90" s="80">
        <f t="shared" si="27"/>
        <v>0.25208333333333499</v>
      </c>
      <c r="S90" s="85">
        <f t="shared" si="34"/>
        <v>0.22430555555555701</v>
      </c>
      <c r="T90" s="623"/>
      <c r="V90" s="66"/>
      <c r="W90" s="67">
        <v>86</v>
      </c>
      <c r="X90" s="52">
        <f t="shared" si="28"/>
        <v>0.32430555555556301</v>
      </c>
      <c r="Y90" s="85">
        <f t="shared" si="35"/>
        <v>0.310416666666674</v>
      </c>
      <c r="Z90" s="186"/>
      <c r="AB90" s="66"/>
      <c r="AC90" s="67">
        <v>86</v>
      </c>
      <c r="AD90" s="52">
        <f t="shared" si="29"/>
        <v>0.32430555555556301</v>
      </c>
      <c r="AE90" s="85">
        <f t="shared" si="36"/>
        <v>0.310416666666674</v>
      </c>
      <c r="AF90" s="186"/>
    </row>
    <row r="91" spans="1:32" ht="15" customHeight="1" thickBot="1" x14ac:dyDescent="0.3">
      <c r="A91" s="314" t="s">
        <v>167</v>
      </c>
      <c r="B91" s="336">
        <f>B42+B57+B72+B78+B88</f>
        <v>1.38888888888889E-2</v>
      </c>
      <c r="C91" s="382">
        <f>C89/7</f>
        <v>0.05</v>
      </c>
      <c r="K91" s="4">
        <v>880</v>
      </c>
      <c r="L91" s="15">
        <f t="shared" si="30"/>
        <v>0.32638888888888901</v>
      </c>
      <c r="P91" s="100"/>
      <c r="Q91" s="67">
        <v>88</v>
      </c>
      <c r="R91" s="80">
        <f t="shared" si="27"/>
        <v>0.25694444444444597</v>
      </c>
      <c r="S91" s="85">
        <f t="shared" si="34"/>
        <v>0.22916666666666799</v>
      </c>
      <c r="T91" s="623"/>
      <c r="V91" s="66"/>
      <c r="W91" s="67">
        <v>87</v>
      </c>
      <c r="X91" s="52">
        <f t="shared" si="28"/>
        <v>0.32916666666667399</v>
      </c>
      <c r="Y91" s="85">
        <f t="shared" si="35"/>
        <v>0.31527777777778498</v>
      </c>
      <c r="Z91" s="186"/>
      <c r="AB91" s="66"/>
      <c r="AC91" s="67">
        <v>87</v>
      </c>
      <c r="AD91" s="52">
        <f t="shared" si="29"/>
        <v>0.32916666666667399</v>
      </c>
      <c r="AE91" s="85">
        <f t="shared" si="36"/>
        <v>0.31527777777778498</v>
      </c>
      <c r="AF91" s="186"/>
    </row>
    <row r="92" spans="1:32" ht="15" customHeight="1" thickBot="1" x14ac:dyDescent="0.3">
      <c r="A92" s="30"/>
      <c r="B92" s="30"/>
      <c r="C92" s="388"/>
      <c r="H92" s="45"/>
      <c r="K92" s="4">
        <v>890</v>
      </c>
      <c r="L92" s="15">
        <f t="shared" si="30"/>
        <v>0.32986111111111099</v>
      </c>
      <c r="P92" s="100"/>
      <c r="Q92" s="67">
        <v>89</v>
      </c>
      <c r="R92" s="80">
        <f t="shared" si="27"/>
        <v>0.26180555555555701</v>
      </c>
      <c r="S92" s="85">
        <f t="shared" si="34"/>
        <v>0.234027777777779</v>
      </c>
      <c r="T92" s="623"/>
      <c r="V92" s="66"/>
      <c r="W92" s="67">
        <v>88</v>
      </c>
      <c r="X92" s="52">
        <f t="shared" si="28"/>
        <v>0.33402777777778497</v>
      </c>
      <c r="Y92" s="85">
        <f t="shared" si="35"/>
        <v>0.32013888888889602</v>
      </c>
      <c r="Z92" s="186"/>
      <c r="AB92" s="66"/>
      <c r="AC92" s="67">
        <v>88</v>
      </c>
      <c r="AD92" s="52">
        <f t="shared" si="29"/>
        <v>0.33402777777778497</v>
      </c>
      <c r="AE92" s="85">
        <f t="shared" si="36"/>
        <v>0.32013888888889602</v>
      </c>
      <c r="AF92" s="186"/>
    </row>
    <row r="93" spans="1:32" ht="14.65" customHeight="1" x14ac:dyDescent="0.25">
      <c r="A93" s="362" t="s">
        <v>168</v>
      </c>
      <c r="B93" s="12">
        <f>H46</f>
        <v>0</v>
      </c>
      <c r="C93" s="389"/>
      <c r="K93" s="4">
        <v>1410</v>
      </c>
      <c r="L93" s="15">
        <f t="shared" si="30"/>
        <v>0.51041666666666596</v>
      </c>
      <c r="P93" s="100"/>
      <c r="Q93" s="67">
        <v>90</v>
      </c>
      <c r="R93" s="80">
        <f t="shared" si="27"/>
        <v>0.266666666666668</v>
      </c>
      <c r="S93" s="85">
        <f t="shared" si="34"/>
        <v>0.23888888888889001</v>
      </c>
      <c r="T93" s="623"/>
      <c r="V93" s="66"/>
      <c r="W93" s="67">
        <v>89</v>
      </c>
      <c r="X93" s="52">
        <f t="shared" si="28"/>
        <v>0.33888888888889601</v>
      </c>
      <c r="Y93" s="85">
        <f t="shared" si="35"/>
        <v>0.32500000000000701</v>
      </c>
      <c r="Z93" s="186"/>
      <c r="AB93" s="66"/>
      <c r="AC93" s="67">
        <v>89</v>
      </c>
      <c r="AD93" s="52">
        <f t="shared" si="29"/>
        <v>0.33888888888889601</v>
      </c>
      <c r="AE93" s="85">
        <f t="shared" si="36"/>
        <v>0.32500000000000701</v>
      </c>
      <c r="AF93" s="186"/>
    </row>
    <row r="94" spans="1:32" ht="14.65" customHeight="1" x14ac:dyDescent="0.25">
      <c r="A94" s="4" t="s">
        <v>120</v>
      </c>
      <c r="B94" s="38">
        <f>H48</f>
        <v>8.1018518518518503E-5</v>
      </c>
      <c r="C94" s="244"/>
      <c r="K94" s="4">
        <v>1420</v>
      </c>
      <c r="L94" s="15">
        <f t="shared" si="30"/>
        <v>0.51388888888888895</v>
      </c>
      <c r="P94" s="100"/>
      <c r="Q94" s="67">
        <v>91</v>
      </c>
      <c r="R94" s="80">
        <f t="shared" si="27"/>
        <v>0.27152777777777898</v>
      </c>
      <c r="S94" s="85">
        <f t="shared" si="34"/>
        <v>0.24375000000000099</v>
      </c>
      <c r="T94" s="623"/>
      <c r="V94" s="66"/>
      <c r="W94" s="67">
        <v>90</v>
      </c>
      <c r="X94" s="52">
        <f t="shared" si="28"/>
        <v>0.34375000000000699</v>
      </c>
      <c r="Y94" s="85">
        <f t="shared" si="35"/>
        <v>0.32986111111111799</v>
      </c>
      <c r="Z94" s="186"/>
      <c r="AB94" s="66"/>
      <c r="AC94" s="67">
        <v>90</v>
      </c>
      <c r="AD94" s="52">
        <f t="shared" si="29"/>
        <v>0.34375000000000699</v>
      </c>
      <c r="AE94" s="85">
        <f t="shared" si="36"/>
        <v>0.32986111111111799</v>
      </c>
      <c r="AF94" s="186"/>
    </row>
    <row r="95" spans="1:32" ht="14.65" customHeight="1" x14ac:dyDescent="0.25">
      <c r="A95" s="4" t="s">
        <v>169</v>
      </c>
      <c r="B95" s="15">
        <f>B93*B94</f>
        <v>0</v>
      </c>
      <c r="C95" s="244"/>
      <c r="D95" s="242"/>
      <c r="E95" s="242"/>
      <c r="F95" s="242"/>
      <c r="K95" s="4">
        <v>1430</v>
      </c>
      <c r="L95" s="15">
        <f t="shared" si="30"/>
        <v>0.51736111111111105</v>
      </c>
      <c r="P95" s="100"/>
      <c r="Q95" s="67">
        <v>92</v>
      </c>
      <c r="R95" s="80">
        <f t="shared" si="27"/>
        <v>0.27638888888889002</v>
      </c>
      <c r="S95" s="85">
        <f t="shared" si="34"/>
        <v>0.248611111111112</v>
      </c>
      <c r="T95" s="623"/>
      <c r="V95" s="66"/>
      <c r="W95" s="67">
        <v>91</v>
      </c>
      <c r="X95" s="52">
        <f t="shared" si="28"/>
        <v>0.34861111111111798</v>
      </c>
      <c r="Y95" s="85">
        <f t="shared" si="35"/>
        <v>0.33472222222222903</v>
      </c>
      <c r="Z95" s="186"/>
      <c r="AB95" s="66"/>
      <c r="AC95" s="67">
        <v>91</v>
      </c>
      <c r="AD95" s="52">
        <f t="shared" si="29"/>
        <v>0.34861111111111798</v>
      </c>
      <c r="AE95" s="85">
        <f t="shared" si="36"/>
        <v>0.33472222222222903</v>
      </c>
      <c r="AF95" s="186"/>
    </row>
    <row r="96" spans="1:32" ht="14.65" customHeight="1" x14ac:dyDescent="0.25">
      <c r="A96" s="4" t="s">
        <v>170</v>
      </c>
      <c r="B96" s="38">
        <f>H58</f>
        <v>1.38888888888889E-2</v>
      </c>
      <c r="C96" s="244"/>
      <c r="E96" s="47"/>
      <c r="F96" s="245"/>
      <c r="K96" s="4">
        <v>1440</v>
      </c>
      <c r="L96" s="15">
        <f t="shared" si="30"/>
        <v>0.52083333333333304</v>
      </c>
      <c r="P96" s="100"/>
      <c r="Q96" s="67">
        <v>93</v>
      </c>
      <c r="R96" s="80">
        <f t="shared" si="27"/>
        <v>0.281250000000001</v>
      </c>
      <c r="S96" s="85">
        <f t="shared" si="34"/>
        <v>0.25347222222222299</v>
      </c>
      <c r="T96" s="623"/>
      <c r="V96" s="66"/>
      <c r="W96" s="67">
        <v>92</v>
      </c>
      <c r="X96" s="52">
        <f t="shared" si="28"/>
        <v>0.35347222222222902</v>
      </c>
      <c r="Y96" s="85">
        <f t="shared" si="35"/>
        <v>0.33958333333334001</v>
      </c>
      <c r="Z96" s="186"/>
      <c r="AB96" s="66"/>
      <c r="AC96" s="67">
        <v>92</v>
      </c>
      <c r="AD96" s="52">
        <f t="shared" si="29"/>
        <v>0.35347222222222902</v>
      </c>
      <c r="AE96" s="85">
        <f t="shared" si="36"/>
        <v>0.33958333333334001</v>
      </c>
      <c r="AF96" s="186"/>
    </row>
    <row r="97" spans="1:32" ht="14.65" customHeight="1" x14ac:dyDescent="0.25">
      <c r="A97" s="4" t="s">
        <v>171</v>
      </c>
      <c r="B97" s="4">
        <f>H45</f>
        <v>0</v>
      </c>
      <c r="C97" s="244"/>
      <c r="F97" s="18"/>
      <c r="K97" s="4">
        <v>1450</v>
      </c>
      <c r="L97" s="15">
        <f t="shared" si="30"/>
        <v>0.52430555555555503</v>
      </c>
      <c r="P97" s="100"/>
      <c r="Q97" s="67">
        <v>94</v>
      </c>
      <c r="R97" s="80">
        <f t="shared" si="27"/>
        <v>0.28611111111111198</v>
      </c>
      <c r="S97" s="85">
        <f t="shared" si="34"/>
        <v>0.25833333333333403</v>
      </c>
      <c r="T97" s="623"/>
      <c r="V97" s="66"/>
      <c r="W97" s="67">
        <v>93</v>
      </c>
      <c r="X97" s="52">
        <f t="shared" si="28"/>
        <v>0.35833333333334</v>
      </c>
      <c r="Y97" s="85">
        <f t="shared" si="35"/>
        <v>0.34444444444445099</v>
      </c>
      <c r="Z97" s="186"/>
      <c r="AB97" s="66"/>
      <c r="AC97" s="67">
        <v>93</v>
      </c>
      <c r="AD97" s="52">
        <f t="shared" si="29"/>
        <v>0.35833333333334</v>
      </c>
      <c r="AE97" s="85">
        <f t="shared" si="36"/>
        <v>0.34444444444445099</v>
      </c>
      <c r="AF97" s="186"/>
    </row>
    <row r="98" spans="1:32" ht="14.65" customHeight="1" x14ac:dyDescent="0.25">
      <c r="A98" s="4" t="s">
        <v>172</v>
      </c>
      <c r="B98" s="116">
        <f>H47*E15</f>
        <v>0</v>
      </c>
      <c r="C98" s="244"/>
      <c r="F98" s="18"/>
      <c r="K98" s="4">
        <v>1460</v>
      </c>
      <c r="L98" s="15">
        <f t="shared" si="30"/>
        <v>0.52777777777777701</v>
      </c>
      <c r="P98" s="100"/>
      <c r="Q98" s="67">
        <v>95</v>
      </c>
      <c r="R98" s="80">
        <f t="shared" si="27"/>
        <v>0.29097222222222302</v>
      </c>
      <c r="S98" s="85">
        <f t="shared" si="34"/>
        <v>0.26319444444444501</v>
      </c>
      <c r="T98" s="623"/>
      <c r="V98" s="66"/>
      <c r="W98" s="67">
        <v>94</v>
      </c>
      <c r="X98" s="52">
        <f t="shared" si="28"/>
        <v>0.36319444444445098</v>
      </c>
      <c r="Y98" s="85">
        <f t="shared" si="35"/>
        <v>0.34930555555556198</v>
      </c>
      <c r="Z98" s="186"/>
      <c r="AB98" s="66"/>
      <c r="AC98" s="67">
        <v>94</v>
      </c>
      <c r="AD98" s="52">
        <f t="shared" si="29"/>
        <v>0.36319444444445098</v>
      </c>
      <c r="AE98" s="85">
        <f t="shared" si="36"/>
        <v>0.34930555555556198</v>
      </c>
      <c r="AF98" s="186"/>
    </row>
    <row r="99" spans="1:32" ht="14.65" customHeight="1" x14ac:dyDescent="0.25">
      <c r="A99" s="4" t="s">
        <v>173</v>
      </c>
      <c r="B99" s="15">
        <f>(H47*E15)*E4</f>
        <v>0</v>
      </c>
      <c r="C99" s="244"/>
      <c r="F99" s="18"/>
      <c r="K99" s="4">
        <v>1470</v>
      </c>
      <c r="L99" s="15">
        <f t="shared" si="30"/>
        <v>0.53125</v>
      </c>
      <c r="P99" s="100"/>
      <c r="Q99" s="67">
        <v>96</v>
      </c>
      <c r="R99" s="80">
        <f t="shared" si="27"/>
        <v>0.295833333333334</v>
      </c>
      <c r="S99" s="85">
        <f t="shared" si="34"/>
        <v>0.26805555555555599</v>
      </c>
      <c r="T99" s="623"/>
      <c r="V99" s="66"/>
      <c r="W99" s="67">
        <v>95</v>
      </c>
      <c r="X99" s="52">
        <f t="shared" si="28"/>
        <v>0.36805555555556202</v>
      </c>
      <c r="Y99" s="85">
        <f t="shared" si="35"/>
        <v>0.35416666666667301</v>
      </c>
      <c r="Z99" s="186"/>
      <c r="AB99" s="66"/>
      <c r="AC99" s="67">
        <v>95</v>
      </c>
      <c r="AD99" s="52">
        <f t="shared" si="29"/>
        <v>0.36805555555556202</v>
      </c>
      <c r="AE99" s="85">
        <f t="shared" si="36"/>
        <v>0.35416666666667301</v>
      </c>
      <c r="AF99" s="186"/>
    </row>
    <row r="100" spans="1:32" ht="14.65" customHeight="1" x14ac:dyDescent="0.25">
      <c r="A100" s="4"/>
      <c r="B100" s="4"/>
      <c r="C100" s="244"/>
      <c r="F100" s="18"/>
      <c r="K100" s="4">
        <v>1480</v>
      </c>
      <c r="L100" s="15">
        <f t="shared" si="30"/>
        <v>0.53472222222222199</v>
      </c>
      <c r="P100" s="100"/>
      <c r="Q100" s="67">
        <v>97</v>
      </c>
      <c r="R100" s="80">
        <f t="shared" si="27"/>
        <v>0.30069444444444499</v>
      </c>
      <c r="S100" s="85">
        <f t="shared" si="34"/>
        <v>0.27291666666666697</v>
      </c>
      <c r="T100" s="623"/>
      <c r="V100" s="66"/>
      <c r="W100" s="67">
        <v>96</v>
      </c>
      <c r="X100" s="52">
        <f t="shared" si="28"/>
        <v>0.372916666666673</v>
      </c>
      <c r="Y100" s="85">
        <f t="shared" si="35"/>
        <v>0.359027777777784</v>
      </c>
      <c r="Z100" s="186"/>
      <c r="AB100" s="66"/>
      <c r="AC100" s="67">
        <v>96</v>
      </c>
      <c r="AD100" s="52">
        <f t="shared" si="29"/>
        <v>0.372916666666673</v>
      </c>
      <c r="AE100" s="85">
        <f t="shared" si="36"/>
        <v>0.359027777777784</v>
      </c>
      <c r="AF100" s="186"/>
    </row>
    <row r="101" spans="1:32" ht="14.65" customHeight="1" x14ac:dyDescent="0.25">
      <c r="A101" s="4" t="s">
        <v>174</v>
      </c>
      <c r="B101" s="37" t="e">
        <f>B103/E4</f>
        <v>#DIV/0!</v>
      </c>
      <c r="C101" s="244"/>
      <c r="F101" s="18"/>
      <c r="K101" s="4">
        <v>1490</v>
      </c>
      <c r="L101" s="15">
        <f t="shared" si="30"/>
        <v>0.53819444444444398</v>
      </c>
      <c r="P101" s="100"/>
      <c r="Q101" s="67">
        <v>98</v>
      </c>
      <c r="R101" s="80">
        <f t="shared" ref="R101:R132" si="37">$R$4+S101</f>
        <v>0.30555555555555602</v>
      </c>
      <c r="S101" s="85">
        <f t="shared" si="34"/>
        <v>0.27777777777777801</v>
      </c>
      <c r="T101" s="623"/>
      <c r="V101" s="66"/>
      <c r="W101" s="67">
        <v>97</v>
      </c>
      <c r="X101" s="52">
        <f t="shared" si="28"/>
        <v>0.37777777777778399</v>
      </c>
      <c r="Y101" s="85">
        <f t="shared" si="35"/>
        <v>0.36388888888889498</v>
      </c>
      <c r="Z101" s="186"/>
      <c r="AB101" s="66"/>
      <c r="AC101" s="67">
        <v>97</v>
      </c>
      <c r="AD101" s="52">
        <f t="shared" si="29"/>
        <v>0.37777777777778399</v>
      </c>
      <c r="AE101" s="85">
        <f t="shared" si="36"/>
        <v>0.36388888888889498</v>
      </c>
      <c r="AF101" s="186"/>
    </row>
    <row r="102" spans="1:32" ht="15" customHeight="1" thickBot="1" x14ac:dyDescent="0.3">
      <c r="A102" s="4" t="s">
        <v>175</v>
      </c>
      <c r="B102" s="35" t="e">
        <f>B103/E5</f>
        <v>#DIV/0!</v>
      </c>
      <c r="C102" s="380">
        <f>B104*24</f>
        <v>0</v>
      </c>
      <c r="F102" s="246"/>
      <c r="K102" s="4">
        <v>1500</v>
      </c>
      <c r="L102" s="15">
        <f t="shared" si="30"/>
        <v>0.54166666666666596</v>
      </c>
      <c r="P102" s="100"/>
      <c r="Q102" s="67">
        <v>99</v>
      </c>
      <c r="R102" s="80">
        <f t="shared" si="37"/>
        <v>0.31041666666666701</v>
      </c>
      <c r="S102" s="85">
        <f t="shared" si="34"/>
        <v>0.28263888888888899</v>
      </c>
      <c r="T102" s="623"/>
      <c r="V102" s="66"/>
      <c r="W102" s="67">
        <v>98</v>
      </c>
      <c r="X102" s="52">
        <f t="shared" ref="X102:X133" si="38">$X$5+Y102</f>
        <v>0.38263888888889502</v>
      </c>
      <c r="Y102" s="85">
        <f t="shared" si="35"/>
        <v>0.36875000000000602</v>
      </c>
      <c r="Z102" s="186"/>
      <c r="AB102" s="66"/>
      <c r="AC102" s="67">
        <v>98</v>
      </c>
      <c r="AD102" s="52">
        <f t="shared" ref="AD102:AD133" si="39">$AD$5+AE102</f>
        <v>0.38263888888889502</v>
      </c>
      <c r="AE102" s="85">
        <f t="shared" si="36"/>
        <v>0.36875000000000602</v>
      </c>
      <c r="AF102" s="186"/>
    </row>
    <row r="103" spans="1:32" ht="15.75" thickBot="1" x14ac:dyDescent="0.3">
      <c r="A103" s="4" t="s">
        <v>176</v>
      </c>
      <c r="B103" s="328">
        <f>(B93*B94)+B96+B99</f>
        <v>1.38888888888889E-2</v>
      </c>
      <c r="C103" s="381" t="s">
        <v>37</v>
      </c>
      <c r="F103" s="18"/>
      <c r="K103" s="4">
        <v>1510</v>
      </c>
      <c r="L103" s="15">
        <f t="shared" si="30"/>
        <v>0.54513888888888895</v>
      </c>
      <c r="P103" s="91" t="s">
        <v>177</v>
      </c>
      <c r="Q103" s="69">
        <v>100</v>
      </c>
      <c r="R103" s="70">
        <f t="shared" si="37"/>
        <v>0.31736111111111098</v>
      </c>
      <c r="S103" s="392">
        <f>S102+$T$103</f>
        <v>0.28958333333333303</v>
      </c>
      <c r="T103" s="639">
        <v>6.9444444444444397E-3</v>
      </c>
      <c r="V103" s="66"/>
      <c r="W103" s="67">
        <v>99</v>
      </c>
      <c r="X103" s="52">
        <f t="shared" si="38"/>
        <v>0.38750000000000601</v>
      </c>
      <c r="Y103" s="85">
        <f t="shared" si="35"/>
        <v>0.373611111111117</v>
      </c>
      <c r="Z103" s="186"/>
      <c r="AB103" s="66"/>
      <c r="AC103" s="67">
        <v>99</v>
      </c>
      <c r="AD103" s="52">
        <f t="shared" si="39"/>
        <v>0.38750000000000601</v>
      </c>
      <c r="AE103" s="85">
        <f t="shared" si="36"/>
        <v>0.373611111111117</v>
      </c>
      <c r="AF103" s="186"/>
    </row>
    <row r="104" spans="1:32" ht="14.65" customHeight="1" x14ac:dyDescent="0.25">
      <c r="A104" s="329" t="s">
        <v>178</v>
      </c>
      <c r="B104" s="28">
        <f>IF(E15&gt;0,B103,0)</f>
        <v>0</v>
      </c>
      <c r="C104" s="382">
        <f>C102/7</f>
        <v>0</v>
      </c>
      <c r="F104" s="18"/>
      <c r="K104" s="4">
        <v>1520</v>
      </c>
      <c r="L104" s="15">
        <f t="shared" si="30"/>
        <v>0.54861111111111105</v>
      </c>
      <c r="P104" s="91"/>
      <c r="Q104" s="69">
        <v>101</v>
      </c>
      <c r="R104" s="70">
        <f t="shared" si="37"/>
        <v>0.32430555555555501</v>
      </c>
      <c r="S104" s="392">
        <f>S103+$T$103</f>
        <v>0.296527777777777</v>
      </c>
      <c r="T104" s="640"/>
      <c r="V104" s="68" t="s">
        <v>179</v>
      </c>
      <c r="W104" s="69">
        <v>100</v>
      </c>
      <c r="X104" s="52">
        <f t="shared" si="38"/>
        <v>0.39444444444444998</v>
      </c>
      <c r="Y104" s="71">
        <f t="shared" ref="Y104:Y135" si="40">Y103+$Z$104</f>
        <v>0.38055555555556098</v>
      </c>
      <c r="Z104" s="187">
        <v>6.9444444444444397E-3</v>
      </c>
      <c r="AB104" s="68" t="s">
        <v>179</v>
      </c>
      <c r="AC104" s="69">
        <v>100</v>
      </c>
      <c r="AD104" s="52">
        <f t="shared" si="39"/>
        <v>0.39444444444444998</v>
      </c>
      <c r="AE104" s="71">
        <f t="shared" ref="AE104:AE135" si="41">AE103+$AF$104</f>
        <v>0.38055555555556098</v>
      </c>
      <c r="AF104" s="187">
        <v>6.9444444444444397E-3</v>
      </c>
    </row>
    <row r="105" spans="1:32" ht="15" customHeight="1" thickBot="1" x14ac:dyDescent="0.3">
      <c r="A105" s="30"/>
      <c r="B105" s="30"/>
      <c r="C105" s="244"/>
      <c r="F105" s="18"/>
      <c r="K105" s="4">
        <v>1530</v>
      </c>
      <c r="L105" s="15">
        <f t="shared" ref="L105:L136" si="42">$L$6+(((K105-$K$6)/10)*$M$2)</f>
        <v>0.55208333333333304</v>
      </c>
      <c r="P105" s="91"/>
      <c r="Q105" s="69">
        <v>102</v>
      </c>
      <c r="R105" s="70">
        <f t="shared" si="37"/>
        <v>0.327430555555555</v>
      </c>
      <c r="S105" s="392">
        <f t="shared" ref="S105:S136" si="43">S104+$T$64</f>
        <v>0.29965277777777699</v>
      </c>
      <c r="T105" s="640"/>
      <c r="V105" s="68"/>
      <c r="W105" s="69">
        <v>101</v>
      </c>
      <c r="X105" s="52">
        <f t="shared" si="38"/>
        <v>0.40138888888889401</v>
      </c>
      <c r="Y105" s="71">
        <f t="shared" si="40"/>
        <v>0.38750000000000501</v>
      </c>
      <c r="Z105" s="187"/>
      <c r="AB105" s="68"/>
      <c r="AC105" s="69">
        <v>101</v>
      </c>
      <c r="AD105" s="52">
        <f t="shared" si="39"/>
        <v>0.40138888888889401</v>
      </c>
      <c r="AE105" s="71">
        <f t="shared" si="41"/>
        <v>0.38750000000000501</v>
      </c>
      <c r="AF105" s="187"/>
    </row>
    <row r="106" spans="1:32" ht="14.65" customHeight="1" x14ac:dyDescent="0.25">
      <c r="A106" s="8" t="s">
        <v>135</v>
      </c>
      <c r="B106" s="36">
        <f>H55</f>
        <v>6.9444444444444404E-4</v>
      </c>
      <c r="C106" s="244"/>
      <c r="F106" s="43"/>
      <c r="K106" s="4">
        <v>1540</v>
      </c>
      <c r="L106" s="15">
        <f t="shared" si="42"/>
        <v>0.55555555555555503</v>
      </c>
      <c r="P106" s="91"/>
      <c r="Q106" s="69">
        <v>103</v>
      </c>
      <c r="R106" s="70">
        <f t="shared" si="37"/>
        <v>0.33055555555555499</v>
      </c>
      <c r="S106" s="392">
        <f t="shared" si="43"/>
        <v>0.30277777777777698</v>
      </c>
      <c r="T106" s="640"/>
      <c r="V106" s="68"/>
      <c r="W106" s="69">
        <v>102</v>
      </c>
      <c r="X106" s="52">
        <f t="shared" si="38"/>
        <v>0.40833333333333799</v>
      </c>
      <c r="Y106" s="71">
        <f t="shared" si="40"/>
        <v>0.39444444444444898</v>
      </c>
      <c r="Z106" s="187"/>
      <c r="AB106" s="68"/>
      <c r="AC106" s="69">
        <v>102</v>
      </c>
      <c r="AD106" s="52">
        <f t="shared" si="39"/>
        <v>0.40833333333333799</v>
      </c>
      <c r="AE106" s="71">
        <f t="shared" si="41"/>
        <v>0.39444444444444898</v>
      </c>
      <c r="AF106" s="187"/>
    </row>
    <row r="107" spans="1:32" ht="15" customHeight="1" thickBot="1" x14ac:dyDescent="0.3">
      <c r="A107" s="41" t="s">
        <v>180</v>
      </c>
      <c r="B107" s="19">
        <f>B106*E4</f>
        <v>0</v>
      </c>
      <c r="C107" s="244"/>
      <c r="K107" s="4">
        <v>1550</v>
      </c>
      <c r="L107" s="15">
        <f t="shared" si="42"/>
        <v>0.55902777777777701</v>
      </c>
      <c r="P107" s="91"/>
      <c r="Q107" s="69">
        <v>104</v>
      </c>
      <c r="R107" s="70">
        <f t="shared" si="37"/>
        <v>0.33368055555555498</v>
      </c>
      <c r="S107" s="392">
        <f t="shared" si="43"/>
        <v>0.30590277777777702</v>
      </c>
      <c r="T107" s="640"/>
      <c r="V107" s="68"/>
      <c r="W107" s="69">
        <v>103</v>
      </c>
      <c r="X107" s="52">
        <f t="shared" si="38"/>
        <v>0.41527777777778202</v>
      </c>
      <c r="Y107" s="71">
        <f t="shared" si="40"/>
        <v>0.40138888888889301</v>
      </c>
      <c r="Z107" s="187"/>
      <c r="AB107" s="68"/>
      <c r="AC107" s="69">
        <v>103</v>
      </c>
      <c r="AD107" s="52">
        <f t="shared" si="39"/>
        <v>0.41527777777778202</v>
      </c>
      <c r="AE107" s="71">
        <f t="shared" si="41"/>
        <v>0.40138888888889301</v>
      </c>
      <c r="AF107" s="187"/>
    </row>
    <row r="108" spans="1:32" ht="14.65" customHeight="1" x14ac:dyDescent="0.25">
      <c r="A108" t="s">
        <v>137</v>
      </c>
      <c r="B108" s="262">
        <f>H56</f>
        <v>0</v>
      </c>
      <c r="C108" s="244"/>
      <c r="D108" s="244"/>
      <c r="E108" s="244"/>
      <c r="F108" s="43"/>
      <c r="K108" s="4">
        <v>1560</v>
      </c>
      <c r="L108" s="15">
        <f t="shared" si="42"/>
        <v>0.5625</v>
      </c>
      <c r="P108" s="91"/>
      <c r="Q108" s="69">
        <v>105</v>
      </c>
      <c r="R108" s="70">
        <f t="shared" si="37"/>
        <v>0.33680555555555503</v>
      </c>
      <c r="S108" s="392">
        <f t="shared" si="43"/>
        <v>0.30902777777777701</v>
      </c>
      <c r="T108" s="640"/>
      <c r="V108" s="68"/>
      <c r="W108" s="69">
        <v>104</v>
      </c>
      <c r="X108" s="52">
        <f t="shared" si="38"/>
        <v>0.422222222222226</v>
      </c>
      <c r="Y108" s="71">
        <f t="shared" si="40"/>
        <v>0.40833333333333699</v>
      </c>
      <c r="Z108" s="187"/>
      <c r="AB108" s="68"/>
      <c r="AC108" s="69">
        <v>104</v>
      </c>
      <c r="AD108" s="52">
        <f t="shared" si="39"/>
        <v>0.422222222222226</v>
      </c>
      <c r="AE108" s="71">
        <f t="shared" si="41"/>
        <v>0.40833333333333699</v>
      </c>
      <c r="AF108" s="187"/>
    </row>
    <row r="109" spans="1:32" ht="14.65" customHeight="1" x14ac:dyDescent="0.25">
      <c r="A109" s="30"/>
      <c r="B109" s="30"/>
      <c r="C109" s="244"/>
      <c r="E109" s="18"/>
      <c r="K109" s="4">
        <v>1570</v>
      </c>
      <c r="L109" s="15">
        <f t="shared" si="42"/>
        <v>0.56597222222222199</v>
      </c>
      <c r="P109" s="91"/>
      <c r="Q109" s="69">
        <v>106</v>
      </c>
      <c r="R109" s="70">
        <f t="shared" si="37"/>
        <v>0.33993055555555501</v>
      </c>
      <c r="S109" s="392">
        <f t="shared" si="43"/>
        <v>0.312152777777777</v>
      </c>
      <c r="T109" s="640"/>
      <c r="V109" s="68"/>
      <c r="W109" s="69">
        <v>105</v>
      </c>
      <c r="X109" s="52">
        <f t="shared" si="38"/>
        <v>0.42916666666667003</v>
      </c>
      <c r="Y109" s="71">
        <f t="shared" si="40"/>
        <v>0.41527777777778102</v>
      </c>
      <c r="Z109" s="187"/>
      <c r="AB109" s="68"/>
      <c r="AC109" s="69">
        <v>105</v>
      </c>
      <c r="AD109" s="52">
        <f t="shared" si="39"/>
        <v>0.42916666666667003</v>
      </c>
      <c r="AE109" s="71">
        <f t="shared" si="41"/>
        <v>0.41527777777778102</v>
      </c>
      <c r="AF109" s="187"/>
    </row>
    <row r="110" spans="1:32" ht="14.65" customHeight="1" x14ac:dyDescent="0.25">
      <c r="A110" s="123" t="s">
        <v>181</v>
      </c>
      <c r="B110" s="38">
        <f>H50</f>
        <v>3.4722222222222199E-3</v>
      </c>
      <c r="C110" s="380">
        <f>B112*24</f>
        <v>0</v>
      </c>
      <c r="E110" s="18"/>
      <c r="K110" s="4">
        <v>1580</v>
      </c>
      <c r="L110" s="15">
        <f t="shared" si="42"/>
        <v>0.56944444444444398</v>
      </c>
      <c r="P110" s="91"/>
      <c r="Q110" s="69">
        <v>107</v>
      </c>
      <c r="R110" s="70">
        <f t="shared" si="37"/>
        <v>0.343055555555555</v>
      </c>
      <c r="S110" s="392">
        <f t="shared" si="43"/>
        <v>0.31527777777777699</v>
      </c>
      <c r="T110" s="640"/>
      <c r="V110" s="68"/>
      <c r="W110" s="69">
        <v>106</v>
      </c>
      <c r="X110" s="52">
        <f t="shared" si="38"/>
        <v>0.436111111111114</v>
      </c>
      <c r="Y110" s="71">
        <f t="shared" si="40"/>
        <v>0.422222222222225</v>
      </c>
      <c r="Z110" s="187"/>
      <c r="AB110" s="68"/>
      <c r="AC110" s="69">
        <v>106</v>
      </c>
      <c r="AD110" s="52">
        <f t="shared" si="39"/>
        <v>0.436111111111114</v>
      </c>
      <c r="AE110" s="71">
        <f t="shared" si="41"/>
        <v>0.422222222222225</v>
      </c>
      <c r="AF110" s="187"/>
    </row>
    <row r="111" spans="1:32" ht="14.65" customHeight="1" x14ac:dyDescent="0.25">
      <c r="A111" s="4" t="s">
        <v>182</v>
      </c>
      <c r="B111" s="37" t="e">
        <f>(B110*E5)+H58</f>
        <v>#DIV/0!</v>
      </c>
      <c r="C111" s="381" t="s">
        <v>37</v>
      </c>
      <c r="E111" s="243"/>
      <c r="K111" s="4">
        <v>1590</v>
      </c>
      <c r="L111" s="15">
        <f t="shared" si="42"/>
        <v>0.57291666666666596</v>
      </c>
      <c r="P111" s="91"/>
      <c r="Q111" s="69">
        <v>108</v>
      </c>
      <c r="R111" s="70">
        <f t="shared" si="37"/>
        <v>0.34618055555555499</v>
      </c>
      <c r="S111" s="392">
        <f t="shared" si="43"/>
        <v>0.31840277777777698</v>
      </c>
      <c r="T111" s="640"/>
      <c r="V111" s="68"/>
      <c r="W111" s="69">
        <v>107</v>
      </c>
      <c r="X111" s="52">
        <f t="shared" si="38"/>
        <v>0.44305555555555798</v>
      </c>
      <c r="Y111" s="71">
        <f t="shared" si="40"/>
        <v>0.42916666666666903</v>
      </c>
      <c r="Z111" s="187"/>
      <c r="AB111" s="68"/>
      <c r="AC111" s="69">
        <v>107</v>
      </c>
      <c r="AD111" s="52">
        <f t="shared" si="39"/>
        <v>0.44305555555555798</v>
      </c>
      <c r="AE111" s="71">
        <f t="shared" si="41"/>
        <v>0.42916666666666903</v>
      </c>
      <c r="AF111" s="187"/>
    </row>
    <row r="112" spans="1:32" ht="14.65" customHeight="1" x14ac:dyDescent="0.25">
      <c r="A112" s="4" t="s">
        <v>183</v>
      </c>
      <c r="B112" s="28">
        <f>IF(E15&gt;0,B111,0)</f>
        <v>0</v>
      </c>
      <c r="C112" s="382">
        <f>C110/7</f>
        <v>0</v>
      </c>
      <c r="E112" s="18"/>
      <c r="K112" s="4">
        <v>1600</v>
      </c>
      <c r="L112" s="15">
        <f t="shared" si="42"/>
        <v>0.57638888888888895</v>
      </c>
      <c r="P112" s="91"/>
      <c r="Q112" s="69">
        <v>109</v>
      </c>
      <c r="R112" s="70">
        <f t="shared" si="37"/>
        <v>0.34930555555555498</v>
      </c>
      <c r="S112" s="392">
        <f t="shared" si="43"/>
        <v>0.32152777777777702</v>
      </c>
      <c r="T112" s="640"/>
      <c r="V112" s="68"/>
      <c r="W112" s="69">
        <v>108</v>
      </c>
      <c r="X112" s="52">
        <f t="shared" si="38"/>
        <v>0.45000000000000201</v>
      </c>
      <c r="Y112" s="71">
        <f t="shared" si="40"/>
        <v>0.436111111111113</v>
      </c>
      <c r="Z112" s="187"/>
      <c r="AB112" s="68"/>
      <c r="AC112" s="69">
        <v>108</v>
      </c>
      <c r="AD112" s="52">
        <f t="shared" si="39"/>
        <v>0.45000000000000201</v>
      </c>
      <c r="AE112" s="71">
        <f t="shared" si="41"/>
        <v>0.436111111111113</v>
      </c>
      <c r="AF112" s="187"/>
    </row>
    <row r="113" spans="1:32" ht="15" customHeight="1" thickBot="1" x14ac:dyDescent="0.3">
      <c r="A113" s="30"/>
      <c r="B113" s="30"/>
      <c r="C113" s="244"/>
      <c r="D113" s="46"/>
      <c r="E113" s="18"/>
      <c r="K113" s="4">
        <v>1610</v>
      </c>
      <c r="L113" s="15">
        <f t="shared" si="42"/>
        <v>0.57986111111111105</v>
      </c>
      <c r="P113" s="91"/>
      <c r="Q113" s="69">
        <v>110</v>
      </c>
      <c r="R113" s="70">
        <f t="shared" si="37"/>
        <v>0.35243055555555503</v>
      </c>
      <c r="S113" s="392">
        <f t="shared" si="43"/>
        <v>0.32465277777777701</v>
      </c>
      <c r="T113" s="640"/>
      <c r="V113" s="68"/>
      <c r="W113" s="69">
        <v>109</v>
      </c>
      <c r="X113" s="52">
        <f t="shared" si="38"/>
        <v>0.45694444444444599</v>
      </c>
      <c r="Y113" s="71">
        <f t="shared" si="40"/>
        <v>0.44305555555555698</v>
      </c>
      <c r="Z113" s="187"/>
      <c r="AB113" s="68"/>
      <c r="AC113" s="69">
        <v>109</v>
      </c>
      <c r="AD113" s="52">
        <f t="shared" si="39"/>
        <v>0.45694444444444599</v>
      </c>
      <c r="AE113" s="71">
        <f t="shared" si="41"/>
        <v>0.44305555555555698</v>
      </c>
      <c r="AF113" s="187"/>
    </row>
    <row r="114" spans="1:32" ht="15" customHeight="1" thickBot="1" x14ac:dyDescent="0.3">
      <c r="A114" s="2" t="s">
        <v>184</v>
      </c>
      <c r="B114" s="11"/>
      <c r="C114" s="244"/>
      <c r="E114" s="18"/>
      <c r="F114" s="46"/>
      <c r="K114" s="4">
        <v>1620</v>
      </c>
      <c r="L114" s="15">
        <f t="shared" si="42"/>
        <v>0.58333333333333304</v>
      </c>
      <c r="P114" s="91"/>
      <c r="Q114" s="69">
        <v>111</v>
      </c>
      <c r="R114" s="70">
        <f t="shared" si="37"/>
        <v>0.35555555555555501</v>
      </c>
      <c r="S114" s="392">
        <f t="shared" si="43"/>
        <v>0.327777777777777</v>
      </c>
      <c r="T114" s="640"/>
      <c r="V114" s="68"/>
      <c r="W114" s="69">
        <v>110</v>
      </c>
      <c r="X114" s="52">
        <f t="shared" si="38"/>
        <v>0.46388888888889002</v>
      </c>
      <c r="Y114" s="71">
        <f t="shared" si="40"/>
        <v>0.45000000000000101</v>
      </c>
      <c r="Z114" s="187"/>
      <c r="AB114" s="68"/>
      <c r="AC114" s="69">
        <v>110</v>
      </c>
      <c r="AD114" s="52">
        <f t="shared" si="39"/>
        <v>0.46388888888889002</v>
      </c>
      <c r="AE114" s="71">
        <f t="shared" si="41"/>
        <v>0.45000000000000101</v>
      </c>
      <c r="AF114" s="187"/>
    </row>
    <row r="115" spans="1:32" ht="14.65" customHeight="1" x14ac:dyDescent="0.25">
      <c r="A115" s="1" t="s">
        <v>185</v>
      </c>
      <c r="B115" s="26">
        <f>H60</f>
        <v>0</v>
      </c>
      <c r="C115" s="244"/>
      <c r="E115" s="18"/>
      <c r="K115" s="4">
        <v>1630</v>
      </c>
      <c r="L115" s="15">
        <f t="shared" si="42"/>
        <v>0.58680555555555503</v>
      </c>
      <c r="P115" s="91"/>
      <c r="Q115" s="69">
        <v>112</v>
      </c>
      <c r="R115" s="70">
        <f t="shared" si="37"/>
        <v>0.358680555555555</v>
      </c>
      <c r="S115" s="392">
        <f t="shared" si="43"/>
        <v>0.33090277777777699</v>
      </c>
      <c r="T115" s="640"/>
      <c r="V115" s="68"/>
      <c r="W115" s="69">
        <v>111</v>
      </c>
      <c r="X115" s="52">
        <f t="shared" si="38"/>
        <v>0.47083333333333399</v>
      </c>
      <c r="Y115" s="71">
        <f t="shared" si="40"/>
        <v>0.45694444444444499</v>
      </c>
      <c r="Z115" s="187"/>
      <c r="AB115" s="68"/>
      <c r="AC115" s="69">
        <v>111</v>
      </c>
      <c r="AD115" s="52">
        <f t="shared" si="39"/>
        <v>0.47083333333333399</v>
      </c>
      <c r="AE115" s="71">
        <f t="shared" si="41"/>
        <v>0.45694444444444499</v>
      </c>
      <c r="AF115" s="187"/>
    </row>
    <row r="116" spans="1:32" ht="14.65" customHeight="1" x14ac:dyDescent="0.25">
      <c r="A116" s="4" t="s">
        <v>144</v>
      </c>
      <c r="B116" s="38">
        <f>$H$61</f>
        <v>3.4722222222222202E-4</v>
      </c>
      <c r="C116" s="244"/>
      <c r="K116" s="4">
        <v>1640</v>
      </c>
      <c r="L116" s="15">
        <f t="shared" si="42"/>
        <v>0.59027777777777701</v>
      </c>
      <c r="P116" s="91"/>
      <c r="Q116" s="69">
        <v>113</v>
      </c>
      <c r="R116" s="70">
        <f t="shared" si="37"/>
        <v>0.36180555555555499</v>
      </c>
      <c r="S116" s="392">
        <f t="shared" si="43"/>
        <v>0.33402777777777698</v>
      </c>
      <c r="T116" s="640"/>
      <c r="V116" s="68"/>
      <c r="W116" s="69">
        <v>112</v>
      </c>
      <c r="X116" s="52">
        <f t="shared" si="38"/>
        <v>0.47777777777777802</v>
      </c>
      <c r="Y116" s="71">
        <f t="shared" si="40"/>
        <v>0.46388888888888902</v>
      </c>
      <c r="Z116" s="187"/>
      <c r="AB116" s="68"/>
      <c r="AC116" s="69">
        <v>112</v>
      </c>
      <c r="AD116" s="52">
        <f t="shared" si="39"/>
        <v>0.47777777777777802</v>
      </c>
      <c r="AE116" s="71">
        <f t="shared" si="41"/>
        <v>0.46388888888888902</v>
      </c>
      <c r="AF116" s="187"/>
    </row>
    <row r="117" spans="1:32" ht="14.65" customHeight="1" x14ac:dyDescent="0.25">
      <c r="A117" s="4" t="s">
        <v>186</v>
      </c>
      <c r="B117" s="15">
        <f>B115*B116</f>
        <v>0</v>
      </c>
      <c r="C117" s="244"/>
      <c r="K117" s="4">
        <v>1650</v>
      </c>
      <c r="L117" s="15">
        <f t="shared" si="42"/>
        <v>0.59375</v>
      </c>
      <c r="P117" s="91"/>
      <c r="Q117" s="69">
        <v>114</v>
      </c>
      <c r="R117" s="70">
        <f t="shared" si="37"/>
        <v>0.36493055555555498</v>
      </c>
      <c r="S117" s="392">
        <f t="shared" si="43"/>
        <v>0.33715277777777702</v>
      </c>
      <c r="T117" s="640"/>
      <c r="V117" s="68"/>
      <c r="W117" s="69">
        <v>113</v>
      </c>
      <c r="X117" s="52">
        <f t="shared" si="38"/>
        <v>0.484722222222222</v>
      </c>
      <c r="Y117" s="71">
        <f t="shared" si="40"/>
        <v>0.47083333333333299</v>
      </c>
      <c r="Z117" s="187"/>
      <c r="AB117" s="68"/>
      <c r="AC117" s="69">
        <v>113</v>
      </c>
      <c r="AD117" s="52">
        <f t="shared" si="39"/>
        <v>0.484722222222222</v>
      </c>
      <c r="AE117" s="71">
        <f t="shared" si="41"/>
        <v>0.47083333333333299</v>
      </c>
      <c r="AF117" s="187"/>
    </row>
    <row r="118" spans="1:32" ht="14.65" customHeight="1" x14ac:dyDescent="0.25">
      <c r="A118" s="4" t="s">
        <v>145</v>
      </c>
      <c r="B118" s="38">
        <f>$H$62</f>
        <v>8.1018518518518503E-5</v>
      </c>
      <c r="C118" s="244"/>
      <c r="D118" s="247"/>
      <c r="E118" s="18"/>
      <c r="F118" s="18"/>
      <c r="K118" s="4">
        <v>1660</v>
      </c>
      <c r="L118" s="15">
        <f t="shared" si="42"/>
        <v>0.59722222222222199</v>
      </c>
      <c r="P118" s="91"/>
      <c r="Q118" s="69">
        <v>115</v>
      </c>
      <c r="R118" s="70">
        <f t="shared" si="37"/>
        <v>0.36805555555555503</v>
      </c>
      <c r="S118" s="392">
        <f t="shared" si="43"/>
        <v>0.34027777777777701</v>
      </c>
      <c r="T118" s="640"/>
      <c r="V118" s="68"/>
      <c r="W118" s="69">
        <v>114</v>
      </c>
      <c r="X118" s="52">
        <f t="shared" si="38"/>
        <v>0.49166666666666597</v>
      </c>
      <c r="Y118" s="71">
        <f t="shared" si="40"/>
        <v>0.47777777777777702</v>
      </c>
      <c r="Z118" s="187"/>
      <c r="AB118" s="68"/>
      <c r="AC118" s="69">
        <v>114</v>
      </c>
      <c r="AD118" s="52">
        <f t="shared" si="39"/>
        <v>0.49166666666666597</v>
      </c>
      <c r="AE118" s="71">
        <f t="shared" si="41"/>
        <v>0.47777777777777702</v>
      </c>
      <c r="AF118" s="187"/>
    </row>
    <row r="119" spans="1:32" ht="14.65" customHeight="1" x14ac:dyDescent="0.25">
      <c r="A119" s="4" t="s">
        <v>187</v>
      </c>
      <c r="B119" s="29">
        <f>B115</f>
        <v>0</v>
      </c>
      <c r="C119" s="380">
        <f>B121*24</f>
        <v>0</v>
      </c>
      <c r="D119" s="247"/>
      <c r="E119" s="18"/>
      <c r="F119" s="18"/>
      <c r="K119" s="4">
        <v>1670</v>
      </c>
      <c r="L119" s="15">
        <f t="shared" si="42"/>
        <v>0.60069444444444398</v>
      </c>
      <c r="P119" s="91"/>
      <c r="Q119" s="69">
        <v>116</v>
      </c>
      <c r="R119" s="70">
        <f t="shared" si="37"/>
        <v>0.37118055555555501</v>
      </c>
      <c r="S119" s="392">
        <f t="shared" si="43"/>
        <v>0.343402777777777</v>
      </c>
      <c r="T119" s="640"/>
      <c r="V119" s="68"/>
      <c r="W119" s="69">
        <v>115</v>
      </c>
      <c r="X119" s="52">
        <f t="shared" si="38"/>
        <v>0.49861111111111001</v>
      </c>
      <c r="Y119" s="71">
        <f t="shared" si="40"/>
        <v>0.484722222222221</v>
      </c>
      <c r="Z119" s="187"/>
      <c r="AB119" s="68"/>
      <c r="AC119" s="69">
        <v>115</v>
      </c>
      <c r="AD119" s="52">
        <f t="shared" si="39"/>
        <v>0.49861111111111001</v>
      </c>
      <c r="AE119" s="71">
        <f t="shared" si="41"/>
        <v>0.484722222222221</v>
      </c>
      <c r="AF119" s="187"/>
    </row>
    <row r="120" spans="1:32" ht="14.65" customHeight="1" x14ac:dyDescent="0.25">
      <c r="A120" s="4" t="s">
        <v>188</v>
      </c>
      <c r="B120" s="15">
        <f>B118*B119</f>
        <v>0</v>
      </c>
      <c r="C120" s="381" t="s">
        <v>37</v>
      </c>
      <c r="E120" s="18"/>
      <c r="F120" s="18"/>
      <c r="K120" s="4">
        <v>1680</v>
      </c>
      <c r="L120" s="15">
        <f t="shared" si="42"/>
        <v>0.60416666666666596</v>
      </c>
      <c r="P120" s="91"/>
      <c r="Q120" s="69">
        <v>117</v>
      </c>
      <c r="R120" s="70">
        <f t="shared" si="37"/>
        <v>0.374305555555555</v>
      </c>
      <c r="S120" s="392">
        <f t="shared" si="43"/>
        <v>0.34652777777777699</v>
      </c>
      <c r="T120" s="640"/>
      <c r="V120" s="68"/>
      <c r="W120" s="69">
        <v>116</v>
      </c>
      <c r="X120" s="52">
        <f t="shared" si="38"/>
        <v>0.50555555555555398</v>
      </c>
      <c r="Y120" s="71">
        <f t="shared" si="40"/>
        <v>0.49166666666666498</v>
      </c>
      <c r="Z120" s="187"/>
      <c r="AB120" s="68"/>
      <c r="AC120" s="69">
        <v>116</v>
      </c>
      <c r="AD120" s="52">
        <f t="shared" si="39"/>
        <v>0.50555555555555398</v>
      </c>
      <c r="AE120" s="71">
        <f t="shared" si="41"/>
        <v>0.49166666666666498</v>
      </c>
      <c r="AF120" s="187"/>
    </row>
    <row r="121" spans="1:32" ht="14.65" customHeight="1" x14ac:dyDescent="0.25">
      <c r="A121" s="4" t="s">
        <v>189</v>
      </c>
      <c r="B121" s="28">
        <f>(B117*E4)+(B120*E4)</f>
        <v>0</v>
      </c>
      <c r="C121" s="382">
        <f>C119/7</f>
        <v>0</v>
      </c>
      <c r="E121" s="18"/>
      <c r="F121" s="18"/>
      <c r="K121" s="4">
        <v>1690</v>
      </c>
      <c r="L121" s="15">
        <f t="shared" si="42"/>
        <v>0.60763888888888895</v>
      </c>
      <c r="P121" s="91"/>
      <c r="Q121" s="69">
        <v>118</v>
      </c>
      <c r="R121" s="70">
        <f t="shared" si="37"/>
        <v>0.37743055555555499</v>
      </c>
      <c r="S121" s="392">
        <f t="shared" si="43"/>
        <v>0.34965277777777698</v>
      </c>
      <c r="T121" s="640"/>
      <c r="V121" s="68"/>
      <c r="W121" s="69">
        <v>117</v>
      </c>
      <c r="X121" s="52">
        <f t="shared" si="38"/>
        <v>0.51249999999999796</v>
      </c>
      <c r="Y121" s="71">
        <f t="shared" si="40"/>
        <v>0.49861111111110901</v>
      </c>
      <c r="Z121" s="187"/>
      <c r="AB121" s="68"/>
      <c r="AC121" s="69">
        <v>117</v>
      </c>
      <c r="AD121" s="52">
        <f t="shared" si="39"/>
        <v>0.51249999999999796</v>
      </c>
      <c r="AE121" s="71">
        <f t="shared" si="41"/>
        <v>0.49861111111110901</v>
      </c>
      <c r="AF121" s="187"/>
    </row>
    <row r="122" spans="1:32" ht="15" customHeight="1" thickBot="1" x14ac:dyDescent="0.3">
      <c r="A122" s="30"/>
      <c r="B122" s="30"/>
      <c r="C122" s="244"/>
      <c r="E122" s="18"/>
      <c r="F122" s="245"/>
      <c r="K122" s="4">
        <v>1700</v>
      </c>
      <c r="L122" s="15">
        <f t="shared" si="42"/>
        <v>0.61111111111111105</v>
      </c>
      <c r="P122" s="91"/>
      <c r="Q122" s="69">
        <v>119</v>
      </c>
      <c r="R122" s="70">
        <f t="shared" si="37"/>
        <v>0.38055555555555498</v>
      </c>
      <c r="S122" s="392">
        <f t="shared" si="43"/>
        <v>0.35277777777777702</v>
      </c>
      <c r="T122" s="640"/>
      <c r="V122" s="68"/>
      <c r="W122" s="69">
        <v>118</v>
      </c>
      <c r="X122" s="52">
        <f t="shared" si="38"/>
        <v>0.51944444444444204</v>
      </c>
      <c r="Y122" s="71">
        <f t="shared" si="40"/>
        <v>0.50555555555555298</v>
      </c>
      <c r="Z122" s="187"/>
      <c r="AB122" s="68"/>
      <c r="AC122" s="69">
        <v>118</v>
      </c>
      <c r="AD122" s="52">
        <f t="shared" si="39"/>
        <v>0.51944444444444204</v>
      </c>
      <c r="AE122" s="71">
        <f t="shared" si="41"/>
        <v>0.50555555555555298</v>
      </c>
      <c r="AF122" s="187"/>
    </row>
    <row r="123" spans="1:32" ht="15" customHeight="1" thickBot="1" x14ac:dyDescent="0.3">
      <c r="A123" s="27" t="s">
        <v>190</v>
      </c>
      <c r="B123" s="25"/>
      <c r="C123" s="244"/>
      <c r="E123" s="18"/>
      <c r="F123" s="18"/>
      <c r="K123" s="4">
        <v>1710</v>
      </c>
      <c r="L123" s="15">
        <f t="shared" si="42"/>
        <v>0.61458333333333304</v>
      </c>
      <c r="P123" s="91"/>
      <c r="Q123" s="69">
        <v>120</v>
      </c>
      <c r="R123" s="70">
        <f t="shared" si="37"/>
        <v>0.38368055555555503</v>
      </c>
      <c r="S123" s="392">
        <f t="shared" si="43"/>
        <v>0.35590277777777701</v>
      </c>
      <c r="T123" s="640"/>
      <c r="V123" s="68"/>
      <c r="W123" s="69">
        <v>119</v>
      </c>
      <c r="X123" s="52">
        <f t="shared" si="38"/>
        <v>0.52638888888888602</v>
      </c>
      <c r="Y123" s="71">
        <f t="shared" si="40"/>
        <v>0.51249999999999696</v>
      </c>
      <c r="Z123" s="187"/>
      <c r="AB123" s="68"/>
      <c r="AC123" s="69">
        <v>119</v>
      </c>
      <c r="AD123" s="52">
        <f t="shared" si="39"/>
        <v>0.52638888888888602</v>
      </c>
      <c r="AE123" s="71">
        <f t="shared" si="41"/>
        <v>0.51249999999999696</v>
      </c>
      <c r="AF123" s="187"/>
    </row>
    <row r="124" spans="1:32" ht="14.65" customHeight="1" x14ac:dyDescent="0.25">
      <c r="A124" s="23" t="s">
        <v>146</v>
      </c>
      <c r="B124" s="39">
        <f>H63</f>
        <v>0</v>
      </c>
      <c r="C124" s="380" t="e">
        <f>B126*24</f>
        <v>#DIV/0!</v>
      </c>
      <c r="E124" s="18"/>
      <c r="F124" s="18"/>
      <c r="K124" s="4">
        <v>1720</v>
      </c>
      <c r="L124" s="15">
        <f t="shared" si="42"/>
        <v>0.61805555555555503</v>
      </c>
      <c r="P124" s="91"/>
      <c r="Q124" s="69">
        <v>121</v>
      </c>
      <c r="R124" s="70">
        <f t="shared" si="37"/>
        <v>0.38680555555555501</v>
      </c>
      <c r="S124" s="392">
        <f t="shared" si="43"/>
        <v>0.359027777777777</v>
      </c>
      <c r="T124" s="640"/>
      <c r="V124" s="68"/>
      <c r="W124" s="69">
        <v>120</v>
      </c>
      <c r="X124" s="52">
        <f t="shared" si="38"/>
        <v>0.53333333333333</v>
      </c>
      <c r="Y124" s="71">
        <f t="shared" si="40"/>
        <v>0.51944444444444104</v>
      </c>
      <c r="Z124" s="187"/>
      <c r="AB124" s="68"/>
      <c r="AC124" s="69">
        <v>120</v>
      </c>
      <c r="AD124" s="52">
        <f t="shared" si="39"/>
        <v>0.53333333333333</v>
      </c>
      <c r="AE124" s="71">
        <f t="shared" si="41"/>
        <v>0.51944444444444104</v>
      </c>
      <c r="AF124" s="187"/>
    </row>
    <row r="125" spans="1:32" ht="14.65" customHeight="1" x14ac:dyDescent="0.25">
      <c r="A125" s="4" t="s">
        <v>191</v>
      </c>
      <c r="B125" s="37"/>
      <c r="C125" s="381" t="s">
        <v>37</v>
      </c>
      <c r="E125" s="246"/>
      <c r="K125" s="4">
        <v>1730</v>
      </c>
      <c r="L125" s="15">
        <f t="shared" si="42"/>
        <v>0.62152777777777701</v>
      </c>
      <c r="P125" s="91"/>
      <c r="Q125" s="69">
        <v>122</v>
      </c>
      <c r="R125" s="70">
        <f t="shared" si="37"/>
        <v>0.389930555555555</v>
      </c>
      <c r="S125" s="392">
        <f t="shared" si="43"/>
        <v>0.36215277777777699</v>
      </c>
      <c r="T125" s="640"/>
      <c r="V125" s="68"/>
      <c r="W125" s="69">
        <v>121</v>
      </c>
      <c r="X125" s="52">
        <f t="shared" si="38"/>
        <v>0.54027777777777397</v>
      </c>
      <c r="Y125" s="71">
        <f t="shared" si="40"/>
        <v>0.52638888888888502</v>
      </c>
      <c r="Z125" s="187"/>
      <c r="AB125" s="68"/>
      <c r="AC125" s="69">
        <v>121</v>
      </c>
      <c r="AD125" s="52">
        <f t="shared" si="39"/>
        <v>0.54027777777777397</v>
      </c>
      <c r="AE125" s="71">
        <f t="shared" si="41"/>
        <v>0.52638888888888502</v>
      </c>
      <c r="AF125" s="187"/>
    </row>
    <row r="126" spans="1:32" ht="14.65" customHeight="1" x14ac:dyDescent="0.25">
      <c r="A126" s="4" t="s">
        <v>192</v>
      </c>
      <c r="B126" s="28" t="e">
        <f>(B124*E5)+B125</f>
        <v>#DIV/0!</v>
      </c>
      <c r="C126" s="382" t="e">
        <f>C124/7</f>
        <v>#DIV/0!</v>
      </c>
      <c r="E126" s="18"/>
      <c r="K126" s="4">
        <v>1740</v>
      </c>
      <c r="L126" s="15">
        <f t="shared" si="42"/>
        <v>0.625</v>
      </c>
      <c r="P126" s="91"/>
      <c r="Q126" s="69">
        <v>123</v>
      </c>
      <c r="R126" s="70">
        <f t="shared" si="37"/>
        <v>0.39305555555555499</v>
      </c>
      <c r="S126" s="392">
        <f t="shared" si="43"/>
        <v>0.36527777777777698</v>
      </c>
      <c r="T126" s="640"/>
      <c r="V126" s="68"/>
      <c r="W126" s="69">
        <v>122</v>
      </c>
      <c r="X126" s="52">
        <f t="shared" si="38"/>
        <v>0.54722222222221795</v>
      </c>
      <c r="Y126" s="71">
        <f t="shared" si="40"/>
        <v>0.533333333333329</v>
      </c>
      <c r="Z126" s="187"/>
      <c r="AB126" s="68"/>
      <c r="AC126" s="69">
        <v>122</v>
      </c>
      <c r="AD126" s="52">
        <f t="shared" si="39"/>
        <v>0.54722222222221795</v>
      </c>
      <c r="AE126" s="71">
        <f t="shared" si="41"/>
        <v>0.533333333333329</v>
      </c>
      <c r="AF126" s="187"/>
    </row>
    <row r="127" spans="1:32" ht="15" customHeight="1" thickBot="1" x14ac:dyDescent="0.3">
      <c r="A127" s="30"/>
      <c r="B127" s="30"/>
      <c r="C127" s="244"/>
      <c r="K127" s="4">
        <v>1750</v>
      </c>
      <c r="L127" s="15">
        <f t="shared" si="42"/>
        <v>0.62847222222222199</v>
      </c>
      <c r="P127" s="91"/>
      <c r="Q127" s="69">
        <v>124</v>
      </c>
      <c r="R127" s="70">
        <f t="shared" si="37"/>
        <v>0.39618055555555498</v>
      </c>
      <c r="S127" s="392">
        <f t="shared" si="43"/>
        <v>0.36840277777777702</v>
      </c>
      <c r="T127" s="640"/>
      <c r="V127" s="68"/>
      <c r="W127" s="69">
        <v>123</v>
      </c>
      <c r="X127" s="52">
        <f t="shared" si="38"/>
        <v>0.55416666666666203</v>
      </c>
      <c r="Y127" s="71">
        <f t="shared" si="40"/>
        <v>0.54027777777777297</v>
      </c>
      <c r="Z127" s="187"/>
      <c r="AB127" s="68"/>
      <c r="AC127" s="69">
        <v>123</v>
      </c>
      <c r="AD127" s="52">
        <f t="shared" si="39"/>
        <v>0.55416666666666203</v>
      </c>
      <c r="AE127" s="71">
        <f t="shared" si="41"/>
        <v>0.54027777777777297</v>
      </c>
      <c r="AF127" s="187"/>
    </row>
    <row r="128" spans="1:32" ht="15" customHeight="1" thickBot="1" x14ac:dyDescent="0.3">
      <c r="A128" s="27" t="s">
        <v>127</v>
      </c>
      <c r="B128" s="25"/>
      <c r="C128" s="380">
        <f>B130*24</f>
        <v>0.33</v>
      </c>
      <c r="D128" s="42"/>
      <c r="E128" s="18"/>
      <c r="K128" s="4">
        <v>1760</v>
      </c>
      <c r="L128" s="15">
        <f t="shared" si="42"/>
        <v>0.63194444444444398</v>
      </c>
      <c r="P128" s="91"/>
      <c r="Q128" s="69">
        <v>125</v>
      </c>
      <c r="R128" s="70">
        <f t="shared" si="37"/>
        <v>0.39930555555555503</v>
      </c>
      <c r="S128" s="392">
        <f t="shared" si="43"/>
        <v>0.37152777777777701</v>
      </c>
      <c r="T128" s="640"/>
      <c r="V128" s="68"/>
      <c r="W128" s="69">
        <v>124</v>
      </c>
      <c r="X128" s="52">
        <f t="shared" si="38"/>
        <v>0.56111111111110601</v>
      </c>
      <c r="Y128" s="71">
        <f t="shared" si="40"/>
        <v>0.54722222222221695</v>
      </c>
      <c r="Z128" s="187"/>
      <c r="AB128" s="68"/>
      <c r="AC128" s="69">
        <v>124</v>
      </c>
      <c r="AD128" s="52">
        <f t="shared" si="39"/>
        <v>0.56111111111110601</v>
      </c>
      <c r="AE128" s="71">
        <f t="shared" si="41"/>
        <v>0.54722222222221695</v>
      </c>
      <c r="AF128" s="187"/>
    </row>
    <row r="129" spans="1:32" ht="14.65" customHeight="1" x14ac:dyDescent="0.25">
      <c r="A129" s="23" t="s">
        <v>129</v>
      </c>
      <c r="B129" s="39">
        <f>H52</f>
        <v>4.6296296296296298E-4</v>
      </c>
      <c r="C129" s="381" t="s">
        <v>37</v>
      </c>
      <c r="D129" s="42"/>
      <c r="E129" s="18"/>
      <c r="K129" s="4">
        <v>1770</v>
      </c>
      <c r="L129" s="15">
        <f t="shared" si="42"/>
        <v>0.63541666666666596</v>
      </c>
      <c r="P129" s="91"/>
      <c r="Q129" s="69">
        <v>126</v>
      </c>
      <c r="R129" s="70">
        <f t="shared" si="37"/>
        <v>0.40243055555555501</v>
      </c>
      <c r="S129" s="392">
        <f t="shared" si="43"/>
        <v>0.374652777777777</v>
      </c>
      <c r="T129" s="640"/>
      <c r="V129" s="68"/>
      <c r="W129" s="69">
        <v>125</v>
      </c>
      <c r="X129" s="52">
        <f t="shared" si="38"/>
        <v>0.56805555555554998</v>
      </c>
      <c r="Y129" s="71">
        <f t="shared" si="40"/>
        <v>0.55416666666666103</v>
      </c>
      <c r="Z129" s="187"/>
      <c r="AB129" s="68"/>
      <c r="AC129" s="69">
        <v>125</v>
      </c>
      <c r="AD129" s="52">
        <f t="shared" si="39"/>
        <v>0.56805555555554998</v>
      </c>
      <c r="AE129" s="71">
        <f t="shared" si="41"/>
        <v>0.55416666666666103</v>
      </c>
      <c r="AF129" s="187"/>
    </row>
    <row r="130" spans="1:32" ht="15" customHeight="1" thickBot="1" x14ac:dyDescent="0.3">
      <c r="A130" s="24" t="s">
        <v>193</v>
      </c>
      <c r="B130" s="19">
        <f>(B129*E4)+H58</f>
        <v>1.38888888888889E-2</v>
      </c>
      <c r="C130" s="382">
        <f>C128/7</f>
        <v>0.05</v>
      </c>
      <c r="K130" s="4">
        <v>1780</v>
      </c>
      <c r="L130" s="15">
        <f t="shared" si="42"/>
        <v>0.63888888888888895</v>
      </c>
      <c r="P130" s="91"/>
      <c r="Q130" s="69">
        <v>127</v>
      </c>
      <c r="R130" s="70">
        <f t="shared" si="37"/>
        <v>0.405555555555555</v>
      </c>
      <c r="S130" s="392">
        <f t="shared" si="43"/>
        <v>0.37777777777777699</v>
      </c>
      <c r="T130" s="640"/>
      <c r="V130" s="68"/>
      <c r="W130" s="69">
        <v>126</v>
      </c>
      <c r="X130" s="52">
        <f t="shared" si="38"/>
        <v>0.57499999999999396</v>
      </c>
      <c r="Y130" s="71">
        <f t="shared" si="40"/>
        <v>0.56111111111110501</v>
      </c>
      <c r="Z130" s="187"/>
      <c r="AB130" s="68"/>
      <c r="AC130" s="69">
        <v>126</v>
      </c>
      <c r="AD130" s="52">
        <f t="shared" si="39"/>
        <v>0.57499999999999396</v>
      </c>
      <c r="AE130" s="71">
        <f t="shared" si="41"/>
        <v>0.56111111111110501</v>
      </c>
      <c r="AF130" s="187"/>
    </row>
    <row r="131" spans="1:32" ht="14.65" customHeight="1" x14ac:dyDescent="0.25">
      <c r="A131" s="310" t="s">
        <v>194</v>
      </c>
      <c r="B131" s="315">
        <f>INDEX(J3:J16,MATCH(E6,I3:I16,1))</f>
        <v>0</v>
      </c>
      <c r="C131" s="390" t="s">
        <v>195</v>
      </c>
      <c r="K131" s="4">
        <v>1790</v>
      </c>
      <c r="L131" s="15">
        <f t="shared" si="42"/>
        <v>0.64236111111111105</v>
      </c>
      <c r="P131" s="91"/>
      <c r="Q131" s="69">
        <v>128</v>
      </c>
      <c r="R131" s="70">
        <f t="shared" si="37"/>
        <v>0.40868055555555499</v>
      </c>
      <c r="S131" s="392">
        <f t="shared" si="43"/>
        <v>0.38090277777777698</v>
      </c>
      <c r="T131" s="640"/>
      <c r="V131" s="68"/>
      <c r="W131" s="69">
        <v>127</v>
      </c>
      <c r="X131" s="52">
        <f t="shared" si="38"/>
        <v>0.58194444444443805</v>
      </c>
      <c r="Y131" s="71">
        <f t="shared" si="40"/>
        <v>0.56805555555554899</v>
      </c>
      <c r="Z131" s="187"/>
      <c r="AB131" s="68"/>
      <c r="AC131" s="69">
        <v>127</v>
      </c>
      <c r="AD131" s="52">
        <f t="shared" si="39"/>
        <v>0.58194444444443805</v>
      </c>
      <c r="AE131" s="71">
        <f t="shared" si="41"/>
        <v>0.56805555555554899</v>
      </c>
      <c r="AF131" s="187"/>
    </row>
    <row r="132" spans="1:32" ht="14.65" customHeight="1" x14ac:dyDescent="0.25">
      <c r="A132" s="23" t="s">
        <v>139</v>
      </c>
      <c r="B132" s="316">
        <f>H57</f>
        <v>1.38888888888889E-2</v>
      </c>
      <c r="C132" s="244"/>
      <c r="K132" s="4">
        <v>1800</v>
      </c>
      <c r="L132" s="15">
        <f t="shared" si="42"/>
        <v>0.64583333333333304</v>
      </c>
      <c r="P132" s="91"/>
      <c r="Q132" s="69">
        <v>129</v>
      </c>
      <c r="R132" s="70">
        <f t="shared" si="37"/>
        <v>0.41180555555555498</v>
      </c>
      <c r="S132" s="392">
        <f t="shared" si="43"/>
        <v>0.38402777777777702</v>
      </c>
      <c r="T132" s="640"/>
      <c r="V132" s="68"/>
      <c r="W132" s="69">
        <v>128</v>
      </c>
      <c r="X132" s="52">
        <f t="shared" si="38"/>
        <v>0.58888888888888202</v>
      </c>
      <c r="Y132" s="71">
        <f t="shared" si="40"/>
        <v>0.57499999999999296</v>
      </c>
      <c r="Z132" s="187"/>
      <c r="AB132" s="68"/>
      <c r="AC132" s="69">
        <v>128</v>
      </c>
      <c r="AD132" s="52">
        <f t="shared" si="39"/>
        <v>0.58888888888888202</v>
      </c>
      <c r="AE132" s="71">
        <f t="shared" si="41"/>
        <v>0.57499999999999296</v>
      </c>
      <c r="AF132" s="187"/>
    </row>
    <row r="133" spans="1:32" ht="14.65" customHeight="1" x14ac:dyDescent="0.25">
      <c r="A133" s="311" t="s">
        <v>196</v>
      </c>
      <c r="B133" s="317" t="e">
        <f>(B131*E5)+B132</f>
        <v>#DIV/0!</v>
      </c>
      <c r="C133" s="244"/>
      <c r="K133" s="4">
        <v>1810</v>
      </c>
      <c r="L133" s="15">
        <f t="shared" si="42"/>
        <v>0.64930555555555503</v>
      </c>
      <c r="P133" s="91"/>
      <c r="Q133" s="69">
        <v>130</v>
      </c>
      <c r="R133" s="70">
        <f t="shared" ref="R133:R164" si="44">$R$4+S133</f>
        <v>0.41493055555555503</v>
      </c>
      <c r="S133" s="392">
        <f t="shared" si="43"/>
        <v>0.38715277777777701</v>
      </c>
      <c r="T133" s="640"/>
      <c r="V133" s="68"/>
      <c r="W133" s="69">
        <v>129</v>
      </c>
      <c r="X133" s="52">
        <f t="shared" si="38"/>
        <v>0.595833333333326</v>
      </c>
      <c r="Y133" s="71">
        <f t="shared" si="40"/>
        <v>0.58194444444443705</v>
      </c>
      <c r="Z133" s="187"/>
      <c r="AB133" s="68"/>
      <c r="AC133" s="69">
        <v>129</v>
      </c>
      <c r="AD133" s="52">
        <f t="shared" si="39"/>
        <v>0.595833333333326</v>
      </c>
      <c r="AE133" s="71">
        <f t="shared" si="41"/>
        <v>0.58194444444443705</v>
      </c>
      <c r="AF133" s="187"/>
    </row>
    <row r="134" spans="1:32" ht="14.65" customHeight="1" x14ac:dyDescent="0.25">
      <c r="A134" s="312" t="s">
        <v>126</v>
      </c>
      <c r="B134" s="318">
        <f>(E7*0.5)</f>
        <v>0</v>
      </c>
      <c r="C134" s="244"/>
      <c r="K134" s="4">
        <v>1820</v>
      </c>
      <c r="L134" s="15">
        <f t="shared" si="42"/>
        <v>0.65277777777777701</v>
      </c>
      <c r="P134" s="91"/>
      <c r="Q134" s="69">
        <v>131</v>
      </c>
      <c r="R134" s="70">
        <f t="shared" si="44"/>
        <v>0.41805555555555501</v>
      </c>
      <c r="S134" s="392">
        <f t="shared" si="43"/>
        <v>0.390277777777777</v>
      </c>
      <c r="T134" s="640"/>
      <c r="V134" s="68"/>
      <c r="W134" s="69">
        <v>130</v>
      </c>
      <c r="X134" s="52">
        <f t="shared" ref="X134:X154" si="45">$X$5+Y134</f>
        <v>0.60277777777776997</v>
      </c>
      <c r="Y134" s="71">
        <f t="shared" si="40"/>
        <v>0.58888888888888102</v>
      </c>
      <c r="Z134" s="187"/>
      <c r="AB134" s="68"/>
      <c r="AC134" s="69">
        <v>130</v>
      </c>
      <c r="AD134" s="52">
        <f t="shared" ref="AD134:AD154" si="46">$AD$5+AE134</f>
        <v>0.60277777777776997</v>
      </c>
      <c r="AE134" s="71">
        <f t="shared" si="41"/>
        <v>0.58888888888888102</v>
      </c>
      <c r="AF134" s="187"/>
    </row>
    <row r="135" spans="1:32" ht="14.65" customHeight="1" x14ac:dyDescent="0.25">
      <c r="A135" s="311" t="s">
        <v>197</v>
      </c>
      <c r="B135" s="317">
        <f>B131*B134</f>
        <v>0</v>
      </c>
      <c r="C135" s="244"/>
      <c r="K135" s="4">
        <v>1830</v>
      </c>
      <c r="L135" s="15">
        <f t="shared" si="42"/>
        <v>0.65625</v>
      </c>
      <c r="P135" s="91"/>
      <c r="Q135" s="69">
        <v>132</v>
      </c>
      <c r="R135" s="70">
        <f t="shared" si="44"/>
        <v>0.421180555555555</v>
      </c>
      <c r="S135" s="392">
        <f t="shared" si="43"/>
        <v>0.39340277777777699</v>
      </c>
      <c r="T135" s="640"/>
      <c r="V135" s="68"/>
      <c r="W135" s="69">
        <v>131</v>
      </c>
      <c r="X135" s="52">
        <f t="shared" si="45"/>
        <v>0.60972222222221395</v>
      </c>
      <c r="Y135" s="71">
        <f t="shared" si="40"/>
        <v>0.595833333333325</v>
      </c>
      <c r="Z135" s="187"/>
      <c r="AB135" s="68"/>
      <c r="AC135" s="69">
        <v>131</v>
      </c>
      <c r="AD135" s="52">
        <f t="shared" si="46"/>
        <v>0.60972222222221395</v>
      </c>
      <c r="AE135" s="71">
        <f t="shared" si="41"/>
        <v>0.595833333333325</v>
      </c>
      <c r="AF135" s="187"/>
    </row>
    <row r="136" spans="1:32" ht="14.65" customHeight="1" x14ac:dyDescent="0.25">
      <c r="A136" s="23" t="s">
        <v>139</v>
      </c>
      <c r="B136" s="316">
        <f>H57*B134</f>
        <v>0</v>
      </c>
      <c r="C136" s="244"/>
      <c r="K136" s="4">
        <v>1840</v>
      </c>
      <c r="L136" s="15">
        <f t="shared" si="42"/>
        <v>0.65972222222222199</v>
      </c>
      <c r="P136" s="91"/>
      <c r="Q136" s="69">
        <v>133</v>
      </c>
      <c r="R136" s="70">
        <f t="shared" si="44"/>
        <v>0.42430555555555499</v>
      </c>
      <c r="S136" s="392">
        <f t="shared" si="43"/>
        <v>0.39652777777777698</v>
      </c>
      <c r="T136" s="640"/>
      <c r="V136" s="68"/>
      <c r="W136" s="69">
        <v>132</v>
      </c>
      <c r="X136" s="52">
        <f t="shared" si="45"/>
        <v>0.61666666666665804</v>
      </c>
      <c r="Y136" s="71">
        <f t="shared" ref="Y136:Y154" si="47">Y135+$Z$104</f>
        <v>0.60277777777776897</v>
      </c>
      <c r="Z136" s="187"/>
      <c r="AB136" s="68"/>
      <c r="AC136" s="69">
        <v>132</v>
      </c>
      <c r="AD136" s="52">
        <f t="shared" si="46"/>
        <v>0.61666666666665804</v>
      </c>
      <c r="AE136" s="71">
        <f t="shared" ref="AE136:AE154" si="48">AE135+$AF$104</f>
        <v>0.60277777777776897</v>
      </c>
      <c r="AF136" s="187"/>
    </row>
    <row r="137" spans="1:32" ht="14.65" customHeight="1" x14ac:dyDescent="0.25">
      <c r="A137" s="311" t="s">
        <v>198</v>
      </c>
      <c r="B137" s="317" t="e">
        <f>(B135*E5)+B136</f>
        <v>#DIV/0!</v>
      </c>
      <c r="C137" s="380" t="e">
        <f>B139*24</f>
        <v>#DIV/0!</v>
      </c>
      <c r="K137" s="4">
        <v>1850</v>
      </c>
      <c r="L137" s="15">
        <f t="shared" ref="L137:L168" si="49">$L$6+(((K137-$K$6)/10)*$M$2)</f>
        <v>0.66319444444444398</v>
      </c>
      <c r="P137" s="91"/>
      <c r="Q137" s="69">
        <v>134</v>
      </c>
      <c r="R137" s="70">
        <f t="shared" si="44"/>
        <v>0.42743055555555498</v>
      </c>
      <c r="S137" s="392">
        <f t="shared" ref="S137:S153" si="50">S136+$T$64</f>
        <v>0.39965277777777702</v>
      </c>
      <c r="T137" s="640"/>
      <c r="V137" s="68"/>
      <c r="W137" s="69">
        <v>133</v>
      </c>
      <c r="X137" s="52">
        <f t="shared" si="45"/>
        <v>0.62361111111110201</v>
      </c>
      <c r="Y137" s="71">
        <f t="shared" si="47"/>
        <v>0.60972222222221295</v>
      </c>
      <c r="Z137" s="187"/>
      <c r="AB137" s="68"/>
      <c r="AC137" s="69">
        <v>133</v>
      </c>
      <c r="AD137" s="52">
        <f t="shared" si="46"/>
        <v>0.62361111111110201</v>
      </c>
      <c r="AE137" s="71">
        <f t="shared" si="48"/>
        <v>0.60972222222221295</v>
      </c>
      <c r="AF137" s="187"/>
    </row>
    <row r="138" spans="1:32" ht="14.65" customHeight="1" x14ac:dyDescent="0.25">
      <c r="A138" s="23" t="s">
        <v>199</v>
      </c>
      <c r="B138" s="319" t="e">
        <f>(B133+B137)/E4</f>
        <v>#DIV/0!</v>
      </c>
      <c r="C138" s="381" t="s">
        <v>37</v>
      </c>
      <c r="K138" s="4">
        <v>1860</v>
      </c>
      <c r="L138" s="15">
        <f t="shared" si="49"/>
        <v>0.66666666666666596</v>
      </c>
      <c r="P138" s="91"/>
      <c r="Q138" s="69">
        <v>135</v>
      </c>
      <c r="R138" s="70">
        <f t="shared" si="44"/>
        <v>0.43055555555555503</v>
      </c>
      <c r="S138" s="392">
        <f t="shared" si="50"/>
        <v>0.40277777777777701</v>
      </c>
      <c r="T138" s="640"/>
      <c r="V138" s="68"/>
      <c r="W138" s="69">
        <v>134</v>
      </c>
      <c r="X138" s="52">
        <f t="shared" si="45"/>
        <v>0.63055555555554599</v>
      </c>
      <c r="Y138" s="71">
        <f t="shared" si="47"/>
        <v>0.61666666666665704</v>
      </c>
      <c r="Z138" s="187"/>
      <c r="AB138" s="68"/>
      <c r="AC138" s="69">
        <v>134</v>
      </c>
      <c r="AD138" s="52">
        <f t="shared" si="46"/>
        <v>0.63055555555554599</v>
      </c>
      <c r="AE138" s="71">
        <f t="shared" si="48"/>
        <v>0.61666666666665704</v>
      </c>
      <c r="AF138" s="187"/>
    </row>
    <row r="139" spans="1:32" ht="15" customHeight="1" thickBot="1" x14ac:dyDescent="0.3">
      <c r="A139" s="313" t="s">
        <v>200</v>
      </c>
      <c r="B139" s="320" t="e">
        <f>B133+B137</f>
        <v>#DIV/0!</v>
      </c>
      <c r="C139" s="382" t="e">
        <f>C137/7</f>
        <v>#DIV/0!</v>
      </c>
      <c r="K139" s="4">
        <v>1870</v>
      </c>
      <c r="L139" s="15">
        <f t="shared" si="49"/>
        <v>0.67013888888888895</v>
      </c>
      <c r="P139" s="91"/>
      <c r="Q139" s="69">
        <v>136</v>
      </c>
      <c r="R139" s="70">
        <f t="shared" si="44"/>
        <v>0.43368055555555501</v>
      </c>
      <c r="S139" s="392">
        <f t="shared" si="50"/>
        <v>0.405902777777777</v>
      </c>
      <c r="T139" s="640"/>
      <c r="V139" s="68"/>
      <c r="W139" s="69">
        <v>135</v>
      </c>
      <c r="X139" s="52">
        <f t="shared" si="45"/>
        <v>0.63749999999998996</v>
      </c>
      <c r="Y139" s="71">
        <f t="shared" si="47"/>
        <v>0.62361111111110101</v>
      </c>
      <c r="Z139" s="187"/>
      <c r="AB139" s="68"/>
      <c r="AC139" s="69">
        <v>135</v>
      </c>
      <c r="AD139" s="52">
        <f t="shared" si="46"/>
        <v>0.63749999999998996</v>
      </c>
      <c r="AE139" s="71">
        <f t="shared" si="48"/>
        <v>0.62361111111110101</v>
      </c>
      <c r="AF139" s="187"/>
    </row>
    <row r="140" spans="1:32" ht="14.65" customHeight="1" x14ac:dyDescent="0.25">
      <c r="A140" s="30"/>
      <c r="B140" s="30"/>
      <c r="C140" s="244"/>
      <c r="K140" s="4">
        <v>1880</v>
      </c>
      <c r="L140" s="15">
        <f t="shared" si="49"/>
        <v>0.67361111111111105</v>
      </c>
      <c r="P140" s="91"/>
      <c r="Q140" s="69">
        <v>137</v>
      </c>
      <c r="R140" s="70">
        <f t="shared" si="44"/>
        <v>0.436805555555555</v>
      </c>
      <c r="S140" s="392">
        <f t="shared" si="50"/>
        <v>0.40902777777777699</v>
      </c>
      <c r="T140" s="640"/>
      <c r="V140" s="68"/>
      <c r="W140" s="69">
        <v>136</v>
      </c>
      <c r="X140" s="52">
        <f t="shared" si="45"/>
        <v>0.64444444444443405</v>
      </c>
      <c r="Y140" s="71">
        <f t="shared" si="47"/>
        <v>0.63055555555554499</v>
      </c>
      <c r="Z140" s="187"/>
      <c r="AB140" s="68"/>
      <c r="AC140" s="69">
        <v>136</v>
      </c>
      <c r="AD140" s="52">
        <f t="shared" si="46"/>
        <v>0.64444444444443405</v>
      </c>
      <c r="AE140" s="71">
        <f t="shared" si="48"/>
        <v>0.63055555555554499</v>
      </c>
      <c r="AF140" s="187"/>
    </row>
    <row r="141" spans="1:32" ht="14.65" customHeight="1" x14ac:dyDescent="0.25">
      <c r="A141" s="49" t="s">
        <v>201</v>
      </c>
      <c r="B141" s="4"/>
      <c r="C141" s="380">
        <f>B143*24</f>
        <v>0</v>
      </c>
      <c r="K141" s="4">
        <v>1890</v>
      </c>
      <c r="L141" s="15">
        <f t="shared" si="49"/>
        <v>0.67708333333333304</v>
      </c>
      <c r="P141" s="91"/>
      <c r="Q141" s="69">
        <v>138</v>
      </c>
      <c r="R141" s="70">
        <f t="shared" si="44"/>
        <v>0.43993055555555499</v>
      </c>
      <c r="S141" s="392">
        <f t="shared" si="50"/>
        <v>0.41215277777777698</v>
      </c>
      <c r="T141" s="640"/>
      <c r="V141" s="68"/>
      <c r="W141" s="69">
        <v>137</v>
      </c>
      <c r="X141" s="52">
        <f t="shared" si="45"/>
        <v>0.65138888888887803</v>
      </c>
      <c r="Y141" s="71">
        <f t="shared" si="47"/>
        <v>0.63749999999998896</v>
      </c>
      <c r="Z141" s="187"/>
      <c r="AB141" s="68"/>
      <c r="AC141" s="69">
        <v>137</v>
      </c>
      <c r="AD141" s="52">
        <f t="shared" si="46"/>
        <v>0.65138888888887803</v>
      </c>
      <c r="AE141" s="71">
        <f t="shared" si="48"/>
        <v>0.63749999999998896</v>
      </c>
      <c r="AF141" s="187"/>
    </row>
    <row r="142" spans="1:32" ht="14.65" customHeight="1" x14ac:dyDescent="0.25">
      <c r="A142" s="4" t="s">
        <v>202</v>
      </c>
      <c r="B142" s="28">
        <f>((H49*E15)*E4)</f>
        <v>0</v>
      </c>
      <c r="C142" s="381" t="s">
        <v>37</v>
      </c>
      <c r="K142" s="4">
        <v>1900</v>
      </c>
      <c r="L142" s="15">
        <f t="shared" si="49"/>
        <v>0.68055555555555503</v>
      </c>
      <c r="P142" s="91"/>
      <c r="Q142" s="69">
        <v>139</v>
      </c>
      <c r="R142" s="70">
        <f t="shared" si="44"/>
        <v>0.44305555555555498</v>
      </c>
      <c r="S142" s="392">
        <f t="shared" si="50"/>
        <v>0.41527777777777702</v>
      </c>
      <c r="T142" s="640"/>
      <c r="V142" s="68"/>
      <c r="W142" s="69">
        <v>138</v>
      </c>
      <c r="X142" s="52">
        <f t="shared" si="45"/>
        <v>0.658333333333322</v>
      </c>
      <c r="Y142" s="71">
        <f t="shared" si="47"/>
        <v>0.64444444444443305</v>
      </c>
      <c r="Z142" s="187"/>
      <c r="AB142" s="68"/>
      <c r="AC142" s="69">
        <v>138</v>
      </c>
      <c r="AD142" s="52">
        <f t="shared" si="46"/>
        <v>0.658333333333322</v>
      </c>
      <c r="AE142" s="71">
        <f t="shared" si="48"/>
        <v>0.64444444444443305</v>
      </c>
      <c r="AF142" s="187"/>
    </row>
    <row r="143" spans="1:32" ht="14.65" customHeight="1" x14ac:dyDescent="0.25">
      <c r="B143" s="28">
        <f>IF(E15&gt;0,B142,0)</f>
        <v>0</v>
      </c>
      <c r="C143" s="382">
        <f>C141/7</f>
        <v>0</v>
      </c>
      <c r="K143" s="4">
        <v>1910</v>
      </c>
      <c r="L143" s="15">
        <f t="shared" si="49"/>
        <v>0.68402777777777701</v>
      </c>
      <c r="P143" s="91"/>
      <c r="Q143" s="69">
        <v>140</v>
      </c>
      <c r="R143" s="70">
        <f t="shared" si="44"/>
        <v>0.44618055555555503</v>
      </c>
      <c r="S143" s="392">
        <f t="shared" si="50"/>
        <v>0.41840277777777701</v>
      </c>
      <c r="T143" s="640"/>
      <c r="V143" s="68"/>
      <c r="W143" s="69">
        <v>139</v>
      </c>
      <c r="X143" s="52">
        <f t="shared" si="45"/>
        <v>0.66527777777776598</v>
      </c>
      <c r="Y143" s="71">
        <f t="shared" si="47"/>
        <v>0.65138888888887703</v>
      </c>
      <c r="Z143" s="187"/>
      <c r="AB143" s="68"/>
      <c r="AC143" s="69">
        <v>139</v>
      </c>
      <c r="AD143" s="52">
        <f t="shared" si="46"/>
        <v>0.66527777777776598</v>
      </c>
      <c r="AE143" s="71">
        <f t="shared" si="48"/>
        <v>0.65138888888887703</v>
      </c>
      <c r="AF143" s="187"/>
    </row>
    <row r="144" spans="1:32" ht="14.65" customHeight="1" x14ac:dyDescent="0.25">
      <c r="A144" s="30"/>
      <c r="B144" s="30"/>
      <c r="C144" s="244"/>
      <c r="K144" s="4">
        <v>1920</v>
      </c>
      <c r="L144" s="15">
        <f t="shared" si="49"/>
        <v>0.6875</v>
      </c>
      <c r="P144" s="91"/>
      <c r="Q144" s="69">
        <v>141</v>
      </c>
      <c r="R144" s="70">
        <f t="shared" si="44"/>
        <v>0.44930555555555501</v>
      </c>
      <c r="S144" s="392">
        <f t="shared" si="50"/>
        <v>0.421527777777777</v>
      </c>
      <c r="T144" s="640"/>
      <c r="V144" s="68"/>
      <c r="W144" s="69">
        <v>140</v>
      </c>
      <c r="X144" s="52">
        <f t="shared" si="45"/>
        <v>0.67222222222220995</v>
      </c>
      <c r="Y144" s="71">
        <f t="shared" si="47"/>
        <v>0.658333333333321</v>
      </c>
      <c r="Z144" s="187"/>
      <c r="AB144" s="68"/>
      <c r="AC144" s="69">
        <v>140</v>
      </c>
      <c r="AD144" s="52">
        <f t="shared" si="46"/>
        <v>0.67222222222220995</v>
      </c>
      <c r="AE144" s="71">
        <f t="shared" si="48"/>
        <v>0.658333333333321</v>
      </c>
      <c r="AF144" s="187"/>
    </row>
    <row r="145" spans="1:32" ht="15" customHeight="1" thickBot="1" x14ac:dyDescent="0.3">
      <c r="A145" s="241" t="s">
        <v>203</v>
      </c>
      <c r="B145" s="240"/>
      <c r="C145" s="381" t="s">
        <v>204</v>
      </c>
      <c r="K145" s="4">
        <v>1930</v>
      </c>
      <c r="L145" s="15">
        <f t="shared" si="49"/>
        <v>0.69097222222222199</v>
      </c>
      <c r="P145" s="91"/>
      <c r="Q145" s="69">
        <v>142</v>
      </c>
      <c r="R145" s="70">
        <f t="shared" si="44"/>
        <v>0.452430555555555</v>
      </c>
      <c r="S145" s="392">
        <f t="shared" si="50"/>
        <v>0.42465277777777699</v>
      </c>
      <c r="T145" s="640"/>
      <c r="V145" s="68"/>
      <c r="W145" s="69">
        <v>141</v>
      </c>
      <c r="X145" s="52">
        <f t="shared" si="45"/>
        <v>0.67916666666665404</v>
      </c>
      <c r="Y145" s="71">
        <f t="shared" si="47"/>
        <v>0.66527777777776498</v>
      </c>
      <c r="Z145" s="187"/>
      <c r="AB145" s="68"/>
      <c r="AC145" s="69">
        <v>141</v>
      </c>
      <c r="AD145" s="52">
        <f t="shared" si="46"/>
        <v>0.67916666666665404</v>
      </c>
      <c r="AE145" s="71">
        <f t="shared" si="48"/>
        <v>0.66527777777776498</v>
      </c>
      <c r="AF145" s="187"/>
    </row>
    <row r="146" spans="1:32" ht="14.65" customHeight="1" x14ac:dyDescent="0.25">
      <c r="A146" s="23" t="s">
        <v>133</v>
      </c>
      <c r="B146" s="169">
        <f>H54</f>
        <v>6.9444444444444404E-4</v>
      </c>
      <c r="C146" s="380">
        <f>B148*24</f>
        <v>0.33</v>
      </c>
      <c r="K146" s="4">
        <v>1940</v>
      </c>
      <c r="L146" s="15">
        <f t="shared" si="49"/>
        <v>0.69444444444444398</v>
      </c>
      <c r="P146" s="91"/>
      <c r="Q146" s="69">
        <v>143</v>
      </c>
      <c r="R146" s="70">
        <f t="shared" si="44"/>
        <v>0.45555555555555499</v>
      </c>
      <c r="S146" s="392">
        <f t="shared" si="50"/>
        <v>0.42777777777777698</v>
      </c>
      <c r="T146" s="640"/>
      <c r="V146" s="68"/>
      <c r="W146" s="69">
        <v>142</v>
      </c>
      <c r="X146" s="52">
        <f t="shared" si="45"/>
        <v>0.68611111111109802</v>
      </c>
      <c r="Y146" s="71">
        <f t="shared" si="47"/>
        <v>0.67222222222220895</v>
      </c>
      <c r="Z146" s="187"/>
      <c r="AB146" s="68"/>
      <c r="AC146" s="69">
        <v>142</v>
      </c>
      <c r="AD146" s="52">
        <f t="shared" si="46"/>
        <v>0.68611111111109802</v>
      </c>
      <c r="AE146" s="71">
        <f t="shared" si="48"/>
        <v>0.67222222222220895</v>
      </c>
      <c r="AF146" s="187"/>
    </row>
    <row r="147" spans="1:32" ht="14.65" customHeight="1" x14ac:dyDescent="0.25">
      <c r="A147" t="s">
        <v>205</v>
      </c>
      <c r="B147" s="324">
        <v>1.38888888888889E-2</v>
      </c>
      <c r="C147" s="381" t="s">
        <v>206</v>
      </c>
      <c r="K147" s="4">
        <v>1950</v>
      </c>
      <c r="L147" s="15">
        <f t="shared" si="49"/>
        <v>0.69791666666666596</v>
      </c>
      <c r="P147" s="91"/>
      <c r="Q147" s="69">
        <v>144</v>
      </c>
      <c r="R147" s="70">
        <f t="shared" si="44"/>
        <v>0.45868055555555498</v>
      </c>
      <c r="S147" s="392">
        <f t="shared" si="50"/>
        <v>0.43090277777777702</v>
      </c>
      <c r="T147" s="640"/>
      <c r="V147" s="68"/>
      <c r="W147" s="69">
        <v>143</v>
      </c>
      <c r="X147" s="52">
        <f t="shared" si="45"/>
        <v>0.69305555555554199</v>
      </c>
      <c r="Y147" s="71">
        <f t="shared" si="47"/>
        <v>0.67916666666665304</v>
      </c>
      <c r="Z147" s="187"/>
      <c r="AB147" s="68"/>
      <c r="AC147" s="69">
        <v>143</v>
      </c>
      <c r="AD147" s="52">
        <f t="shared" si="46"/>
        <v>0.69305555555554199</v>
      </c>
      <c r="AE147" s="71">
        <f t="shared" si="48"/>
        <v>0.67916666666665304</v>
      </c>
      <c r="AF147" s="187"/>
    </row>
    <row r="148" spans="1:32" ht="15" customHeight="1" thickBot="1" x14ac:dyDescent="0.3">
      <c r="A148" s="24" t="s">
        <v>207</v>
      </c>
      <c r="B148" s="170">
        <f>(B146*E4)+B147</f>
        <v>1.38888888888889E-2</v>
      </c>
      <c r="C148" s="382">
        <f>C146/7</f>
        <v>0.05</v>
      </c>
      <c r="K148" s="4">
        <v>1960</v>
      </c>
      <c r="L148" s="15">
        <f t="shared" si="49"/>
        <v>0.70138888888888795</v>
      </c>
      <c r="P148" s="91"/>
      <c r="Q148" s="69">
        <v>145</v>
      </c>
      <c r="R148" s="70">
        <f t="shared" si="44"/>
        <v>0.46180555555555503</v>
      </c>
      <c r="S148" s="392">
        <f t="shared" si="50"/>
        <v>0.43402777777777701</v>
      </c>
      <c r="T148" s="640"/>
      <c r="V148" s="68"/>
      <c r="W148" s="69">
        <v>144</v>
      </c>
      <c r="X148" s="52">
        <f t="shared" si="45"/>
        <v>0.69999999999998597</v>
      </c>
      <c r="Y148" s="71">
        <f t="shared" si="47"/>
        <v>0.68611111111109702</v>
      </c>
      <c r="Z148" s="187"/>
      <c r="AB148" s="68"/>
      <c r="AC148" s="69">
        <v>144</v>
      </c>
      <c r="AD148" s="52">
        <f t="shared" si="46"/>
        <v>0.69999999999998597</v>
      </c>
      <c r="AE148" s="71">
        <f t="shared" si="48"/>
        <v>0.68611111111109702</v>
      </c>
      <c r="AF148" s="187"/>
    </row>
    <row r="149" spans="1:32" ht="14.65" customHeight="1" x14ac:dyDescent="0.25">
      <c r="A149" s="30"/>
      <c r="B149" s="30"/>
      <c r="C149" s="244"/>
      <c r="K149" s="4">
        <v>1970</v>
      </c>
      <c r="L149" s="15">
        <f t="shared" si="49"/>
        <v>0.70486111111111105</v>
      </c>
      <c r="P149" s="91"/>
      <c r="Q149" s="69">
        <v>146</v>
      </c>
      <c r="R149" s="70">
        <f t="shared" si="44"/>
        <v>0.46493055555555501</v>
      </c>
      <c r="S149" s="392">
        <f t="shared" si="50"/>
        <v>0.437152777777777</v>
      </c>
      <c r="T149" s="640"/>
      <c r="V149" s="68"/>
      <c r="W149" s="69">
        <v>145</v>
      </c>
      <c r="X149" s="52">
        <f t="shared" si="45"/>
        <v>0.70694444444443005</v>
      </c>
      <c r="Y149" s="71">
        <f t="shared" si="47"/>
        <v>0.69305555555554099</v>
      </c>
      <c r="Z149" s="187"/>
      <c r="AB149" s="68"/>
      <c r="AC149" s="69">
        <v>145</v>
      </c>
      <c r="AD149" s="52">
        <f t="shared" si="46"/>
        <v>0.70694444444443005</v>
      </c>
      <c r="AE149" s="71">
        <f t="shared" si="48"/>
        <v>0.69305555555554099</v>
      </c>
      <c r="AF149" s="187"/>
    </row>
    <row r="150" spans="1:32" ht="14.65" customHeight="1" x14ac:dyDescent="0.25">
      <c r="A150" t="s">
        <v>208</v>
      </c>
      <c r="B150" s="18" t="e">
        <f>B91+B103+B107+B111+B121+B126+B130+B148</f>
        <v>#DIV/0!</v>
      </c>
      <c r="K150" s="4">
        <v>1980</v>
      </c>
      <c r="L150" s="15">
        <f t="shared" si="49"/>
        <v>0.70833333333333304</v>
      </c>
      <c r="P150" s="91"/>
      <c r="Q150" s="69">
        <v>147</v>
      </c>
      <c r="R150" s="70">
        <f t="shared" si="44"/>
        <v>0.468055555555555</v>
      </c>
      <c r="S150" s="392">
        <f t="shared" si="50"/>
        <v>0.44027777777777699</v>
      </c>
      <c r="T150" s="640"/>
      <c r="V150" s="68"/>
      <c r="W150" s="69">
        <v>146</v>
      </c>
      <c r="X150" s="52">
        <f t="shared" si="45"/>
        <v>0.71388888888887403</v>
      </c>
      <c r="Y150" s="71">
        <f t="shared" si="47"/>
        <v>0.69999999999998497</v>
      </c>
      <c r="Z150" s="187"/>
      <c r="AB150" s="68"/>
      <c r="AC150" s="69">
        <v>146</v>
      </c>
      <c r="AD150" s="52">
        <f t="shared" si="46"/>
        <v>0.71388888888887403</v>
      </c>
      <c r="AE150" s="71">
        <f t="shared" si="48"/>
        <v>0.69999999999998497</v>
      </c>
      <c r="AF150" s="187"/>
    </row>
    <row r="151" spans="1:32" ht="14.65" customHeight="1" x14ac:dyDescent="0.25">
      <c r="A151" t="s">
        <v>209</v>
      </c>
      <c r="B151" s="253" t="s">
        <v>210</v>
      </c>
      <c r="K151" s="4">
        <v>1990</v>
      </c>
      <c r="L151" s="15">
        <f t="shared" si="49"/>
        <v>0.71180555555555503</v>
      </c>
      <c r="P151" s="91"/>
      <c r="Q151" s="69">
        <v>148</v>
      </c>
      <c r="R151" s="70">
        <f t="shared" si="44"/>
        <v>0.47118055555555499</v>
      </c>
      <c r="S151" s="392">
        <f t="shared" si="50"/>
        <v>0.44340277777777698</v>
      </c>
      <c r="T151" s="640"/>
      <c r="V151" s="68"/>
      <c r="W151" s="69">
        <v>147</v>
      </c>
      <c r="X151" s="52">
        <f t="shared" si="45"/>
        <v>0.720833333333318</v>
      </c>
      <c r="Y151" s="71">
        <f t="shared" si="47"/>
        <v>0.70694444444442905</v>
      </c>
      <c r="Z151" s="187"/>
      <c r="AB151" s="68"/>
      <c r="AC151" s="69">
        <v>147</v>
      </c>
      <c r="AD151" s="52">
        <f t="shared" si="46"/>
        <v>0.720833333333318</v>
      </c>
      <c r="AE151" s="71">
        <f t="shared" si="48"/>
        <v>0.70694444444442905</v>
      </c>
      <c r="AF151" s="187"/>
    </row>
    <row r="152" spans="1:32" ht="14.65" customHeight="1" x14ac:dyDescent="0.25">
      <c r="A152" s="30"/>
      <c r="B152" s="30"/>
      <c r="K152" s="4">
        <v>2000</v>
      </c>
      <c r="L152" s="15">
        <f t="shared" si="49"/>
        <v>0.71527777777777701</v>
      </c>
      <c r="P152" s="91"/>
      <c r="Q152" s="69">
        <v>149</v>
      </c>
      <c r="R152" s="70">
        <f t="shared" si="44"/>
        <v>0.47430555555555498</v>
      </c>
      <c r="S152" s="392">
        <f t="shared" si="50"/>
        <v>0.44652777777777702</v>
      </c>
      <c r="T152" s="640"/>
      <c r="V152" s="68"/>
      <c r="W152" s="69">
        <v>148</v>
      </c>
      <c r="X152" s="52">
        <f t="shared" si="45"/>
        <v>0.72777777777776198</v>
      </c>
      <c r="Y152" s="71">
        <f t="shared" si="47"/>
        <v>0.71388888888887303</v>
      </c>
      <c r="Z152" s="187"/>
      <c r="AB152" s="68"/>
      <c r="AC152" s="69">
        <v>148</v>
      </c>
      <c r="AD152" s="52">
        <f t="shared" si="46"/>
        <v>0.72777777777776198</v>
      </c>
      <c r="AE152" s="71">
        <f t="shared" si="48"/>
        <v>0.71388888888887303</v>
      </c>
      <c r="AF152" s="187"/>
    </row>
    <row r="153" spans="1:32" ht="15" customHeight="1" thickBot="1" x14ac:dyDescent="0.3">
      <c r="K153" s="4">
        <v>2010</v>
      </c>
      <c r="L153" s="15">
        <f t="shared" si="49"/>
        <v>0.71875</v>
      </c>
      <c r="P153" s="101"/>
      <c r="Q153" s="102">
        <v>150</v>
      </c>
      <c r="R153" s="103">
        <f t="shared" si="44"/>
        <v>0.47743055555555503</v>
      </c>
      <c r="S153" s="393">
        <f t="shared" si="50"/>
        <v>0.44965277777777701</v>
      </c>
      <c r="T153" s="640"/>
      <c r="V153" s="68"/>
      <c r="W153" s="69">
        <v>149</v>
      </c>
      <c r="X153" s="52">
        <f t="shared" si="45"/>
        <v>0.73472222222220596</v>
      </c>
      <c r="Y153" s="71">
        <f t="shared" si="47"/>
        <v>0.72083333333331701</v>
      </c>
      <c r="Z153" s="187"/>
      <c r="AB153" s="68"/>
      <c r="AC153" s="69">
        <v>149</v>
      </c>
      <c r="AD153" s="52">
        <f t="shared" si="46"/>
        <v>0.73472222222220596</v>
      </c>
      <c r="AE153" s="71">
        <f t="shared" si="48"/>
        <v>0.72083333333331701</v>
      </c>
      <c r="AF153" s="187"/>
    </row>
    <row r="154" spans="1:32" ht="15" customHeight="1" thickBot="1" x14ac:dyDescent="0.3">
      <c r="K154" s="4">
        <v>2020</v>
      </c>
      <c r="L154" s="15">
        <f t="shared" si="49"/>
        <v>0.72222222222222199</v>
      </c>
      <c r="P154" s="91" t="s">
        <v>211</v>
      </c>
      <c r="Q154" s="69">
        <v>151</v>
      </c>
      <c r="R154" s="70">
        <f t="shared" si="44"/>
        <v>0.484374999999999</v>
      </c>
      <c r="S154" s="392">
        <f>S153+$T$103</f>
        <v>0.45659722222222099</v>
      </c>
      <c r="T154" s="640"/>
      <c r="V154" s="68"/>
      <c r="W154" s="69">
        <v>150</v>
      </c>
      <c r="X154" s="52">
        <f t="shared" si="45"/>
        <v>0.74166666666665004</v>
      </c>
      <c r="Y154" s="71">
        <f t="shared" si="47"/>
        <v>0.72777777777776098</v>
      </c>
      <c r="Z154" s="86"/>
      <c r="AB154" s="68"/>
      <c r="AC154" s="69">
        <v>150</v>
      </c>
      <c r="AD154" s="52">
        <f t="shared" si="46"/>
        <v>0.74166666666665004</v>
      </c>
      <c r="AE154" s="71">
        <f t="shared" si="48"/>
        <v>0.72777777777776098</v>
      </c>
      <c r="AF154" s="86"/>
    </row>
    <row r="155" spans="1:32" ht="15" customHeight="1" thickBot="1" x14ac:dyDescent="0.3">
      <c r="A155" s="338" t="s">
        <v>212</v>
      </c>
      <c r="B155" s="210"/>
      <c r="C155" s="210"/>
      <c r="D155" s="339"/>
      <c r="K155" s="4">
        <v>2030</v>
      </c>
      <c r="L155" s="15">
        <f t="shared" si="49"/>
        <v>0.72569444444444398</v>
      </c>
      <c r="P155" s="91"/>
      <c r="Q155" s="69">
        <v>152</v>
      </c>
      <c r="R155" s="70">
        <f t="shared" si="44"/>
        <v>0.48749999999999899</v>
      </c>
      <c r="S155" s="392">
        <f t="shared" ref="S155:S186" si="51">S154+$T$64</f>
        <v>0.45972222222222098</v>
      </c>
      <c r="T155" s="640"/>
    </row>
    <row r="156" spans="1:32" ht="14.65" customHeight="1" x14ac:dyDescent="0.25">
      <c r="A156" s="365"/>
      <c r="B156" s="366"/>
      <c r="C156" s="366" t="s">
        <v>213</v>
      </c>
      <c r="D156" s="355" t="s">
        <v>214</v>
      </c>
      <c r="E156" s="363" t="s">
        <v>215</v>
      </c>
      <c r="F156" s="49" t="s">
        <v>216</v>
      </c>
      <c r="G156" s="4"/>
      <c r="H156" s="4"/>
      <c r="K156" s="4">
        <v>2040</v>
      </c>
      <c r="L156" s="15">
        <f t="shared" si="49"/>
        <v>0.72916666666666596</v>
      </c>
      <c r="P156" s="91"/>
      <c r="Q156" s="69">
        <v>153</v>
      </c>
      <c r="R156" s="70">
        <f t="shared" si="44"/>
        <v>0.49062499999999898</v>
      </c>
      <c r="S156" s="392">
        <f t="shared" si="51"/>
        <v>0.46284722222222102</v>
      </c>
      <c r="T156" s="640"/>
    </row>
    <row r="157" spans="1:32" ht="14.65" customHeight="1" x14ac:dyDescent="0.25">
      <c r="A157" s="23" t="s">
        <v>217</v>
      </c>
      <c r="B157" s="18" t="e">
        <f>B26+B104+B112+B130+B148+B107+B143+H56+B139</f>
        <v>#DIV/0!</v>
      </c>
      <c r="C157" s="260" t="e">
        <f>B157*24</f>
        <v>#DIV/0!</v>
      </c>
      <c r="D157" s="367" t="e">
        <f>C157*B194</f>
        <v>#DIV/0!</v>
      </c>
      <c r="E157" s="364" t="e">
        <f>D157/E4</f>
        <v>#DIV/0!</v>
      </c>
      <c r="F157" s="4" t="s">
        <v>217</v>
      </c>
      <c r="G157" s="373">
        <v>74</v>
      </c>
      <c r="H157" s="371" t="e">
        <f>C157*G157</f>
        <v>#DIV/0!</v>
      </c>
      <c r="K157" s="4">
        <v>2050</v>
      </c>
      <c r="L157" s="15">
        <f t="shared" si="49"/>
        <v>0.73263888888888795</v>
      </c>
      <c r="P157" s="91"/>
      <c r="Q157" s="69">
        <v>154</v>
      </c>
      <c r="R157" s="70">
        <f t="shared" si="44"/>
        <v>0.49374999999999902</v>
      </c>
      <c r="S157" s="392">
        <f t="shared" si="51"/>
        <v>0.46597222222222101</v>
      </c>
      <c r="T157" s="640"/>
    </row>
    <row r="158" spans="1:32" ht="15" customHeight="1" thickBot="1" x14ac:dyDescent="0.3">
      <c r="A158" s="24" t="s">
        <v>218</v>
      </c>
      <c r="B158" s="118">
        <f>B91</f>
        <v>1.38888888888889E-2</v>
      </c>
      <c r="C158" s="261">
        <f>B158*24</f>
        <v>0.33300000000000002</v>
      </c>
      <c r="D158" s="368">
        <f>B195*C158</f>
        <v>54.95</v>
      </c>
      <c r="E158" s="364" t="e">
        <f>D158/E4</f>
        <v>#DIV/0!</v>
      </c>
      <c r="F158" s="4" t="s">
        <v>219</v>
      </c>
      <c r="G158" s="373">
        <v>98</v>
      </c>
      <c r="H158" s="371">
        <f>G158*C158</f>
        <v>32.630000000000003</v>
      </c>
      <c r="K158" s="4">
        <v>2060</v>
      </c>
      <c r="L158" s="15">
        <f t="shared" si="49"/>
        <v>0.73611111111111105</v>
      </c>
      <c r="P158" s="91"/>
      <c r="Q158" s="69">
        <v>155</v>
      </c>
      <c r="R158" s="70">
        <f t="shared" si="44"/>
        <v>0.49687499999999901</v>
      </c>
      <c r="S158" s="392">
        <f t="shared" si="51"/>
        <v>0.469097222222221</v>
      </c>
      <c r="T158" s="640"/>
    </row>
    <row r="159" spans="1:32" ht="15" customHeight="1" thickBot="1" x14ac:dyDescent="0.3">
      <c r="A159" s="365" t="s">
        <v>220</v>
      </c>
      <c r="B159" s="401" t="e">
        <f>SUM(B157:B158)</f>
        <v>#DIV/0!</v>
      </c>
      <c r="C159" s="402" t="e">
        <f>B159*24</f>
        <v>#DIV/0!</v>
      </c>
      <c r="D159" s="400" t="e">
        <f>SUM(D157:D158)</f>
        <v>#DIV/0!</v>
      </c>
      <c r="F159" s="4" t="s">
        <v>221</v>
      </c>
      <c r="G159" s="4"/>
      <c r="H159" s="372" t="e">
        <f>SUM(H157:H158)</f>
        <v>#DIV/0!</v>
      </c>
      <c r="K159" s="4">
        <v>2070</v>
      </c>
      <c r="L159" s="15">
        <f t="shared" si="49"/>
        <v>0.73958333333333304</v>
      </c>
      <c r="P159" s="91"/>
      <c r="Q159" s="69">
        <v>156</v>
      </c>
      <c r="R159" s="70">
        <f t="shared" si="44"/>
        <v>0.499999999999999</v>
      </c>
      <c r="S159" s="392">
        <f t="shared" si="51"/>
        <v>0.47222222222222099</v>
      </c>
      <c r="T159" s="640"/>
    </row>
    <row r="160" spans="1:32" ht="15" customHeight="1" thickBot="1" x14ac:dyDescent="0.3">
      <c r="A160" s="24" t="s">
        <v>222</v>
      </c>
      <c r="B160" s="27" t="s">
        <v>223</v>
      </c>
      <c r="C160" s="398" t="e">
        <f>D159/C159</f>
        <v>#DIV/0!</v>
      </c>
      <c r="D160" s="399" t="e">
        <f>D159/E4</f>
        <v>#DIV/0!</v>
      </c>
      <c r="F160" s="4" t="s">
        <v>224</v>
      </c>
      <c r="G160" s="4"/>
      <c r="H160" s="371" t="e">
        <f>D159-H159</f>
        <v>#DIV/0!</v>
      </c>
      <c r="K160" s="4">
        <v>2080</v>
      </c>
      <c r="L160" s="15">
        <f t="shared" si="49"/>
        <v>0.74305555555555503</v>
      </c>
      <c r="P160" s="91"/>
      <c r="Q160" s="69">
        <v>157</v>
      </c>
      <c r="R160" s="70">
        <f t="shared" si="44"/>
        <v>0.50312499999999905</v>
      </c>
      <c r="S160" s="392">
        <f t="shared" si="51"/>
        <v>0.47534722222222098</v>
      </c>
      <c r="T160" s="640"/>
    </row>
    <row r="161" spans="1:20" ht="14.65" customHeight="1" x14ac:dyDescent="0.25">
      <c r="F161" s="4" t="s">
        <v>225</v>
      </c>
      <c r="G161" s="4"/>
      <c r="H161" s="371" t="e">
        <f>H159/E4</f>
        <v>#DIV/0!</v>
      </c>
      <c r="K161" s="4">
        <v>2090</v>
      </c>
      <c r="L161" s="15">
        <f t="shared" si="49"/>
        <v>0.74652777777777701</v>
      </c>
      <c r="P161" s="91"/>
      <c r="Q161" s="69">
        <v>158</v>
      </c>
      <c r="R161" s="70">
        <f t="shared" si="44"/>
        <v>0.50624999999999898</v>
      </c>
      <c r="S161" s="392">
        <f t="shared" si="51"/>
        <v>0.47847222222222102</v>
      </c>
      <c r="T161" s="640"/>
    </row>
    <row r="162" spans="1:20" ht="15" customHeight="1" thickBot="1" x14ac:dyDescent="0.3">
      <c r="A162" s="30"/>
      <c r="B162" s="369"/>
      <c r="C162" s="370"/>
      <c r="D162" s="122"/>
      <c r="F162" s="4" t="s">
        <v>226</v>
      </c>
      <c r="G162" s="4"/>
      <c r="H162" s="371" t="e">
        <f>D160-H161</f>
        <v>#DIV/0!</v>
      </c>
      <c r="K162" s="4">
        <v>2100</v>
      </c>
      <c r="L162" s="15">
        <f t="shared" si="49"/>
        <v>0.75</v>
      </c>
      <c r="P162" s="91"/>
      <c r="Q162" s="69">
        <v>159</v>
      </c>
      <c r="R162" s="70">
        <f t="shared" si="44"/>
        <v>0.50937499999999902</v>
      </c>
      <c r="S162" s="392">
        <f t="shared" si="51"/>
        <v>0.48159722222222101</v>
      </c>
      <c r="T162" s="640"/>
    </row>
    <row r="163" spans="1:20" ht="14.65" customHeight="1" x14ac:dyDescent="0.25">
      <c r="A163" s="343" t="s">
        <v>227</v>
      </c>
      <c r="B163" s="209"/>
      <c r="C163" s="209"/>
      <c r="D163" s="344"/>
      <c r="F163" s="4" t="s">
        <v>228</v>
      </c>
      <c r="G163" s="4"/>
      <c r="H163" s="288" t="e">
        <f>((D159-H159)/D159)</f>
        <v>#DIV/0!</v>
      </c>
      <c r="K163" s="4">
        <v>2110</v>
      </c>
      <c r="L163" s="15">
        <f t="shared" si="49"/>
        <v>0.75347222222222199</v>
      </c>
      <c r="P163" s="91"/>
      <c r="Q163" s="69">
        <v>160</v>
      </c>
      <c r="R163" s="70">
        <f t="shared" si="44"/>
        <v>0.51249999999999896</v>
      </c>
      <c r="S163" s="392">
        <f t="shared" si="51"/>
        <v>0.484722222222221</v>
      </c>
      <c r="T163" s="640"/>
    </row>
    <row r="164" spans="1:20" ht="14.65" customHeight="1" x14ac:dyDescent="0.25">
      <c r="A164" s="5" t="s">
        <v>229</v>
      </c>
      <c r="B164" s="4"/>
      <c r="C164" s="4"/>
      <c r="D164" s="345">
        <f>B211*E4</f>
        <v>0</v>
      </c>
      <c r="F164" s="4" t="s">
        <v>37</v>
      </c>
      <c r="G164" s="4"/>
      <c r="H164" s="394" t="e">
        <f>C159/7</f>
        <v>#DIV/0!</v>
      </c>
      <c r="K164" s="4">
        <v>2120</v>
      </c>
      <c r="L164" s="15">
        <f t="shared" si="49"/>
        <v>0.75694444444444398</v>
      </c>
      <c r="P164" s="91"/>
      <c r="Q164" s="69">
        <v>161</v>
      </c>
      <c r="R164" s="70">
        <f t="shared" si="44"/>
        <v>0.515624999999999</v>
      </c>
      <c r="S164" s="392">
        <f t="shared" si="51"/>
        <v>0.48784722222222099</v>
      </c>
      <c r="T164" s="640"/>
    </row>
    <row r="165" spans="1:20" ht="14.65" customHeight="1" x14ac:dyDescent="0.25">
      <c r="A165" s="5" t="s">
        <v>230</v>
      </c>
      <c r="B165" s="4"/>
      <c r="C165" s="4"/>
      <c r="D165" s="346">
        <f>B204+B203</f>
        <v>0</v>
      </c>
      <c r="F165" s="4" t="s">
        <v>231</v>
      </c>
      <c r="G165" s="4"/>
      <c r="H165" s="394" t="e">
        <f>H164/5</f>
        <v>#DIV/0!</v>
      </c>
      <c r="K165" s="4">
        <v>2130</v>
      </c>
      <c r="L165" s="15">
        <f t="shared" si="49"/>
        <v>0.76041666666666596</v>
      </c>
      <c r="P165" s="91"/>
      <c r="Q165" s="69">
        <v>162</v>
      </c>
      <c r="R165" s="70">
        <f t="shared" ref="R165:R196" si="52">$R$4+S165</f>
        <v>0.51874999999999905</v>
      </c>
      <c r="S165" s="392">
        <f t="shared" si="51"/>
        <v>0.49097222222222098</v>
      </c>
      <c r="T165" s="640"/>
    </row>
    <row r="166" spans="1:20" ht="14.65" customHeight="1" x14ac:dyDescent="0.25">
      <c r="A166" s="5" t="s">
        <v>232</v>
      </c>
      <c r="B166" s="4"/>
      <c r="C166" s="4"/>
      <c r="D166" s="346">
        <f>B208+B209</f>
        <v>0</v>
      </c>
      <c r="F166" s="4" t="s">
        <v>233</v>
      </c>
      <c r="G166" s="4"/>
      <c r="H166" s="394" t="e">
        <f>H165/4</f>
        <v>#DIV/0!</v>
      </c>
      <c r="K166" s="4">
        <v>2140</v>
      </c>
      <c r="L166" s="15">
        <f t="shared" si="49"/>
        <v>0.76388888888888795</v>
      </c>
      <c r="P166" s="91"/>
      <c r="Q166" s="69">
        <v>163</v>
      </c>
      <c r="R166" s="70">
        <f t="shared" si="52"/>
        <v>0.52187499999999898</v>
      </c>
      <c r="S166" s="392">
        <f t="shared" si="51"/>
        <v>0.49409722222222102</v>
      </c>
      <c r="T166" s="640"/>
    </row>
    <row r="167" spans="1:20" ht="14.65" customHeight="1" x14ac:dyDescent="0.25">
      <c r="A167" s="5" t="s">
        <v>234</v>
      </c>
      <c r="B167" s="4"/>
      <c r="C167" s="4"/>
      <c r="D167" s="347" t="e">
        <f>D157+D158+D165+D166</f>
        <v>#DIV/0!</v>
      </c>
      <c r="F167" s="4" t="s">
        <v>235</v>
      </c>
      <c r="G167" s="4"/>
      <c r="H167" s="394" t="e">
        <f>H166/12</f>
        <v>#DIV/0!</v>
      </c>
      <c r="K167" s="4">
        <v>2150</v>
      </c>
      <c r="L167" s="15">
        <f t="shared" si="49"/>
        <v>0.76736111111111105</v>
      </c>
      <c r="P167" s="91"/>
      <c r="Q167" s="69">
        <v>164</v>
      </c>
      <c r="R167" s="70">
        <f t="shared" si="52"/>
        <v>0.52499999999999902</v>
      </c>
      <c r="S167" s="392">
        <f t="shared" si="51"/>
        <v>0.49722222222222101</v>
      </c>
      <c r="T167" s="640"/>
    </row>
    <row r="168" spans="1:20" ht="14.65" customHeight="1" x14ac:dyDescent="0.25">
      <c r="A168" s="5" t="s">
        <v>236</v>
      </c>
      <c r="B168" s="4"/>
      <c r="C168" s="4"/>
      <c r="D168" s="348" t="e">
        <f>D167/E4</f>
        <v>#DIV/0!</v>
      </c>
      <c r="F168" s="267" t="s">
        <v>301</v>
      </c>
      <c r="G168" s="4"/>
      <c r="H168" s="50" t="e">
        <f>(D157+D158)/C159</f>
        <v>#DIV/0!</v>
      </c>
      <c r="K168" s="4">
        <v>2160</v>
      </c>
      <c r="L168" s="15">
        <f t="shared" si="49"/>
        <v>0.77083333333333304</v>
      </c>
      <c r="P168" s="91"/>
      <c r="Q168" s="69">
        <v>165</v>
      </c>
      <c r="R168" s="70">
        <f t="shared" si="52"/>
        <v>0.52812499999999896</v>
      </c>
      <c r="S168" s="392">
        <f t="shared" si="51"/>
        <v>0.50034722222222106</v>
      </c>
      <c r="T168" s="640"/>
    </row>
    <row r="169" spans="1:20" ht="14.65" customHeight="1" x14ac:dyDescent="0.25">
      <c r="A169" s="23"/>
      <c r="D169" s="349"/>
      <c r="K169" s="4">
        <v>2170</v>
      </c>
      <c r="L169" s="15">
        <f t="shared" ref="L169:L198" si="53">$L$6+(((K169-$K$6)/10)*$M$2)</f>
        <v>0.77430555555555503</v>
      </c>
      <c r="P169" s="91"/>
      <c r="Q169" s="69">
        <v>166</v>
      </c>
      <c r="R169" s="70">
        <f t="shared" si="52"/>
        <v>0.531249999999999</v>
      </c>
      <c r="S169" s="392">
        <f t="shared" si="51"/>
        <v>0.50347222222222099</v>
      </c>
      <c r="T169" s="640"/>
    </row>
    <row r="170" spans="1:20" ht="15" customHeight="1" thickBot="1" x14ac:dyDescent="0.3">
      <c r="A170" s="350"/>
      <c r="B170" s="30"/>
      <c r="C170" s="30"/>
      <c r="D170" s="351"/>
      <c r="K170" s="4">
        <v>2180</v>
      </c>
      <c r="L170" s="15">
        <f t="shared" si="53"/>
        <v>0.77777777777777701</v>
      </c>
      <c r="P170" s="91"/>
      <c r="Q170" s="69">
        <v>167</v>
      </c>
      <c r="R170" s="70">
        <f t="shared" si="52"/>
        <v>0.53437499999999905</v>
      </c>
      <c r="S170" s="392">
        <f t="shared" si="51"/>
        <v>0.50659722222222103</v>
      </c>
      <c r="T170" s="640"/>
    </row>
    <row r="171" spans="1:20" ht="14.65" customHeight="1" x14ac:dyDescent="0.25">
      <c r="A171" s="119" t="s">
        <v>237</v>
      </c>
      <c r="B171" s="120"/>
      <c r="C171" s="120"/>
      <c r="D171" s="121"/>
      <c r="K171" s="4">
        <v>2190</v>
      </c>
      <c r="L171" s="15">
        <f t="shared" si="53"/>
        <v>0.781249999999999</v>
      </c>
      <c r="P171" s="91"/>
      <c r="Q171" s="69">
        <v>168</v>
      </c>
      <c r="R171" s="70">
        <f t="shared" si="52"/>
        <v>0.53749999999999898</v>
      </c>
      <c r="S171" s="392">
        <f t="shared" si="51"/>
        <v>0.50972222222222097</v>
      </c>
      <c r="T171" s="640"/>
    </row>
    <row r="172" spans="1:20" ht="14.65" customHeight="1" x14ac:dyDescent="0.25">
      <c r="A172" s="5" t="s">
        <v>238</v>
      </c>
      <c r="B172" s="4"/>
      <c r="C172" s="4"/>
      <c r="D172" s="352">
        <f>B198</f>
        <v>0</v>
      </c>
      <c r="K172" s="4">
        <v>2200</v>
      </c>
      <c r="L172" s="15">
        <f t="shared" si="53"/>
        <v>0.78472222222222199</v>
      </c>
      <c r="P172" s="91"/>
      <c r="Q172" s="69">
        <v>169</v>
      </c>
      <c r="R172" s="70">
        <f t="shared" si="52"/>
        <v>0.54062499999999902</v>
      </c>
      <c r="S172" s="392">
        <f t="shared" si="51"/>
        <v>0.51284722222222101</v>
      </c>
      <c r="T172" s="640"/>
    </row>
    <row r="173" spans="1:20" ht="14.65" customHeight="1" x14ac:dyDescent="0.25">
      <c r="A173" s="358" t="s">
        <v>239</v>
      </c>
      <c r="B173" s="359">
        <f>B10</f>
        <v>0</v>
      </c>
      <c r="C173" s="360">
        <f>B173*24</f>
        <v>0</v>
      </c>
      <c r="D173" s="361">
        <f>B196</f>
        <v>0</v>
      </c>
      <c r="F173" t="s">
        <v>240</v>
      </c>
      <c r="K173" s="4">
        <v>2210</v>
      </c>
      <c r="L173" s="15">
        <f t="shared" si="53"/>
        <v>0.78819444444444398</v>
      </c>
      <c r="P173" s="91"/>
      <c r="Q173" s="69">
        <v>170</v>
      </c>
      <c r="R173" s="70">
        <f t="shared" si="52"/>
        <v>0.54374999999999896</v>
      </c>
      <c r="S173" s="392">
        <f t="shared" si="51"/>
        <v>0.51597222222222106</v>
      </c>
      <c r="T173" s="640"/>
    </row>
    <row r="174" spans="1:20" ht="14.65" customHeight="1" x14ac:dyDescent="0.25">
      <c r="A174" s="5" t="s">
        <v>241</v>
      </c>
      <c r="B174" s="4"/>
      <c r="C174" s="4"/>
      <c r="D174" s="353">
        <f>B205</f>
        <v>0</v>
      </c>
      <c r="K174" s="4">
        <v>2220</v>
      </c>
      <c r="L174" s="15">
        <f t="shared" si="53"/>
        <v>0.79166666666666596</v>
      </c>
      <c r="P174" s="91"/>
      <c r="Q174" s="69">
        <v>171</v>
      </c>
      <c r="R174" s="70">
        <f t="shared" si="52"/>
        <v>0.546874999999999</v>
      </c>
      <c r="S174" s="392">
        <f t="shared" si="51"/>
        <v>0.51909722222222099</v>
      </c>
      <c r="T174" s="640"/>
    </row>
    <row r="175" spans="1:20" ht="15" customHeight="1" thickBot="1" x14ac:dyDescent="0.3">
      <c r="A175" s="10" t="s">
        <v>242</v>
      </c>
      <c r="B175" s="354"/>
      <c r="C175" s="354"/>
      <c r="D175" s="22">
        <f>B212</f>
        <v>0</v>
      </c>
      <c r="G175" s="178"/>
      <c r="K175" s="4">
        <v>2230</v>
      </c>
      <c r="L175" s="15">
        <f t="shared" si="53"/>
        <v>0.79513888888888795</v>
      </c>
      <c r="P175" s="91"/>
      <c r="Q175" s="69">
        <v>172</v>
      </c>
      <c r="R175" s="70">
        <f t="shared" si="52"/>
        <v>0.54999999999999905</v>
      </c>
      <c r="S175" s="392">
        <f t="shared" si="51"/>
        <v>0.52222222222222103</v>
      </c>
      <c r="T175" s="640"/>
    </row>
    <row r="176" spans="1:20" ht="15" customHeight="1" thickBot="1" x14ac:dyDescent="0.3">
      <c r="K176" s="4">
        <v>2240</v>
      </c>
      <c r="L176" s="15">
        <f t="shared" si="53"/>
        <v>0.79861111111111105</v>
      </c>
      <c r="P176" s="91"/>
      <c r="Q176" s="69">
        <v>173</v>
      </c>
      <c r="R176" s="70">
        <f t="shared" si="52"/>
        <v>0.55312499999999898</v>
      </c>
      <c r="S176" s="392">
        <f t="shared" si="51"/>
        <v>0.52534722222222097</v>
      </c>
      <c r="T176" s="640"/>
    </row>
    <row r="177" spans="1:20" ht="15" customHeight="1" thickBot="1" x14ac:dyDescent="0.3">
      <c r="A177" s="213" t="s">
        <v>243</v>
      </c>
      <c r="B177" s="214" t="s">
        <v>244</v>
      </c>
      <c r="C177" s="215" t="s">
        <v>245</v>
      </c>
      <c r="D177" s="216" t="s">
        <v>236</v>
      </c>
      <c r="E177" s="215" t="s">
        <v>246</v>
      </c>
      <c r="K177" s="4">
        <v>2250</v>
      </c>
      <c r="L177" s="15">
        <f t="shared" si="53"/>
        <v>0.80208333333333304</v>
      </c>
      <c r="P177" s="91"/>
      <c r="Q177" s="69">
        <v>174</v>
      </c>
      <c r="R177" s="70">
        <f t="shared" si="52"/>
        <v>0.55624999999999902</v>
      </c>
      <c r="S177" s="392">
        <f t="shared" si="51"/>
        <v>0.52847222222222101</v>
      </c>
      <c r="T177" s="640"/>
    </row>
    <row r="178" spans="1:20" ht="14.65" customHeight="1" x14ac:dyDescent="0.25">
      <c r="A178" s="423">
        <f>B200</f>
        <v>0</v>
      </c>
      <c r="B178" s="217" t="str">
        <f>B215</f>
        <v>Assembly only</v>
      </c>
      <c r="C178" s="218">
        <f>E4</f>
        <v>0</v>
      </c>
      <c r="D178" s="219" t="e">
        <f>D168</f>
        <v>#DIV/0!</v>
      </c>
      <c r="E178" s="220" t="e">
        <f>D178*C178</f>
        <v>#DIV/0!</v>
      </c>
      <c r="K178" s="4">
        <v>2260</v>
      </c>
      <c r="L178" s="15">
        <f t="shared" si="53"/>
        <v>0.80555555555555503</v>
      </c>
      <c r="P178" s="91"/>
      <c r="Q178" s="69">
        <v>175</v>
      </c>
      <c r="R178" s="70">
        <f t="shared" si="52"/>
        <v>0.55937499999999896</v>
      </c>
      <c r="S178" s="392">
        <f t="shared" si="51"/>
        <v>0.53159722222222106</v>
      </c>
      <c r="T178" s="640"/>
    </row>
    <row r="179" spans="1:20" ht="15" customHeight="1" thickBot="1" x14ac:dyDescent="0.3">
      <c r="A179" s="221" t="s">
        <v>247</v>
      </c>
      <c r="B179" s="222" t="s">
        <v>248</v>
      </c>
      <c r="C179" s="222">
        <f>IF(D179&gt;0,C178,)</f>
        <v>0</v>
      </c>
      <c r="D179" s="223">
        <f>B211</f>
        <v>0</v>
      </c>
      <c r="E179" s="257">
        <f>C179*D179</f>
        <v>0</v>
      </c>
      <c r="F179" t="s">
        <v>249</v>
      </c>
      <c r="K179" s="4">
        <v>2270</v>
      </c>
      <c r="L179" s="15">
        <f t="shared" si="53"/>
        <v>0.80902777777777701</v>
      </c>
      <c r="P179" s="91"/>
      <c r="Q179" s="69">
        <v>176</v>
      </c>
      <c r="R179" s="70">
        <f t="shared" si="52"/>
        <v>0.562499999999999</v>
      </c>
      <c r="S179" s="392">
        <f t="shared" si="51"/>
        <v>0.53472222222222099</v>
      </c>
      <c r="T179" s="640"/>
    </row>
    <row r="180" spans="1:20" ht="15" customHeight="1" thickBot="1" x14ac:dyDescent="0.3">
      <c r="A180" s="224" t="s">
        <v>246</v>
      </c>
      <c r="B180" s="225"/>
      <c r="C180" s="226">
        <f>E4</f>
        <v>0</v>
      </c>
      <c r="D180" s="258" t="e">
        <f>D178+D179</f>
        <v>#DIV/0!</v>
      </c>
      <c r="E180" s="259" t="e">
        <f>C180*D180</f>
        <v>#DIV/0!</v>
      </c>
      <c r="H180" s="285"/>
      <c r="K180" s="4">
        <v>2280</v>
      </c>
      <c r="L180" s="15">
        <f t="shared" si="53"/>
        <v>0.812499999999999</v>
      </c>
      <c r="P180" s="91"/>
      <c r="Q180" s="69">
        <v>177</v>
      </c>
      <c r="R180" s="70">
        <f t="shared" si="52"/>
        <v>0.56562499999999905</v>
      </c>
      <c r="S180" s="392">
        <f t="shared" si="51"/>
        <v>0.53784722222222103</v>
      </c>
      <c r="T180" s="640"/>
    </row>
    <row r="181" spans="1:20" ht="15" customHeight="1" thickBot="1" x14ac:dyDescent="0.3">
      <c r="A181" s="305"/>
      <c r="B181" s="306"/>
      <c r="C181" s="306"/>
      <c r="D181" s="306"/>
      <c r="E181" s="307"/>
      <c r="K181" s="4">
        <v>2290</v>
      </c>
      <c r="L181" s="15">
        <f t="shared" si="53"/>
        <v>0.81597222222222199</v>
      </c>
      <c r="P181" s="91"/>
      <c r="Q181" s="69">
        <v>178</v>
      </c>
      <c r="R181" s="70">
        <f t="shared" si="52"/>
        <v>0.56874999999999898</v>
      </c>
      <c r="S181" s="392">
        <f t="shared" si="51"/>
        <v>0.54097222222222097</v>
      </c>
      <c r="T181" s="640"/>
    </row>
    <row r="182" spans="1:20" ht="15" customHeight="1" thickBot="1" x14ac:dyDescent="0.3">
      <c r="A182" s="619" t="s">
        <v>250</v>
      </c>
      <c r="B182" s="620"/>
      <c r="C182" s="620"/>
      <c r="D182" s="620"/>
      <c r="E182" s="621"/>
      <c r="K182" s="4">
        <v>2300</v>
      </c>
      <c r="L182" s="15">
        <f t="shared" si="53"/>
        <v>0.81944444444444398</v>
      </c>
      <c r="P182" s="91"/>
      <c r="Q182" s="69">
        <v>179</v>
      </c>
      <c r="R182" s="70">
        <f t="shared" si="52"/>
        <v>0.57187499999999902</v>
      </c>
      <c r="S182" s="392">
        <f t="shared" si="51"/>
        <v>0.54409722222222101</v>
      </c>
      <c r="T182" s="640"/>
    </row>
    <row r="183" spans="1:20" ht="14.65" customHeight="1" x14ac:dyDescent="0.25">
      <c r="A183" s="227" t="s">
        <v>5</v>
      </c>
      <c r="B183" s="217" t="s">
        <v>251</v>
      </c>
      <c r="C183" s="232">
        <f>IF(B196&gt;1,"1",0)</f>
        <v>0</v>
      </c>
      <c r="D183" s="219">
        <f>D173</f>
        <v>0</v>
      </c>
      <c r="E183" s="220">
        <f>C183*D183</f>
        <v>0</v>
      </c>
      <c r="K183" s="4">
        <v>2310</v>
      </c>
      <c r="L183" s="15">
        <f t="shared" si="53"/>
        <v>0.82291666666666596</v>
      </c>
      <c r="P183" s="91"/>
      <c r="Q183" s="69">
        <v>180</v>
      </c>
      <c r="R183" s="70">
        <f t="shared" si="52"/>
        <v>0.57499999999999896</v>
      </c>
      <c r="S183" s="392">
        <f t="shared" si="51"/>
        <v>0.54722222222222106</v>
      </c>
      <c r="T183" s="640"/>
    </row>
    <row r="184" spans="1:20" ht="14.65" customHeight="1" x14ac:dyDescent="0.25">
      <c r="A184" s="228" t="s">
        <v>252</v>
      </c>
      <c r="B184" s="229" t="s">
        <v>251</v>
      </c>
      <c r="C184" s="232">
        <f>IF(B198&gt;1,"1",0)</f>
        <v>0</v>
      </c>
      <c r="D184" s="230">
        <f>D172</f>
        <v>0</v>
      </c>
      <c r="E184" s="231">
        <f>C184*D184</f>
        <v>0</v>
      </c>
      <c r="K184" s="4">
        <v>2320</v>
      </c>
      <c r="L184" s="15">
        <f t="shared" si="53"/>
        <v>0.82638888888888795</v>
      </c>
      <c r="P184" s="91"/>
      <c r="Q184" s="69">
        <v>181</v>
      </c>
      <c r="R184" s="70">
        <f t="shared" si="52"/>
        <v>0.578124999999999</v>
      </c>
      <c r="S184" s="392">
        <f t="shared" si="51"/>
        <v>0.55034722222222099</v>
      </c>
      <c r="T184" s="640"/>
    </row>
    <row r="185" spans="1:20" ht="14.65" customHeight="1" x14ac:dyDescent="0.25">
      <c r="A185" s="228" t="s">
        <v>253</v>
      </c>
      <c r="B185" s="229" t="s">
        <v>251</v>
      </c>
      <c r="C185" s="232">
        <f>IF(B205&gt;1,"1",0)</f>
        <v>0</v>
      </c>
      <c r="D185" s="233">
        <f>D174</f>
        <v>0</v>
      </c>
      <c r="E185" s="231">
        <f>C185*D185</f>
        <v>0</v>
      </c>
      <c r="K185" s="4">
        <v>2330</v>
      </c>
      <c r="L185" s="15">
        <f t="shared" si="53"/>
        <v>0.82986111111111105</v>
      </c>
      <c r="P185" s="91"/>
      <c r="Q185" s="69">
        <v>182</v>
      </c>
      <c r="R185" s="70">
        <f t="shared" si="52"/>
        <v>0.58124999999999905</v>
      </c>
      <c r="S185" s="392">
        <f t="shared" si="51"/>
        <v>0.55347222222222103</v>
      </c>
      <c r="T185" s="640"/>
    </row>
    <row r="186" spans="1:20" ht="14.65" customHeight="1" x14ac:dyDescent="0.25">
      <c r="A186" s="32" t="s">
        <v>254</v>
      </c>
      <c r="B186" s="229" t="s">
        <v>251</v>
      </c>
      <c r="C186" s="234">
        <f>IF(B212&gt;1,"1",0)</f>
        <v>0</v>
      </c>
      <c r="D186" s="235">
        <f>B212</f>
        <v>0</v>
      </c>
      <c r="E186" s="236">
        <f>C186*D186</f>
        <v>0</v>
      </c>
      <c r="K186" s="4">
        <v>2340</v>
      </c>
      <c r="L186" s="15">
        <f t="shared" si="53"/>
        <v>0.83333333333333304</v>
      </c>
      <c r="P186" s="91"/>
      <c r="Q186" s="69">
        <v>183</v>
      </c>
      <c r="R186" s="70">
        <f t="shared" si="52"/>
        <v>0.58437499999999898</v>
      </c>
      <c r="S186" s="392">
        <f t="shared" si="51"/>
        <v>0.55659722222222097</v>
      </c>
      <c r="T186" s="640"/>
    </row>
    <row r="187" spans="1:20" ht="15" customHeight="1" thickBot="1" x14ac:dyDescent="0.3">
      <c r="A187" s="395" t="s">
        <v>255</v>
      </c>
      <c r="B187" s="396"/>
      <c r="C187" s="396"/>
      <c r="D187" s="397"/>
      <c r="E187" s="308">
        <f>E183+E184+E185+E186</f>
        <v>0</v>
      </c>
      <c r="K187" s="4">
        <v>2350</v>
      </c>
      <c r="L187" s="15">
        <f t="shared" si="53"/>
        <v>0.83680555555555503</v>
      </c>
      <c r="P187" s="91"/>
      <c r="Q187" s="69">
        <v>184</v>
      </c>
      <c r="R187" s="70">
        <f t="shared" si="52"/>
        <v>0.58749999999999902</v>
      </c>
      <c r="S187" s="392">
        <f t="shared" ref="S187:S203" si="54">S186+$T$64</f>
        <v>0.55972222222222101</v>
      </c>
      <c r="T187" s="640"/>
    </row>
    <row r="188" spans="1:20" ht="14.65" customHeight="1" x14ac:dyDescent="0.25">
      <c r="A188" s="237" t="s">
        <v>256</v>
      </c>
      <c r="B188" s="47"/>
      <c r="C188" s="47"/>
      <c r="D188" s="47"/>
      <c r="E188" s="238">
        <f>B213</f>
        <v>0</v>
      </c>
      <c r="K188" s="4">
        <v>2360</v>
      </c>
      <c r="L188" s="15">
        <f t="shared" si="53"/>
        <v>0.84027777777777701</v>
      </c>
      <c r="P188" s="91"/>
      <c r="Q188" s="69">
        <v>185</v>
      </c>
      <c r="R188" s="70">
        <f t="shared" si="52"/>
        <v>0.59062499999999896</v>
      </c>
      <c r="S188" s="392">
        <f t="shared" si="54"/>
        <v>0.56284722222222106</v>
      </c>
      <c r="T188" s="640"/>
    </row>
    <row r="189" spans="1:20" ht="15" customHeight="1" thickBot="1" x14ac:dyDescent="0.3">
      <c r="A189" s="395" t="s">
        <v>257</v>
      </c>
      <c r="B189" s="396"/>
      <c r="C189" s="396"/>
      <c r="D189" s="397"/>
      <c r="E189" s="239" t="e">
        <f>(E178+E179+E183+E184+E185+E186)-E188</f>
        <v>#DIV/0!</v>
      </c>
      <c r="K189" s="4">
        <v>2370</v>
      </c>
      <c r="L189" s="15">
        <f t="shared" si="53"/>
        <v>0.843749999999999</v>
      </c>
      <c r="P189" s="91"/>
      <c r="Q189" s="69">
        <v>186</v>
      </c>
      <c r="R189" s="70">
        <f t="shared" si="52"/>
        <v>0.593749999999999</v>
      </c>
      <c r="S189" s="392">
        <f t="shared" si="54"/>
        <v>0.56597222222222099</v>
      </c>
      <c r="T189" s="640"/>
    </row>
    <row r="190" spans="1:20" ht="15" customHeight="1" thickBot="1" x14ac:dyDescent="0.3">
      <c r="K190" s="4">
        <v>2380</v>
      </c>
      <c r="L190" s="15">
        <f t="shared" si="53"/>
        <v>0.84722222222222199</v>
      </c>
      <c r="P190" s="91"/>
      <c r="Q190" s="69">
        <v>187</v>
      </c>
      <c r="R190" s="70">
        <f t="shared" si="52"/>
        <v>0.59687499999999905</v>
      </c>
      <c r="S190" s="392">
        <f t="shared" si="54"/>
        <v>0.56909722222222103</v>
      </c>
      <c r="T190" s="640"/>
    </row>
    <row r="191" spans="1:20" ht="15" customHeight="1" thickBot="1" x14ac:dyDescent="0.3">
      <c r="F191" s="631" t="s">
        <v>258</v>
      </c>
      <c r="G191" s="621"/>
      <c r="H191" s="633">
        <f>B200</f>
        <v>0</v>
      </c>
      <c r="I191" s="621"/>
      <c r="K191" s="4">
        <v>2390</v>
      </c>
      <c r="L191" s="15">
        <f t="shared" si="53"/>
        <v>0.85069444444444398</v>
      </c>
      <c r="P191" s="91"/>
      <c r="Q191" s="69">
        <v>188</v>
      </c>
      <c r="R191" s="70">
        <f t="shared" si="52"/>
        <v>0.59999999999999898</v>
      </c>
      <c r="S191" s="392">
        <f t="shared" si="54"/>
        <v>0.57222222222222097</v>
      </c>
      <c r="T191" s="640"/>
    </row>
    <row r="192" spans="1:20" ht="15" customHeight="1" thickBot="1" x14ac:dyDescent="0.3">
      <c r="A192" s="30"/>
      <c r="B192" s="30"/>
      <c r="C192" s="47"/>
      <c r="F192" s="119" t="s">
        <v>259</v>
      </c>
      <c r="G192" s="128" t="s">
        <v>260</v>
      </c>
      <c r="H192" s="128" t="s">
        <v>236</v>
      </c>
      <c r="I192" s="128" t="s">
        <v>257</v>
      </c>
      <c r="K192" s="4">
        <v>2400</v>
      </c>
      <c r="L192" s="15">
        <f t="shared" si="53"/>
        <v>0.85416666666666596</v>
      </c>
      <c r="P192" s="91"/>
      <c r="Q192" s="69">
        <v>189</v>
      </c>
      <c r="R192" s="70">
        <f t="shared" si="52"/>
        <v>0.60312499999999902</v>
      </c>
      <c r="S192" s="392">
        <f t="shared" si="54"/>
        <v>0.57534722222222101</v>
      </c>
      <c r="T192" s="640"/>
    </row>
    <row r="193" spans="1:20" ht="14.65" customHeight="1" x14ac:dyDescent="0.25">
      <c r="A193" s="49" t="s">
        <v>261</v>
      </c>
      <c r="B193" s="4"/>
      <c r="C193" s="47"/>
      <c r="F193" s="136" t="s">
        <v>262</v>
      </c>
      <c r="G193" s="129">
        <f>C178</f>
        <v>0</v>
      </c>
      <c r="H193" s="146" t="e">
        <f>I193/G193</f>
        <v>#DIV/0!</v>
      </c>
      <c r="I193" s="147" t="e">
        <f>D157+D158</f>
        <v>#DIV/0!</v>
      </c>
      <c r="K193" s="4">
        <v>2410</v>
      </c>
      <c r="L193" s="15">
        <f t="shared" si="53"/>
        <v>0.85763888888888795</v>
      </c>
      <c r="P193" s="91"/>
      <c r="Q193" s="69">
        <v>190</v>
      </c>
      <c r="R193" s="70">
        <f t="shared" si="52"/>
        <v>0.60624999999999896</v>
      </c>
      <c r="S193" s="392">
        <f t="shared" si="54"/>
        <v>0.57847222222222106</v>
      </c>
      <c r="T193" s="640"/>
    </row>
    <row r="194" spans="1:20" ht="14.65" customHeight="1" x14ac:dyDescent="0.25">
      <c r="A194" s="4" t="s">
        <v>263</v>
      </c>
      <c r="B194" s="162">
        <v>130</v>
      </c>
      <c r="C194" s="47"/>
      <c r="F194" s="137" t="str">
        <f>A183</f>
        <v>Programming</v>
      </c>
      <c r="G194" s="130">
        <f>C183</f>
        <v>0</v>
      </c>
      <c r="H194" s="148">
        <f>D183</f>
        <v>0</v>
      </c>
      <c r="I194" s="148">
        <f>G194*D183</f>
        <v>0</v>
      </c>
      <c r="K194" s="4">
        <v>2420</v>
      </c>
      <c r="L194" s="15">
        <f t="shared" si="53"/>
        <v>0.86111111111111005</v>
      </c>
      <c r="P194" s="91"/>
      <c r="Q194" s="69">
        <v>191</v>
      </c>
      <c r="R194" s="70">
        <f t="shared" si="52"/>
        <v>0.609374999999999</v>
      </c>
      <c r="S194" s="392">
        <f t="shared" si="54"/>
        <v>0.58159722222222099</v>
      </c>
      <c r="T194" s="640"/>
    </row>
    <row r="195" spans="1:20" ht="14.65" customHeight="1" x14ac:dyDescent="0.25">
      <c r="A195" s="4" t="s">
        <v>264</v>
      </c>
      <c r="B195" s="162">
        <v>165</v>
      </c>
      <c r="C195" s="47"/>
      <c r="F195" s="137" t="str">
        <f>A184</f>
        <v>Stencil for Assembly</v>
      </c>
      <c r="G195" s="130">
        <f>C184</f>
        <v>0</v>
      </c>
      <c r="H195" s="148">
        <f>B198</f>
        <v>0</v>
      </c>
      <c r="I195" s="148">
        <f>G195*H195</f>
        <v>0</v>
      </c>
      <c r="K195" s="4">
        <v>2430</v>
      </c>
      <c r="L195" s="15">
        <f t="shared" si="53"/>
        <v>0.86458333333333304</v>
      </c>
      <c r="P195" s="91"/>
      <c r="Q195" s="69">
        <v>192</v>
      </c>
      <c r="R195" s="70">
        <f t="shared" si="52"/>
        <v>0.61249999999999905</v>
      </c>
      <c r="S195" s="392">
        <f t="shared" si="54"/>
        <v>0.58472222222222103</v>
      </c>
      <c r="T195" s="640"/>
    </row>
    <row r="196" spans="1:20" ht="15" customHeight="1" thickBot="1" x14ac:dyDescent="0.3">
      <c r="A196" s="4" t="s">
        <v>5</v>
      </c>
      <c r="B196" s="162"/>
      <c r="C196" s="47"/>
      <c r="F196" s="138" t="s">
        <v>265</v>
      </c>
      <c r="G196" s="130">
        <f>G193</f>
        <v>0</v>
      </c>
      <c r="H196" s="148" t="e">
        <f>I196/G196</f>
        <v>#DIV/0!</v>
      </c>
      <c r="I196" s="149" t="e">
        <f>SUM(I193:I195)</f>
        <v>#DIV/0!</v>
      </c>
      <c r="K196" s="4">
        <v>2440</v>
      </c>
      <c r="L196" s="15">
        <f t="shared" si="53"/>
        <v>0.86805555555555503</v>
      </c>
      <c r="P196" s="91"/>
      <c r="Q196" s="69">
        <v>193</v>
      </c>
      <c r="R196" s="70">
        <f t="shared" si="52"/>
        <v>0.61562499999999898</v>
      </c>
      <c r="S196" s="392">
        <f t="shared" si="54"/>
        <v>0.58784722222222097</v>
      </c>
      <c r="T196" s="640"/>
    </row>
    <row r="197" spans="1:20" ht="14.65" customHeight="1" x14ac:dyDescent="0.25">
      <c r="A197" s="4" t="s">
        <v>266</v>
      </c>
      <c r="B197" s="356">
        <v>1</v>
      </c>
      <c r="C197" s="47"/>
      <c r="F197" s="138" t="s">
        <v>267</v>
      </c>
      <c r="G197" s="130">
        <f>G193</f>
        <v>0</v>
      </c>
      <c r="H197" s="156" t="e">
        <f>I197/G197</f>
        <v>#DIV/0!</v>
      </c>
      <c r="I197" s="150" t="e">
        <f>I193</f>
        <v>#DIV/0!</v>
      </c>
      <c r="K197" s="4">
        <v>2450</v>
      </c>
      <c r="L197" s="15">
        <f t="shared" si="53"/>
        <v>0.87152777777777701</v>
      </c>
      <c r="P197" s="91"/>
      <c r="Q197" s="69">
        <v>194</v>
      </c>
      <c r="R197" s="70">
        <f t="shared" ref="R197:R203" si="55">$R$4+S197</f>
        <v>0.61874999999999902</v>
      </c>
      <c r="S197" s="392">
        <f t="shared" si="54"/>
        <v>0.59097222222222101</v>
      </c>
      <c r="T197" s="640"/>
    </row>
    <row r="198" spans="1:20" ht="15" customHeight="1" thickBot="1" x14ac:dyDescent="0.3">
      <c r="A198" s="4" t="s">
        <v>238</v>
      </c>
      <c r="B198" s="468"/>
      <c r="C198" s="47"/>
      <c r="F198" s="139"/>
      <c r="G198" s="131"/>
      <c r="H198" s="151"/>
      <c r="I198" s="152"/>
      <c r="K198" s="4">
        <v>2460</v>
      </c>
      <c r="L198" s="15">
        <f t="shared" si="53"/>
        <v>0.874999999999999</v>
      </c>
      <c r="P198" s="91"/>
      <c r="Q198" s="69">
        <v>195</v>
      </c>
      <c r="R198" s="70">
        <f t="shared" si="55"/>
        <v>0.62187499999999896</v>
      </c>
      <c r="S198" s="392">
        <f t="shared" si="54"/>
        <v>0.59409722222222106</v>
      </c>
      <c r="T198" s="640"/>
    </row>
    <row r="199" spans="1:20" ht="15" customHeight="1" thickBot="1" x14ac:dyDescent="0.3">
      <c r="A199" s="4" t="s">
        <v>268</v>
      </c>
      <c r="B199" s="467">
        <v>1</v>
      </c>
      <c r="C199" s="47"/>
      <c r="F199" s="127" t="s">
        <v>269</v>
      </c>
      <c r="G199" s="128" t="s">
        <v>260</v>
      </c>
      <c r="H199" s="153" t="s">
        <v>236</v>
      </c>
      <c r="I199" s="153" t="s">
        <v>257</v>
      </c>
      <c r="K199" s="14"/>
      <c r="P199" s="91"/>
      <c r="Q199" s="69">
        <v>196</v>
      </c>
      <c r="R199" s="70">
        <f t="shared" si="55"/>
        <v>0.624999999999999</v>
      </c>
      <c r="S199" s="392">
        <f t="shared" si="54"/>
        <v>0.59722222222222099</v>
      </c>
      <c r="T199" s="640"/>
    </row>
    <row r="200" spans="1:20" ht="14.65" customHeight="1" x14ac:dyDescent="0.25">
      <c r="A200" s="4" t="s">
        <v>270</v>
      </c>
      <c r="B200" s="115"/>
      <c r="C200" s="47"/>
      <c r="F200" s="140" t="s">
        <v>271</v>
      </c>
      <c r="G200" s="130">
        <f>G193</f>
        <v>0</v>
      </c>
      <c r="H200" s="148" t="e">
        <f>I200/G200</f>
        <v>#DIV/0!</v>
      </c>
      <c r="I200" s="154">
        <f>B204</f>
        <v>0</v>
      </c>
      <c r="K200" s="4">
        <v>2480</v>
      </c>
      <c r="L200" s="15">
        <f t="shared" ref="L200:L263" si="56">$L$6+(((K200-$K$6)/10)*$M$2)</f>
        <v>0.88194444444444398</v>
      </c>
      <c r="P200" s="91"/>
      <c r="Q200" s="69">
        <v>197</v>
      </c>
      <c r="R200" s="70">
        <f t="shared" si="55"/>
        <v>0.62812499999999905</v>
      </c>
      <c r="S200" s="392">
        <f t="shared" si="54"/>
        <v>0.60034722222222103</v>
      </c>
      <c r="T200" s="640"/>
    </row>
    <row r="201" spans="1:20" ht="15" customHeight="1" thickBot="1" x14ac:dyDescent="0.3">
      <c r="A201" s="376"/>
      <c r="B201" s="376"/>
      <c r="C201" s="3" t="s">
        <v>271</v>
      </c>
      <c r="D201" s="115"/>
      <c r="F201" s="137" t="s">
        <v>272</v>
      </c>
      <c r="G201" s="130">
        <v>1</v>
      </c>
      <c r="H201" s="148">
        <f>I201/G201</f>
        <v>0</v>
      </c>
      <c r="I201" s="148">
        <f>D174</f>
        <v>0</v>
      </c>
      <c r="K201" s="4">
        <v>2490</v>
      </c>
      <c r="L201" s="15">
        <f t="shared" si="56"/>
        <v>0.88541666666666596</v>
      </c>
      <c r="P201" s="91"/>
      <c r="Q201" s="69">
        <v>198</v>
      </c>
      <c r="R201" s="70">
        <f t="shared" si="55"/>
        <v>0.63124999999999898</v>
      </c>
      <c r="S201" s="392">
        <f t="shared" si="54"/>
        <v>0.60347222222222097</v>
      </c>
      <c r="T201" s="640"/>
    </row>
    <row r="202" spans="1:20" ht="14.65" customHeight="1" x14ac:dyDescent="0.25">
      <c r="A202" s="175" t="s">
        <v>273</v>
      </c>
      <c r="B202" s="378">
        <f>IF(B204&gt;0,1,0)</f>
        <v>0</v>
      </c>
      <c r="C202" s="374" t="s">
        <v>274</v>
      </c>
      <c r="D202" s="357">
        <f>final!F18</f>
        <v>0.25</v>
      </c>
      <c r="F202" s="141" t="s">
        <v>275</v>
      </c>
      <c r="G202" s="130">
        <v>1</v>
      </c>
      <c r="H202" s="148">
        <f>I202/G202</f>
        <v>0</v>
      </c>
      <c r="I202" s="155">
        <f>B203</f>
        <v>0</v>
      </c>
      <c r="K202" s="4">
        <v>2500</v>
      </c>
      <c r="L202" s="15">
        <f t="shared" si="56"/>
        <v>0.88888888888888795</v>
      </c>
      <c r="P202" s="91"/>
      <c r="Q202" s="69">
        <v>199</v>
      </c>
      <c r="R202" s="70">
        <f t="shared" si="55"/>
        <v>0.63437499999999902</v>
      </c>
      <c r="S202" s="392">
        <f t="shared" si="54"/>
        <v>0.60659722222222101</v>
      </c>
      <c r="T202" s="640"/>
    </row>
    <row r="203" spans="1:20" ht="15" customHeight="1" thickBot="1" x14ac:dyDescent="0.3">
      <c r="A203" s="5" t="s">
        <v>276</v>
      </c>
      <c r="B203" s="353">
        <f>B202*100</f>
        <v>0</v>
      </c>
      <c r="C203" s="375" t="s">
        <v>277</v>
      </c>
      <c r="D203" s="4">
        <f>D202*D201</f>
        <v>0</v>
      </c>
      <c r="F203" s="138" t="s">
        <v>265</v>
      </c>
      <c r="G203" s="130">
        <f>G200</f>
        <v>0</v>
      </c>
      <c r="H203" s="148" t="e">
        <f>I203/G203</f>
        <v>#DIV/0!</v>
      </c>
      <c r="I203" s="156">
        <f>SUM(I200:I202)</f>
        <v>0</v>
      </c>
      <c r="K203" s="4">
        <v>2510</v>
      </c>
      <c r="L203" s="15">
        <f t="shared" si="56"/>
        <v>0.89236111111111005</v>
      </c>
      <c r="P203" s="91"/>
      <c r="Q203" s="69">
        <v>200</v>
      </c>
      <c r="R203" s="70">
        <f t="shared" si="55"/>
        <v>0.63749999999999896</v>
      </c>
      <c r="S203" s="392">
        <f t="shared" si="54"/>
        <v>0.60972222222222106</v>
      </c>
      <c r="T203" s="641"/>
    </row>
    <row r="204" spans="1:20" ht="15" customHeight="1" thickBot="1" x14ac:dyDescent="0.3">
      <c r="A204" s="10" t="s">
        <v>278</v>
      </c>
      <c r="B204" s="379">
        <f>D204</f>
        <v>0</v>
      </c>
      <c r="C204" s="375" t="s">
        <v>279</v>
      </c>
      <c r="D204" s="4">
        <f>D203+D201</f>
        <v>0</v>
      </c>
      <c r="F204" s="141" t="s">
        <v>280</v>
      </c>
      <c r="G204" s="132">
        <f>G203</f>
        <v>0</v>
      </c>
      <c r="H204" s="179" t="e">
        <f>I204/G204</f>
        <v>#DIV/0!</v>
      </c>
      <c r="I204" s="155">
        <f>I200+I202</f>
        <v>0</v>
      </c>
      <c r="K204" s="4">
        <v>2520</v>
      </c>
      <c r="L204" s="15">
        <f t="shared" si="56"/>
        <v>0.89583333333333304</v>
      </c>
    </row>
    <row r="205" spans="1:20" ht="15" customHeight="1" thickBot="1" x14ac:dyDescent="0.3">
      <c r="A205" s="1" t="s">
        <v>272</v>
      </c>
      <c r="B205" s="377"/>
      <c r="F205" s="142"/>
      <c r="G205" s="133"/>
      <c r="H205" s="157"/>
      <c r="I205" s="158"/>
      <c r="K205" s="4">
        <v>2530</v>
      </c>
      <c r="L205" s="15">
        <f t="shared" si="56"/>
        <v>0.89930555555555503</v>
      </c>
    </row>
    <row r="206" spans="1:20" ht="15" customHeight="1" thickBot="1" x14ac:dyDescent="0.3">
      <c r="A206" s="171"/>
      <c r="B206" s="171"/>
      <c r="C206" s="3" t="s">
        <v>285</v>
      </c>
      <c r="D206" s="115"/>
      <c r="F206" s="127" t="s">
        <v>281</v>
      </c>
      <c r="G206" s="128" t="s">
        <v>260</v>
      </c>
      <c r="H206" s="153" t="s">
        <v>236</v>
      </c>
      <c r="I206" s="153" t="s">
        <v>257</v>
      </c>
      <c r="K206" s="4">
        <v>2540</v>
      </c>
      <c r="L206" s="15">
        <f t="shared" si="56"/>
        <v>0.90277777777777701</v>
      </c>
    </row>
    <row r="207" spans="1:20" x14ac:dyDescent="0.25">
      <c r="A207" s="4" t="s">
        <v>282</v>
      </c>
      <c r="B207" s="356">
        <f>IF(B209&gt;0,1,0)</f>
        <v>0</v>
      </c>
      <c r="C207" t="s">
        <v>403</v>
      </c>
      <c r="D207">
        <v>200</v>
      </c>
      <c r="F207" s="140" t="s">
        <v>281</v>
      </c>
      <c r="G207" s="135">
        <v>1</v>
      </c>
      <c r="H207" s="147">
        <f>B209</f>
        <v>0</v>
      </c>
      <c r="I207" s="154">
        <f>B209</f>
        <v>0</v>
      </c>
      <c r="K207" s="4">
        <v>2550</v>
      </c>
      <c r="L207" s="15">
        <f t="shared" si="56"/>
        <v>0.906249999999999</v>
      </c>
    </row>
    <row r="208" spans="1:20" ht="15" customHeight="1" thickBot="1" x14ac:dyDescent="0.3">
      <c r="A208" s="4" t="s">
        <v>283</v>
      </c>
      <c r="B208" s="125">
        <f>(150+(3.5*E8))*B207</f>
        <v>0</v>
      </c>
      <c r="C208" s="488" t="s">
        <v>274</v>
      </c>
      <c r="D208" s="489">
        <f>final!$H$18</f>
        <v>0.25</v>
      </c>
      <c r="F208" s="141" t="s">
        <v>284</v>
      </c>
      <c r="G208" s="144">
        <v>1</v>
      </c>
      <c r="H208" s="159">
        <f>B208</f>
        <v>0</v>
      </c>
      <c r="I208" s="155">
        <f>B208</f>
        <v>0</v>
      </c>
      <c r="K208" s="4">
        <v>2560</v>
      </c>
      <c r="L208" s="15">
        <f t="shared" si="56"/>
        <v>0.90972222222222199</v>
      </c>
    </row>
    <row r="209" spans="1:12" ht="15" customHeight="1" thickBot="1" x14ac:dyDescent="0.3">
      <c r="A209" s="4" t="s">
        <v>285</v>
      </c>
      <c r="B209" s="485">
        <f>D210</f>
        <v>0</v>
      </c>
      <c r="C209" s="4" t="s">
        <v>277</v>
      </c>
      <c r="D209" s="4">
        <f>SUM(D206:D207)*D208</f>
        <v>50</v>
      </c>
      <c r="F209" s="126" t="s">
        <v>257</v>
      </c>
      <c r="G209" s="143">
        <f>E4</f>
        <v>0</v>
      </c>
      <c r="H209" s="160" t="e">
        <f>I209/G209</f>
        <v>#DIV/0!</v>
      </c>
      <c r="I209" s="160">
        <f>I207+I208</f>
        <v>0</v>
      </c>
      <c r="K209" s="4">
        <v>2570</v>
      </c>
      <c r="L209" s="15">
        <f t="shared" si="56"/>
        <v>0.91319444444444398</v>
      </c>
    </row>
    <row r="210" spans="1:12" ht="15" customHeight="1" thickBot="1" x14ac:dyDescent="0.3">
      <c r="A210" s="171"/>
      <c r="B210" s="171"/>
      <c r="C210" s="3" t="s">
        <v>257</v>
      </c>
      <c r="D210" s="4">
        <f>IF(D206&lt;1,0,SUM(D206,D207,D209))</f>
        <v>0</v>
      </c>
      <c r="F210" s="142"/>
      <c r="G210" s="134"/>
      <c r="H210" s="158"/>
      <c r="I210" s="158"/>
      <c r="K210" s="4">
        <v>2580</v>
      </c>
      <c r="L210" s="15">
        <f t="shared" si="56"/>
        <v>0.91666666666666596</v>
      </c>
    </row>
    <row r="211" spans="1:12" ht="15" customHeight="1" thickBot="1" x14ac:dyDescent="0.3">
      <c r="A211" s="4" t="s">
        <v>340</v>
      </c>
      <c r="B211" s="172"/>
      <c r="C211" s="47"/>
      <c r="F211" s="173" t="s">
        <v>286</v>
      </c>
      <c r="G211" s="124" t="s">
        <v>260</v>
      </c>
      <c r="H211" s="174" t="s">
        <v>236</v>
      </c>
      <c r="I211" s="174" t="s">
        <v>257</v>
      </c>
      <c r="K211" s="4">
        <v>2590</v>
      </c>
      <c r="L211" s="15">
        <f t="shared" si="56"/>
        <v>0.92013888888888795</v>
      </c>
    </row>
    <row r="212" spans="1:12" x14ac:dyDescent="0.25">
      <c r="A212" s="4" t="s">
        <v>287</v>
      </c>
      <c r="B212" s="162"/>
      <c r="C212" s="47"/>
      <c r="F212" s="175" t="s">
        <v>288</v>
      </c>
      <c r="G212" s="176">
        <f>E4</f>
        <v>0</v>
      </c>
      <c r="H212" s="180">
        <f>B211</f>
        <v>0</v>
      </c>
      <c r="I212" s="177">
        <f>H212*G212</f>
        <v>0</v>
      </c>
      <c r="K212" s="4">
        <v>2600</v>
      </c>
      <c r="L212" s="15">
        <f t="shared" si="56"/>
        <v>0.92361111111111005</v>
      </c>
    </row>
    <row r="213" spans="1:12" ht="15" customHeight="1" thickBot="1" x14ac:dyDescent="0.3">
      <c r="A213" t="s">
        <v>256</v>
      </c>
      <c r="B213" s="183"/>
      <c r="F213" s="278" t="s">
        <v>287</v>
      </c>
      <c r="G213" s="279">
        <f>IF(B212&gt;1,"1",0)</f>
        <v>0</v>
      </c>
      <c r="H213" s="280">
        <f>B212</f>
        <v>0</v>
      </c>
      <c r="I213" s="342">
        <f>G213*H213</f>
        <v>0</v>
      </c>
      <c r="K213" s="4">
        <v>2610</v>
      </c>
      <c r="L213" s="15">
        <f t="shared" si="56"/>
        <v>0.92708333333333304</v>
      </c>
    </row>
    <row r="214" spans="1:12" ht="15" customHeight="1" thickBot="1" x14ac:dyDescent="0.3">
      <c r="A214" s="30"/>
      <c r="B214" s="30"/>
      <c r="F214" s="127" t="s">
        <v>257</v>
      </c>
      <c r="G214" s="143"/>
      <c r="H214" s="160"/>
      <c r="I214" s="281">
        <f>I212+I213</f>
        <v>0</v>
      </c>
      <c r="K214" s="4">
        <v>2620</v>
      </c>
      <c r="L214" s="15">
        <f t="shared" si="56"/>
        <v>0.93055555555555503</v>
      </c>
    </row>
    <row r="215" spans="1:12" x14ac:dyDescent="0.25">
      <c r="A215" s="175" t="s">
        <v>289</v>
      </c>
      <c r="B215" s="48" t="str">
        <f>IF(AND(B209=0,D201=0),B216,IF(AND(B209&gt;0,D201&gt;0),B217,B218))</f>
        <v>Assembly only</v>
      </c>
      <c r="F215" s="145" t="s">
        <v>265</v>
      </c>
      <c r="G215" s="129">
        <f>G207</f>
        <v>1</v>
      </c>
      <c r="H215" s="146" t="e">
        <f>I215/G215</f>
        <v>#DIV/0!</v>
      </c>
      <c r="I215" s="146" t="e">
        <f>I196+I203+I209+I214</f>
        <v>#DIV/0!</v>
      </c>
      <c r="K215" s="4">
        <v>2630</v>
      </c>
      <c r="L215" s="15">
        <f t="shared" si="56"/>
        <v>0.93402777777777701</v>
      </c>
    </row>
    <row r="216" spans="1:12" ht="15" customHeight="1" thickBot="1" x14ac:dyDescent="0.3">
      <c r="A216" s="5" t="s">
        <v>291</v>
      </c>
      <c r="B216" s="6" t="s">
        <v>292</v>
      </c>
      <c r="C216" t="s">
        <v>302</v>
      </c>
      <c r="F216" s="181" t="s">
        <v>293</v>
      </c>
      <c r="G216" s="144">
        <f>G215</f>
        <v>1</v>
      </c>
      <c r="H216" s="159" t="e">
        <f>I216/G216</f>
        <v>#DIV/0!</v>
      </c>
      <c r="I216" s="182" t="e">
        <f>I197+I204+I209+I212</f>
        <v>#DIV/0!</v>
      </c>
      <c r="K216" s="4">
        <v>2640</v>
      </c>
      <c r="L216" s="15">
        <f t="shared" si="56"/>
        <v>0.937499999999999</v>
      </c>
    </row>
    <row r="217" spans="1:12" ht="15" customHeight="1" thickBot="1" x14ac:dyDescent="0.3">
      <c r="A217" s="5" t="s">
        <v>294</v>
      </c>
      <c r="B217" s="6" t="s">
        <v>290</v>
      </c>
      <c r="C217" t="s">
        <v>303</v>
      </c>
      <c r="F217" s="282" t="s">
        <v>236</v>
      </c>
      <c r="G217" s="321">
        <f>G212</f>
        <v>0</v>
      </c>
      <c r="H217" s="283" t="e">
        <f>H193+H204+H209+H212</f>
        <v>#DIV/0!</v>
      </c>
      <c r="I217" s="284" t="e">
        <f>H217*G217</f>
        <v>#DIV/0!</v>
      </c>
      <c r="K217" s="4">
        <v>2650</v>
      </c>
      <c r="L217" s="15">
        <f t="shared" si="56"/>
        <v>0.94097222222222199</v>
      </c>
    </row>
    <row r="218" spans="1:12" ht="15" customHeight="1" thickBot="1" x14ac:dyDescent="0.3">
      <c r="A218" s="10" t="s">
        <v>295</v>
      </c>
      <c r="B218" s="22" t="s">
        <v>295</v>
      </c>
      <c r="C218" t="s">
        <v>303</v>
      </c>
      <c r="F218" s="285"/>
      <c r="G218" s="285"/>
      <c r="H218" s="285"/>
      <c r="I218" s="285"/>
      <c r="K218" s="4">
        <v>2660</v>
      </c>
      <c r="L218" s="15">
        <f t="shared" si="56"/>
        <v>0.94444444444444398</v>
      </c>
    </row>
    <row r="219" spans="1:12" ht="15" customHeight="1" thickBot="1" x14ac:dyDescent="0.3">
      <c r="F219" s="286" t="s">
        <v>296</v>
      </c>
      <c r="G219" s="287">
        <f>I204+I209+I212+I213</f>
        <v>0</v>
      </c>
      <c r="H219" s="285"/>
      <c r="I219" s="285"/>
      <c r="K219" s="4">
        <v>2670</v>
      </c>
      <c r="L219" s="15">
        <f t="shared" si="56"/>
        <v>0.94791666666666596</v>
      </c>
    </row>
    <row r="220" spans="1:12" x14ac:dyDescent="0.25">
      <c r="C220" s="424"/>
      <c r="K220" s="4">
        <v>2680</v>
      </c>
      <c r="L220" s="15">
        <f t="shared" si="56"/>
        <v>0.95138888888888795</v>
      </c>
    </row>
    <row r="221" spans="1:12" x14ac:dyDescent="0.25">
      <c r="K221" s="4">
        <v>2690</v>
      </c>
      <c r="L221" s="15">
        <f t="shared" si="56"/>
        <v>0.95486111111111005</v>
      </c>
    </row>
    <row r="222" spans="1:12" x14ac:dyDescent="0.25">
      <c r="K222" s="4">
        <v>2700</v>
      </c>
      <c r="L222" s="15">
        <f t="shared" si="56"/>
        <v>0.95833333333333304</v>
      </c>
    </row>
    <row r="223" spans="1:12" x14ac:dyDescent="0.25">
      <c r="K223" s="4">
        <v>2710</v>
      </c>
      <c r="L223" s="15">
        <f t="shared" si="56"/>
        <v>0.96180555555555503</v>
      </c>
    </row>
    <row r="224" spans="1:12" x14ac:dyDescent="0.25">
      <c r="K224" s="4">
        <v>2720</v>
      </c>
      <c r="L224" s="15">
        <f t="shared" si="56"/>
        <v>0.96527777777777701</v>
      </c>
    </row>
    <row r="225" spans="1:12" x14ac:dyDescent="0.25">
      <c r="K225" s="4">
        <v>2730</v>
      </c>
      <c r="L225" s="15">
        <f t="shared" si="56"/>
        <v>0.968749999999999</v>
      </c>
    </row>
    <row r="226" spans="1:12" x14ac:dyDescent="0.25">
      <c r="K226" s="4">
        <v>2740</v>
      </c>
      <c r="L226" s="15">
        <f t="shared" si="56"/>
        <v>0.97222222222222199</v>
      </c>
    </row>
    <row r="227" spans="1:12" x14ac:dyDescent="0.25">
      <c r="K227" s="4">
        <v>2750</v>
      </c>
      <c r="L227" s="15">
        <f t="shared" si="56"/>
        <v>0.97569444444444398</v>
      </c>
    </row>
    <row r="228" spans="1:12" x14ac:dyDescent="0.25">
      <c r="K228" s="4">
        <v>2760</v>
      </c>
      <c r="L228" s="15">
        <f t="shared" si="56"/>
        <v>0.97916666666666596</v>
      </c>
    </row>
    <row r="229" spans="1:12" x14ac:dyDescent="0.25">
      <c r="K229" s="4">
        <v>2770</v>
      </c>
      <c r="L229" s="15">
        <f t="shared" si="56"/>
        <v>0.98263888888888795</v>
      </c>
    </row>
    <row r="230" spans="1:12" x14ac:dyDescent="0.25">
      <c r="A230" s="47"/>
      <c r="B230" s="47"/>
      <c r="C230" s="4" t="s">
        <v>383</v>
      </c>
      <c r="D230" s="3" t="s">
        <v>364</v>
      </c>
      <c r="E230" s="222"/>
      <c r="F230" s="222" t="s">
        <v>365</v>
      </c>
      <c r="G230" s="222"/>
      <c r="H230" s="47"/>
      <c r="K230" s="4">
        <v>2780</v>
      </c>
      <c r="L230" s="15">
        <f t="shared" si="56"/>
        <v>0.98611111111111005</v>
      </c>
    </row>
    <row r="231" spans="1:12" x14ac:dyDescent="0.25">
      <c r="A231" s="3" t="s">
        <v>366</v>
      </c>
      <c r="B231" s="3" t="s">
        <v>381</v>
      </c>
      <c r="C231" s="481">
        <v>1.5</v>
      </c>
      <c r="D231" s="3">
        <f>C231*60</f>
        <v>90</v>
      </c>
      <c r="E231" s="3">
        <f>D231/60</f>
        <v>1.5</v>
      </c>
      <c r="F231" s="474">
        <v>40</v>
      </c>
      <c r="G231" s="125">
        <f>F231*E231</f>
        <v>60</v>
      </c>
      <c r="H231" s="3" t="s">
        <v>367</v>
      </c>
      <c r="K231" s="4">
        <v>2790</v>
      </c>
      <c r="L231" s="15">
        <f t="shared" si="56"/>
        <v>0.98958333333333304</v>
      </c>
    </row>
    <row r="232" spans="1:12" x14ac:dyDescent="0.25">
      <c r="A232" s="3" t="s">
        <v>368</v>
      </c>
      <c r="B232" s="3" t="s">
        <v>369</v>
      </c>
      <c r="C232" s="4">
        <f>E8*3</f>
        <v>0</v>
      </c>
      <c r="D232" s="3">
        <f>C232</f>
        <v>0</v>
      </c>
      <c r="E232" s="3">
        <f t="shared" ref="E232:E237" si="57">D232/60</f>
        <v>0</v>
      </c>
      <c r="F232" s="475">
        <v>60</v>
      </c>
      <c r="G232" s="125">
        <f t="shared" ref="G232:G237" si="58">F232*E232</f>
        <v>0</v>
      </c>
      <c r="H232" s="3" t="s">
        <v>367</v>
      </c>
      <c r="K232" s="4">
        <v>2800</v>
      </c>
      <c r="L232" s="15">
        <f t="shared" si="56"/>
        <v>0.99305555555555503</v>
      </c>
    </row>
    <row r="233" spans="1:12" x14ac:dyDescent="0.25">
      <c r="A233" s="476" t="s">
        <v>372</v>
      </c>
      <c r="B233" s="3" t="s">
        <v>368</v>
      </c>
      <c r="C233" s="391">
        <f>B10*24</f>
        <v>0</v>
      </c>
      <c r="D233" s="3">
        <f>C233*60</f>
        <v>0</v>
      </c>
      <c r="E233" s="3">
        <f>D233/60</f>
        <v>0</v>
      </c>
      <c r="F233" s="474">
        <v>63</v>
      </c>
      <c r="G233" s="125">
        <f t="shared" si="58"/>
        <v>0</v>
      </c>
      <c r="H233" s="3" t="s">
        <v>373</v>
      </c>
      <c r="K233" s="4">
        <v>2810</v>
      </c>
      <c r="L233" s="15">
        <f t="shared" si="56"/>
        <v>0.99652777777777701</v>
      </c>
    </row>
    <row r="234" spans="1:12" x14ac:dyDescent="0.25">
      <c r="A234" s="476" t="s">
        <v>14</v>
      </c>
      <c r="B234" s="3" t="s">
        <v>370</v>
      </c>
      <c r="C234" s="380">
        <f>B26*24</f>
        <v>0.75</v>
      </c>
      <c r="D234" s="482">
        <f>C234*60</f>
        <v>45</v>
      </c>
      <c r="E234" s="3">
        <f t="shared" si="57"/>
        <v>0.75</v>
      </c>
      <c r="F234" s="474">
        <v>35</v>
      </c>
      <c r="G234" s="125">
        <f t="shared" si="58"/>
        <v>26.25</v>
      </c>
      <c r="H234" s="3" t="s">
        <v>373</v>
      </c>
      <c r="K234" s="4">
        <v>2820</v>
      </c>
      <c r="L234" s="15">
        <f t="shared" si="56"/>
        <v>0.999999999999999</v>
      </c>
    </row>
    <row r="235" spans="1:12" x14ac:dyDescent="0.25">
      <c r="A235" s="476" t="s">
        <v>219</v>
      </c>
      <c r="B235" s="3" t="s">
        <v>374</v>
      </c>
      <c r="C235" s="394">
        <f>C89</f>
        <v>0.33</v>
      </c>
      <c r="D235" s="482">
        <f>C235*60</f>
        <v>19.8</v>
      </c>
      <c r="E235" s="3">
        <f t="shared" si="57"/>
        <v>0.33</v>
      </c>
      <c r="F235" s="475">
        <v>45</v>
      </c>
      <c r="G235" s="125">
        <f t="shared" si="58"/>
        <v>14.85</v>
      </c>
      <c r="H235" s="3" t="s">
        <v>373</v>
      </c>
      <c r="K235" s="4">
        <v>2830</v>
      </c>
      <c r="L235" s="15">
        <f t="shared" si="56"/>
        <v>1.0034722222222201</v>
      </c>
    </row>
    <row r="236" spans="1:12" x14ac:dyDescent="0.25">
      <c r="A236" s="476" t="s">
        <v>375</v>
      </c>
      <c r="B236" s="3" t="s">
        <v>376</v>
      </c>
      <c r="C236" s="394" t="e">
        <f>C102+C137</f>
        <v>#DIV/0!</v>
      </c>
      <c r="D236" s="482" t="e">
        <f>C236*60</f>
        <v>#DIV/0!</v>
      </c>
      <c r="E236" s="3" t="e">
        <f t="shared" si="57"/>
        <v>#DIV/0!</v>
      </c>
      <c r="F236" s="474">
        <v>35</v>
      </c>
      <c r="G236" s="125" t="e">
        <f t="shared" si="58"/>
        <v>#DIV/0!</v>
      </c>
      <c r="H236" s="3" t="s">
        <v>371</v>
      </c>
      <c r="K236" s="4">
        <v>2840</v>
      </c>
      <c r="L236" s="15">
        <f t="shared" si="56"/>
        <v>1.00694444444444</v>
      </c>
    </row>
    <row r="237" spans="1:12" x14ac:dyDescent="0.25">
      <c r="A237" s="476" t="s">
        <v>382</v>
      </c>
      <c r="B237" s="3" t="s">
        <v>370</v>
      </c>
      <c r="C237" s="483">
        <f>C146+C128+C110</f>
        <v>0.66</v>
      </c>
      <c r="D237" s="482">
        <f>C237*60</f>
        <v>39.6</v>
      </c>
      <c r="E237" s="3">
        <f t="shared" si="57"/>
        <v>0.66</v>
      </c>
      <c r="F237" s="474">
        <v>35</v>
      </c>
      <c r="G237" s="125">
        <f t="shared" si="58"/>
        <v>23.1</v>
      </c>
      <c r="H237" s="3" t="s">
        <v>371</v>
      </c>
      <c r="K237" s="4">
        <v>2850</v>
      </c>
      <c r="L237" s="15">
        <f t="shared" si="56"/>
        <v>1.0104166666666701</v>
      </c>
    </row>
    <row r="238" spans="1:12" x14ac:dyDescent="0.25">
      <c r="A238" s="3" t="s">
        <v>257</v>
      </c>
      <c r="B238" s="3"/>
      <c r="C238" s="49" t="e">
        <f>SUM(C231:C237)</f>
        <v>#DIV/0!</v>
      </c>
      <c r="D238" s="421" t="e">
        <f>SUM(D231:D237)</f>
        <v>#DIV/0!</v>
      </c>
      <c r="E238" s="3"/>
      <c r="F238" s="3"/>
      <c r="G238" s="477" t="e">
        <f>SUM(G231:G237)</f>
        <v>#DIV/0!</v>
      </c>
      <c r="H238" s="3"/>
      <c r="K238" s="4">
        <v>2860</v>
      </c>
      <c r="L238" s="15">
        <f t="shared" si="56"/>
        <v>1.0138888888888899</v>
      </c>
    </row>
    <row r="239" spans="1:12" x14ac:dyDescent="0.25">
      <c r="A239" s="47"/>
      <c r="B239" s="47"/>
      <c r="D239" s="105" t="e">
        <f>D238/60</f>
        <v>#DIV/0!</v>
      </c>
      <c r="E239" s="105" t="s">
        <v>377</v>
      </c>
      <c r="F239" s="478">
        <v>43</v>
      </c>
      <c r="G239" s="478" t="e">
        <f>D239*F239</f>
        <v>#DIV/0!</v>
      </c>
      <c r="H239" s="47"/>
      <c r="K239" s="4">
        <v>2870</v>
      </c>
      <c r="L239" s="15">
        <f t="shared" si="56"/>
        <v>1.0173611111111101</v>
      </c>
    </row>
    <row r="240" spans="1:12" x14ac:dyDescent="0.25">
      <c r="A240" s="47"/>
      <c r="D240" s="47"/>
      <c r="E240" s="47"/>
      <c r="F240" s="105" t="s">
        <v>378</v>
      </c>
      <c r="G240" s="479" t="e">
        <f>SUM(G238:G239)</f>
        <v>#DIV/0!</v>
      </c>
      <c r="H240" s="47"/>
      <c r="K240" s="4">
        <v>2880</v>
      </c>
      <c r="L240" s="15">
        <f t="shared" si="56"/>
        <v>1.0208333333333299</v>
      </c>
    </row>
    <row r="241" spans="4:12" x14ac:dyDescent="0.25">
      <c r="D241" s="47"/>
      <c r="E241" s="47"/>
      <c r="F241" s="115" t="s">
        <v>379</v>
      </c>
      <c r="G241" s="125" t="e">
        <f>D159</f>
        <v>#DIV/0!</v>
      </c>
      <c r="H241" s="47"/>
      <c r="K241" s="4">
        <v>2890</v>
      </c>
      <c r="L241" s="15">
        <f t="shared" si="56"/>
        <v>1.02430555555555</v>
      </c>
    </row>
    <row r="242" spans="4:12" x14ac:dyDescent="0.25">
      <c r="D242" s="47"/>
      <c r="E242" s="47"/>
      <c r="F242" s="3" t="s">
        <v>380</v>
      </c>
      <c r="G242" s="480" t="e">
        <f>(G241-G240)/G240</f>
        <v>#DIV/0!</v>
      </c>
      <c r="H242" s="47"/>
      <c r="K242" s="4">
        <v>2900</v>
      </c>
      <c r="L242" s="15">
        <f t="shared" si="56"/>
        <v>1.0277777777777799</v>
      </c>
    </row>
    <row r="243" spans="4:12" x14ac:dyDescent="0.25">
      <c r="F243" s="3" t="s">
        <v>384</v>
      </c>
      <c r="G243" s="484" t="e">
        <f>G241-G240</f>
        <v>#DIV/0!</v>
      </c>
      <c r="K243" s="4">
        <v>2910</v>
      </c>
      <c r="L243" s="15">
        <f t="shared" si="56"/>
        <v>1.03125</v>
      </c>
    </row>
    <row r="244" spans="4:12" x14ac:dyDescent="0.25">
      <c r="D244" s="47"/>
      <c r="E244" s="47"/>
      <c r="F244" s="47"/>
      <c r="G244" s="47"/>
      <c r="K244" s="4">
        <v>2920</v>
      </c>
      <c r="L244" s="15">
        <f t="shared" si="56"/>
        <v>1.0347222222222201</v>
      </c>
    </row>
    <row r="245" spans="4:12" x14ac:dyDescent="0.25">
      <c r="D245" s="47"/>
      <c r="E245" s="47"/>
      <c r="F245" s="47"/>
      <c r="G245" s="47"/>
      <c r="K245" s="4">
        <v>2930</v>
      </c>
      <c r="L245" s="15">
        <f t="shared" si="56"/>
        <v>1.03819444444444</v>
      </c>
    </row>
    <row r="246" spans="4:12" x14ac:dyDescent="0.25">
      <c r="K246" s="4">
        <v>2940</v>
      </c>
      <c r="L246" s="15">
        <f t="shared" si="56"/>
        <v>1.0416666666666701</v>
      </c>
    </row>
    <row r="247" spans="4:12" x14ac:dyDescent="0.25">
      <c r="K247" s="4">
        <v>2950</v>
      </c>
      <c r="L247" s="15">
        <f t="shared" si="56"/>
        <v>1.0451388888888899</v>
      </c>
    </row>
    <row r="248" spans="4:12" x14ac:dyDescent="0.25">
      <c r="K248" s="4">
        <v>2960</v>
      </c>
      <c r="L248" s="15">
        <f t="shared" si="56"/>
        <v>1.0486111111111101</v>
      </c>
    </row>
    <row r="249" spans="4:12" x14ac:dyDescent="0.25">
      <c r="K249" s="4">
        <v>2970</v>
      </c>
      <c r="L249" s="15">
        <f t="shared" si="56"/>
        <v>1.0520833333333299</v>
      </c>
    </row>
    <row r="250" spans="4:12" ht="15" customHeight="1" x14ac:dyDescent="0.25">
      <c r="K250" s="4">
        <v>2980</v>
      </c>
      <c r="L250" s="15">
        <f t="shared" si="56"/>
        <v>1.05555555555555</v>
      </c>
    </row>
    <row r="251" spans="4:12" ht="15" customHeight="1" x14ac:dyDescent="0.25">
      <c r="K251" s="4">
        <v>2990</v>
      </c>
      <c r="L251" s="15">
        <f t="shared" si="56"/>
        <v>1.0590277777777799</v>
      </c>
    </row>
    <row r="252" spans="4:12" x14ac:dyDescent="0.25">
      <c r="K252" s="4">
        <v>3000</v>
      </c>
      <c r="L252" s="15">
        <f t="shared" si="56"/>
        <v>1.0625</v>
      </c>
    </row>
    <row r="253" spans="4:12" x14ac:dyDescent="0.25">
      <c r="K253" s="4">
        <v>3010</v>
      </c>
      <c r="L253" s="15">
        <f t="shared" si="56"/>
        <v>1.0659722222222201</v>
      </c>
    </row>
    <row r="254" spans="4:12" x14ac:dyDescent="0.25">
      <c r="K254" s="4">
        <v>3020</v>
      </c>
      <c r="L254" s="15">
        <f t="shared" si="56"/>
        <v>1.06944444444444</v>
      </c>
    </row>
    <row r="255" spans="4:12" x14ac:dyDescent="0.25">
      <c r="K255" s="4">
        <v>3030</v>
      </c>
      <c r="L255" s="15">
        <f t="shared" si="56"/>
        <v>1.0729166666666701</v>
      </c>
    </row>
    <row r="256" spans="4:12" x14ac:dyDescent="0.25">
      <c r="K256" s="4">
        <v>3040</v>
      </c>
      <c r="L256" s="15">
        <f t="shared" si="56"/>
        <v>1.0763888888888899</v>
      </c>
    </row>
    <row r="257" spans="11:16" x14ac:dyDescent="0.25">
      <c r="K257" s="4">
        <v>3050</v>
      </c>
      <c r="L257" s="15">
        <f t="shared" si="56"/>
        <v>1.0798611111111101</v>
      </c>
    </row>
    <row r="258" spans="11:16" x14ac:dyDescent="0.25">
      <c r="K258" s="4">
        <v>3060</v>
      </c>
      <c r="L258" s="15">
        <f t="shared" si="56"/>
        <v>1.0833333333333299</v>
      </c>
    </row>
    <row r="259" spans="11:16" x14ac:dyDescent="0.25">
      <c r="K259" s="4">
        <v>3070</v>
      </c>
      <c r="L259" s="15">
        <f t="shared" si="56"/>
        <v>1.08680555555555</v>
      </c>
    </row>
    <row r="260" spans="11:16" x14ac:dyDescent="0.25">
      <c r="K260" s="4">
        <v>3080</v>
      </c>
      <c r="L260" s="15">
        <f t="shared" si="56"/>
        <v>1.0902777777777799</v>
      </c>
    </row>
    <row r="261" spans="11:16" x14ac:dyDescent="0.25">
      <c r="K261" s="4">
        <v>3090</v>
      </c>
      <c r="L261" s="15">
        <f t="shared" si="56"/>
        <v>1.09375</v>
      </c>
    </row>
    <row r="262" spans="11:16" x14ac:dyDescent="0.25">
      <c r="K262" s="4">
        <v>3100</v>
      </c>
      <c r="L262" s="15">
        <f t="shared" si="56"/>
        <v>1.0972222222222201</v>
      </c>
    </row>
    <row r="263" spans="11:16" x14ac:dyDescent="0.25">
      <c r="K263" s="4">
        <v>3110</v>
      </c>
      <c r="L263" s="15">
        <f t="shared" si="56"/>
        <v>1.10069444444444</v>
      </c>
    </row>
    <row r="264" spans="11:16" x14ac:dyDescent="0.25">
      <c r="K264" s="4">
        <v>3120</v>
      </c>
      <c r="L264" s="15">
        <f t="shared" ref="L264:L327" si="59">$L$6+(((K264-$K$6)/10)*$M$2)</f>
        <v>1.1041666666666701</v>
      </c>
    </row>
    <row r="265" spans="11:16" x14ac:dyDescent="0.25">
      <c r="K265" s="4">
        <v>3130</v>
      </c>
      <c r="L265" s="15">
        <f t="shared" si="59"/>
        <v>1.1076388888888899</v>
      </c>
      <c r="P265" s="14"/>
    </row>
    <row r="266" spans="11:16" x14ac:dyDescent="0.25">
      <c r="K266" s="4">
        <v>3140</v>
      </c>
      <c r="L266" s="15">
        <f t="shared" si="59"/>
        <v>1.1111111111111101</v>
      </c>
      <c r="P266" s="14"/>
    </row>
    <row r="267" spans="11:16" x14ac:dyDescent="0.25">
      <c r="K267" s="4">
        <v>3150</v>
      </c>
      <c r="L267" s="15">
        <f t="shared" si="59"/>
        <v>1.1145833333333299</v>
      </c>
      <c r="P267" s="14"/>
    </row>
    <row r="268" spans="11:16" x14ac:dyDescent="0.25">
      <c r="K268" s="4">
        <v>3160</v>
      </c>
      <c r="L268" s="15">
        <f t="shared" si="59"/>
        <v>1.11805555555555</v>
      </c>
    </row>
    <row r="269" spans="11:16" x14ac:dyDescent="0.25">
      <c r="K269" s="4">
        <v>3170</v>
      </c>
      <c r="L269" s="15">
        <f t="shared" si="59"/>
        <v>1.1215277777777799</v>
      </c>
    </row>
    <row r="270" spans="11:16" x14ac:dyDescent="0.25">
      <c r="K270" s="4">
        <v>3180</v>
      </c>
      <c r="L270" s="15">
        <f t="shared" si="59"/>
        <v>1.125</v>
      </c>
    </row>
    <row r="271" spans="11:16" x14ac:dyDescent="0.25">
      <c r="K271" s="4">
        <v>3190</v>
      </c>
      <c r="L271" s="15">
        <f t="shared" si="59"/>
        <v>1.1284722222222201</v>
      </c>
    </row>
    <row r="272" spans="11:16" x14ac:dyDescent="0.25">
      <c r="K272" s="4">
        <v>3200</v>
      </c>
      <c r="L272" s="15">
        <f t="shared" si="59"/>
        <v>1.13194444444444</v>
      </c>
    </row>
    <row r="273" spans="11:12" x14ac:dyDescent="0.25">
      <c r="K273" s="4">
        <v>3210</v>
      </c>
      <c r="L273" s="15">
        <f t="shared" si="59"/>
        <v>1.1354166666666701</v>
      </c>
    </row>
    <row r="274" spans="11:12" x14ac:dyDescent="0.25">
      <c r="K274" s="4">
        <v>3220</v>
      </c>
      <c r="L274" s="15">
        <f t="shared" si="59"/>
        <v>1.1388888888888899</v>
      </c>
    </row>
    <row r="275" spans="11:12" x14ac:dyDescent="0.25">
      <c r="K275" s="4">
        <v>3230</v>
      </c>
      <c r="L275" s="15">
        <f t="shared" si="59"/>
        <v>1.1423611111111101</v>
      </c>
    </row>
    <row r="276" spans="11:12" x14ac:dyDescent="0.25">
      <c r="K276" s="4">
        <v>3240</v>
      </c>
      <c r="L276" s="15">
        <f t="shared" si="59"/>
        <v>1.1458333333333299</v>
      </c>
    </row>
    <row r="277" spans="11:12" x14ac:dyDescent="0.25">
      <c r="K277" s="4">
        <v>3250</v>
      </c>
      <c r="L277" s="15">
        <f t="shared" si="59"/>
        <v>1.14930555555555</v>
      </c>
    </row>
    <row r="278" spans="11:12" x14ac:dyDescent="0.25">
      <c r="K278" s="4">
        <v>3260</v>
      </c>
      <c r="L278" s="15">
        <f t="shared" si="59"/>
        <v>1.1527777777777799</v>
      </c>
    </row>
    <row r="279" spans="11:12" x14ac:dyDescent="0.25">
      <c r="K279" s="4">
        <v>3270</v>
      </c>
      <c r="L279" s="15">
        <f t="shared" si="59"/>
        <v>1.15625</v>
      </c>
    </row>
    <row r="280" spans="11:12" x14ac:dyDescent="0.25">
      <c r="K280" s="4">
        <v>3280</v>
      </c>
      <c r="L280" s="15">
        <f t="shared" si="59"/>
        <v>1.1597222222222201</v>
      </c>
    </row>
    <row r="281" spans="11:12" x14ac:dyDescent="0.25">
      <c r="K281" s="4">
        <v>3290</v>
      </c>
      <c r="L281" s="15">
        <f t="shared" si="59"/>
        <v>1.16319444444444</v>
      </c>
    </row>
    <row r="282" spans="11:12" x14ac:dyDescent="0.25">
      <c r="K282" s="4">
        <v>3300</v>
      </c>
      <c r="L282" s="15">
        <f t="shared" si="59"/>
        <v>1.1666666666666701</v>
      </c>
    </row>
    <row r="283" spans="11:12" x14ac:dyDescent="0.25">
      <c r="K283" s="4">
        <v>3310</v>
      </c>
      <c r="L283" s="15">
        <f t="shared" si="59"/>
        <v>1.1701388888888899</v>
      </c>
    </row>
    <row r="284" spans="11:12" x14ac:dyDescent="0.25">
      <c r="K284" s="4">
        <v>3320</v>
      </c>
      <c r="L284" s="15">
        <f t="shared" si="59"/>
        <v>1.1736111111111101</v>
      </c>
    </row>
    <row r="285" spans="11:12" x14ac:dyDescent="0.25">
      <c r="K285" s="4">
        <v>3330</v>
      </c>
      <c r="L285" s="15">
        <f t="shared" si="59"/>
        <v>1.1770833333333299</v>
      </c>
    </row>
    <row r="286" spans="11:12" x14ac:dyDescent="0.25">
      <c r="K286" s="4">
        <v>3340</v>
      </c>
      <c r="L286" s="15">
        <f t="shared" si="59"/>
        <v>1.18055555555555</v>
      </c>
    </row>
    <row r="287" spans="11:12" x14ac:dyDescent="0.25">
      <c r="K287" s="4">
        <v>3350</v>
      </c>
      <c r="L287" s="15">
        <f t="shared" si="59"/>
        <v>1.1840277777777799</v>
      </c>
    </row>
    <row r="288" spans="11:12" x14ac:dyDescent="0.25">
      <c r="K288" s="4">
        <v>3360</v>
      </c>
      <c r="L288" s="15">
        <f t="shared" si="59"/>
        <v>1.1875</v>
      </c>
    </row>
    <row r="289" spans="11:12" x14ac:dyDescent="0.25">
      <c r="K289" s="4">
        <v>3370</v>
      </c>
      <c r="L289" s="15">
        <f t="shared" si="59"/>
        <v>1.1909722222222201</v>
      </c>
    </row>
    <row r="290" spans="11:12" x14ac:dyDescent="0.25">
      <c r="K290" s="4">
        <v>3380</v>
      </c>
      <c r="L290" s="15">
        <f t="shared" si="59"/>
        <v>1.19444444444444</v>
      </c>
    </row>
    <row r="291" spans="11:12" x14ac:dyDescent="0.25">
      <c r="K291" s="4">
        <v>3390</v>
      </c>
      <c r="L291" s="15">
        <f t="shared" si="59"/>
        <v>1.1979166666666701</v>
      </c>
    </row>
    <row r="292" spans="11:12" x14ac:dyDescent="0.25">
      <c r="K292" s="4">
        <v>3400</v>
      </c>
      <c r="L292" s="15">
        <f t="shared" si="59"/>
        <v>1.2013888888888899</v>
      </c>
    </row>
    <row r="293" spans="11:12" x14ac:dyDescent="0.25">
      <c r="K293" s="4">
        <v>3410</v>
      </c>
      <c r="L293" s="15">
        <f t="shared" si="59"/>
        <v>1.2048611111111101</v>
      </c>
    </row>
    <row r="294" spans="11:12" x14ac:dyDescent="0.25">
      <c r="K294" s="4">
        <v>3420</v>
      </c>
      <c r="L294" s="15">
        <f t="shared" si="59"/>
        <v>1.2083333333333299</v>
      </c>
    </row>
    <row r="295" spans="11:12" x14ac:dyDescent="0.25">
      <c r="K295" s="4">
        <v>3430</v>
      </c>
      <c r="L295" s="15">
        <f t="shared" si="59"/>
        <v>1.21180555555555</v>
      </c>
    </row>
    <row r="296" spans="11:12" x14ac:dyDescent="0.25">
      <c r="K296" s="4">
        <v>3440</v>
      </c>
      <c r="L296" s="15">
        <f t="shared" si="59"/>
        <v>1.2152777777777799</v>
      </c>
    </row>
    <row r="297" spans="11:12" x14ac:dyDescent="0.25">
      <c r="K297" s="4">
        <v>3450</v>
      </c>
      <c r="L297" s="15">
        <f t="shared" si="59"/>
        <v>1.21875</v>
      </c>
    </row>
    <row r="298" spans="11:12" x14ac:dyDescent="0.25">
      <c r="K298" s="4">
        <v>3460</v>
      </c>
      <c r="L298" s="15">
        <f t="shared" si="59"/>
        <v>1.2222222222222201</v>
      </c>
    </row>
    <row r="299" spans="11:12" x14ac:dyDescent="0.25">
      <c r="K299" s="4">
        <v>3470</v>
      </c>
      <c r="L299" s="15">
        <f t="shared" si="59"/>
        <v>1.22569444444444</v>
      </c>
    </row>
    <row r="300" spans="11:12" x14ac:dyDescent="0.25">
      <c r="K300" s="4">
        <v>3480</v>
      </c>
      <c r="L300" s="15">
        <f t="shared" si="59"/>
        <v>1.2291666666666701</v>
      </c>
    </row>
    <row r="301" spans="11:12" x14ac:dyDescent="0.25">
      <c r="K301" s="4">
        <v>3490</v>
      </c>
      <c r="L301" s="15">
        <f t="shared" si="59"/>
        <v>1.2326388888888899</v>
      </c>
    </row>
    <row r="302" spans="11:12" x14ac:dyDescent="0.25">
      <c r="K302" s="4">
        <v>3500</v>
      </c>
      <c r="L302" s="15">
        <f t="shared" si="59"/>
        <v>1.2361111111111101</v>
      </c>
    </row>
    <row r="303" spans="11:12" x14ac:dyDescent="0.25">
      <c r="K303" s="4">
        <v>3510</v>
      </c>
      <c r="L303" s="15">
        <f t="shared" si="59"/>
        <v>1.2395833333333299</v>
      </c>
    </row>
    <row r="304" spans="11:12" x14ac:dyDescent="0.25">
      <c r="K304" s="4">
        <v>3520</v>
      </c>
      <c r="L304" s="15">
        <f t="shared" si="59"/>
        <v>1.24305555555555</v>
      </c>
    </row>
    <row r="305" spans="11:12" x14ac:dyDescent="0.25">
      <c r="K305" s="4">
        <v>3530</v>
      </c>
      <c r="L305" s="15">
        <f t="shared" si="59"/>
        <v>1.2465277777777799</v>
      </c>
    </row>
    <row r="306" spans="11:12" x14ac:dyDescent="0.25">
      <c r="K306" s="4">
        <v>3540</v>
      </c>
      <c r="L306" s="15">
        <f t="shared" si="59"/>
        <v>1.25</v>
      </c>
    </row>
    <row r="307" spans="11:12" x14ac:dyDescent="0.25">
      <c r="K307" s="4">
        <v>3550</v>
      </c>
      <c r="L307" s="15">
        <f t="shared" si="59"/>
        <v>1.2534722222222201</v>
      </c>
    </row>
    <row r="308" spans="11:12" x14ac:dyDescent="0.25">
      <c r="K308" s="4">
        <v>3560</v>
      </c>
      <c r="L308" s="15">
        <f t="shared" si="59"/>
        <v>1.25694444444444</v>
      </c>
    </row>
    <row r="309" spans="11:12" x14ac:dyDescent="0.25">
      <c r="K309" s="4">
        <v>3570</v>
      </c>
      <c r="L309" s="15">
        <f t="shared" si="59"/>
        <v>1.2604166666666701</v>
      </c>
    </row>
    <row r="310" spans="11:12" x14ac:dyDescent="0.25">
      <c r="K310" s="4">
        <v>3580</v>
      </c>
      <c r="L310" s="15">
        <f t="shared" si="59"/>
        <v>1.2638888888888899</v>
      </c>
    </row>
    <row r="311" spans="11:12" x14ac:dyDescent="0.25">
      <c r="K311" s="4">
        <v>3590</v>
      </c>
      <c r="L311" s="15">
        <f t="shared" si="59"/>
        <v>1.2673611111111101</v>
      </c>
    </row>
    <row r="312" spans="11:12" x14ac:dyDescent="0.25">
      <c r="K312" s="4">
        <v>3600</v>
      </c>
      <c r="L312" s="15">
        <f t="shared" si="59"/>
        <v>1.2708333333333299</v>
      </c>
    </row>
    <row r="313" spans="11:12" x14ac:dyDescent="0.25">
      <c r="K313" s="4">
        <v>3610</v>
      </c>
      <c r="L313" s="15">
        <f t="shared" si="59"/>
        <v>1.27430555555555</v>
      </c>
    </row>
    <row r="314" spans="11:12" x14ac:dyDescent="0.25">
      <c r="K314" s="4">
        <v>3620</v>
      </c>
      <c r="L314" s="15">
        <f t="shared" si="59"/>
        <v>1.2777777777777799</v>
      </c>
    </row>
    <row r="315" spans="11:12" x14ac:dyDescent="0.25">
      <c r="K315" s="4">
        <v>3630</v>
      </c>
      <c r="L315" s="15">
        <f t="shared" si="59"/>
        <v>1.28125</v>
      </c>
    </row>
    <row r="316" spans="11:12" x14ac:dyDescent="0.25">
      <c r="K316" s="4">
        <v>3640</v>
      </c>
      <c r="L316" s="15">
        <f t="shared" si="59"/>
        <v>1.2847222222222201</v>
      </c>
    </row>
    <row r="317" spans="11:12" x14ac:dyDescent="0.25">
      <c r="K317" s="4">
        <v>3650</v>
      </c>
      <c r="L317" s="15">
        <f t="shared" si="59"/>
        <v>1.28819444444444</v>
      </c>
    </row>
    <row r="318" spans="11:12" x14ac:dyDescent="0.25">
      <c r="K318" s="4">
        <v>3660</v>
      </c>
      <c r="L318" s="15">
        <f t="shared" si="59"/>
        <v>1.2916666666666701</v>
      </c>
    </row>
    <row r="319" spans="11:12" x14ac:dyDescent="0.25">
      <c r="K319" s="4">
        <v>3670</v>
      </c>
      <c r="L319" s="15">
        <f t="shared" si="59"/>
        <v>1.2951388888888899</v>
      </c>
    </row>
    <row r="320" spans="11:12" x14ac:dyDescent="0.25">
      <c r="K320" s="4">
        <v>3680</v>
      </c>
      <c r="L320" s="15">
        <f t="shared" si="59"/>
        <v>1.2986111111111101</v>
      </c>
    </row>
    <row r="321" spans="11:12" x14ac:dyDescent="0.25">
      <c r="K321" s="4">
        <v>3690</v>
      </c>
      <c r="L321" s="15">
        <f t="shared" si="59"/>
        <v>1.3020833333333299</v>
      </c>
    </row>
    <row r="322" spans="11:12" x14ac:dyDescent="0.25">
      <c r="K322" s="4">
        <v>3700</v>
      </c>
      <c r="L322" s="15">
        <f t="shared" si="59"/>
        <v>1.30555555555555</v>
      </c>
    </row>
    <row r="323" spans="11:12" x14ac:dyDescent="0.25">
      <c r="K323" s="4">
        <v>3710</v>
      </c>
      <c r="L323" s="15">
        <f t="shared" si="59"/>
        <v>1.3090277777777799</v>
      </c>
    </row>
    <row r="324" spans="11:12" x14ac:dyDescent="0.25">
      <c r="K324" s="4">
        <v>3720</v>
      </c>
      <c r="L324" s="15">
        <f t="shared" si="59"/>
        <v>1.3125</v>
      </c>
    </row>
    <row r="325" spans="11:12" x14ac:dyDescent="0.25">
      <c r="K325" s="4">
        <v>3730</v>
      </c>
      <c r="L325" s="15">
        <f t="shared" si="59"/>
        <v>1.3159722222222201</v>
      </c>
    </row>
    <row r="326" spans="11:12" x14ac:dyDescent="0.25">
      <c r="K326" s="4">
        <v>3740</v>
      </c>
      <c r="L326" s="15">
        <f t="shared" si="59"/>
        <v>1.31944444444444</v>
      </c>
    </row>
    <row r="327" spans="11:12" x14ac:dyDescent="0.25">
      <c r="K327" s="4">
        <v>3750</v>
      </c>
      <c r="L327" s="15">
        <f t="shared" si="59"/>
        <v>1.3229166666666701</v>
      </c>
    </row>
    <row r="328" spans="11:12" x14ac:dyDescent="0.25">
      <c r="K328" s="4">
        <v>3760</v>
      </c>
      <c r="L328" s="15">
        <f t="shared" ref="L328:L391" si="60">$L$6+(((K328-$K$6)/10)*$M$2)</f>
        <v>1.3263888888888899</v>
      </c>
    </row>
    <row r="329" spans="11:12" x14ac:dyDescent="0.25">
      <c r="K329" s="4">
        <v>3770</v>
      </c>
      <c r="L329" s="15">
        <f t="shared" si="60"/>
        <v>1.3298611111111101</v>
      </c>
    </row>
    <row r="330" spans="11:12" x14ac:dyDescent="0.25">
      <c r="K330" s="4">
        <v>3780</v>
      </c>
      <c r="L330" s="15">
        <f t="shared" si="60"/>
        <v>1.3333333333333299</v>
      </c>
    </row>
    <row r="331" spans="11:12" x14ac:dyDescent="0.25">
      <c r="K331" s="4">
        <v>3790</v>
      </c>
      <c r="L331" s="15">
        <f t="shared" si="60"/>
        <v>1.33680555555555</v>
      </c>
    </row>
    <row r="332" spans="11:12" x14ac:dyDescent="0.25">
      <c r="K332" s="4">
        <v>3800</v>
      </c>
      <c r="L332" s="15">
        <f t="shared" si="60"/>
        <v>1.3402777777777799</v>
      </c>
    </row>
    <row r="333" spans="11:12" x14ac:dyDescent="0.25">
      <c r="K333" s="4">
        <v>3810</v>
      </c>
      <c r="L333" s="15">
        <f t="shared" si="60"/>
        <v>1.34375</v>
      </c>
    </row>
    <row r="334" spans="11:12" x14ac:dyDescent="0.25">
      <c r="K334" s="4">
        <v>3820</v>
      </c>
      <c r="L334" s="15">
        <f t="shared" si="60"/>
        <v>1.3472222222222201</v>
      </c>
    </row>
    <row r="335" spans="11:12" x14ac:dyDescent="0.25">
      <c r="K335" s="4">
        <v>3830</v>
      </c>
      <c r="L335" s="15">
        <f t="shared" si="60"/>
        <v>1.35069444444444</v>
      </c>
    </row>
    <row r="336" spans="11:12" x14ac:dyDescent="0.25">
      <c r="K336" s="4">
        <v>3840</v>
      </c>
      <c r="L336" s="15">
        <f t="shared" si="60"/>
        <v>1.3541666666666701</v>
      </c>
    </row>
    <row r="337" spans="11:12" x14ac:dyDescent="0.25">
      <c r="K337" s="4">
        <v>3850</v>
      </c>
      <c r="L337" s="15">
        <f t="shared" si="60"/>
        <v>1.3576388888888899</v>
      </c>
    </row>
    <row r="338" spans="11:12" x14ac:dyDescent="0.25">
      <c r="K338" s="4">
        <v>3860</v>
      </c>
      <c r="L338" s="15">
        <f t="shared" si="60"/>
        <v>1.3611111111111101</v>
      </c>
    </row>
    <row r="339" spans="11:12" x14ac:dyDescent="0.25">
      <c r="K339" s="4">
        <v>3870</v>
      </c>
      <c r="L339" s="15">
        <f t="shared" si="60"/>
        <v>1.3645833333333299</v>
      </c>
    </row>
    <row r="340" spans="11:12" x14ac:dyDescent="0.25">
      <c r="K340" s="4">
        <v>3880</v>
      </c>
      <c r="L340" s="15">
        <f t="shared" si="60"/>
        <v>1.36805555555555</v>
      </c>
    </row>
    <row r="341" spans="11:12" x14ac:dyDescent="0.25">
      <c r="K341" s="4">
        <v>3890</v>
      </c>
      <c r="L341" s="15">
        <f t="shared" si="60"/>
        <v>1.3715277777777799</v>
      </c>
    </row>
    <row r="342" spans="11:12" x14ac:dyDescent="0.25">
      <c r="K342" s="4">
        <v>3900</v>
      </c>
      <c r="L342" s="15">
        <f t="shared" si="60"/>
        <v>1.375</v>
      </c>
    </row>
    <row r="343" spans="11:12" x14ac:dyDescent="0.25">
      <c r="K343" s="4">
        <v>3910</v>
      </c>
      <c r="L343" s="15">
        <f t="shared" si="60"/>
        <v>1.3784722222222201</v>
      </c>
    </row>
    <row r="344" spans="11:12" x14ac:dyDescent="0.25">
      <c r="K344" s="4">
        <v>3920</v>
      </c>
      <c r="L344" s="15">
        <f t="shared" si="60"/>
        <v>1.38194444444444</v>
      </c>
    </row>
    <row r="345" spans="11:12" x14ac:dyDescent="0.25">
      <c r="K345" s="4">
        <v>3930</v>
      </c>
      <c r="L345" s="15">
        <f t="shared" si="60"/>
        <v>1.3854166666666701</v>
      </c>
    </row>
    <row r="346" spans="11:12" x14ac:dyDescent="0.25">
      <c r="K346" s="4">
        <v>3940</v>
      </c>
      <c r="L346" s="15">
        <f t="shared" si="60"/>
        <v>1.3888888888888899</v>
      </c>
    </row>
    <row r="347" spans="11:12" x14ac:dyDescent="0.25">
      <c r="K347" s="4">
        <v>3950</v>
      </c>
      <c r="L347" s="15">
        <f t="shared" si="60"/>
        <v>1.3923611111111101</v>
      </c>
    </row>
    <row r="348" spans="11:12" x14ac:dyDescent="0.25">
      <c r="K348" s="4">
        <v>3960</v>
      </c>
      <c r="L348" s="15">
        <f t="shared" si="60"/>
        <v>1.3958333333333299</v>
      </c>
    </row>
    <row r="349" spans="11:12" x14ac:dyDescent="0.25">
      <c r="K349" s="4">
        <v>3970</v>
      </c>
      <c r="L349" s="15">
        <f t="shared" si="60"/>
        <v>1.39930555555555</v>
      </c>
    </row>
    <row r="350" spans="11:12" x14ac:dyDescent="0.25">
      <c r="K350" s="4">
        <v>3980</v>
      </c>
      <c r="L350" s="15">
        <f t="shared" si="60"/>
        <v>1.4027777777777799</v>
      </c>
    </row>
    <row r="351" spans="11:12" x14ac:dyDescent="0.25">
      <c r="K351" s="4">
        <v>3990</v>
      </c>
      <c r="L351" s="15">
        <f t="shared" si="60"/>
        <v>1.40625</v>
      </c>
    </row>
    <row r="352" spans="11:12" x14ac:dyDescent="0.25">
      <c r="K352" s="4">
        <v>4000</v>
      </c>
      <c r="L352" s="15">
        <f t="shared" si="60"/>
        <v>1.4097222222222201</v>
      </c>
    </row>
    <row r="353" spans="11:12" x14ac:dyDescent="0.25">
      <c r="K353" s="4">
        <v>4010</v>
      </c>
      <c r="L353" s="15">
        <f t="shared" si="60"/>
        <v>1.41319444444444</v>
      </c>
    </row>
    <row r="354" spans="11:12" x14ac:dyDescent="0.25">
      <c r="K354" s="4">
        <v>4020</v>
      </c>
      <c r="L354" s="15">
        <f t="shared" si="60"/>
        <v>1.4166666666666701</v>
      </c>
    </row>
    <row r="355" spans="11:12" x14ac:dyDescent="0.25">
      <c r="K355" s="4">
        <v>4030</v>
      </c>
      <c r="L355" s="15">
        <f t="shared" si="60"/>
        <v>1.4201388888888899</v>
      </c>
    </row>
    <row r="356" spans="11:12" x14ac:dyDescent="0.25">
      <c r="K356" s="4">
        <v>4040</v>
      </c>
      <c r="L356" s="15">
        <f t="shared" si="60"/>
        <v>1.4236111111111101</v>
      </c>
    </row>
    <row r="357" spans="11:12" x14ac:dyDescent="0.25">
      <c r="K357" s="4">
        <v>4050</v>
      </c>
      <c r="L357" s="15">
        <f t="shared" si="60"/>
        <v>1.4270833333333299</v>
      </c>
    </row>
    <row r="358" spans="11:12" x14ac:dyDescent="0.25">
      <c r="K358" s="4">
        <v>4060</v>
      </c>
      <c r="L358" s="15">
        <f t="shared" si="60"/>
        <v>1.43055555555555</v>
      </c>
    </row>
    <row r="359" spans="11:12" x14ac:dyDescent="0.25">
      <c r="K359" s="4">
        <v>4070</v>
      </c>
      <c r="L359" s="15">
        <f t="shared" si="60"/>
        <v>1.4340277777777799</v>
      </c>
    </row>
    <row r="360" spans="11:12" x14ac:dyDescent="0.25">
      <c r="K360" s="4">
        <v>4080</v>
      </c>
      <c r="L360" s="15">
        <f t="shared" si="60"/>
        <v>1.4375</v>
      </c>
    </row>
    <row r="361" spans="11:12" x14ac:dyDescent="0.25">
      <c r="K361" s="4">
        <v>4090</v>
      </c>
      <c r="L361" s="15">
        <f t="shared" si="60"/>
        <v>1.4409722222222201</v>
      </c>
    </row>
    <row r="362" spans="11:12" x14ac:dyDescent="0.25">
      <c r="K362" s="4">
        <v>4100</v>
      </c>
      <c r="L362" s="15">
        <f t="shared" si="60"/>
        <v>1.44444444444444</v>
      </c>
    </row>
    <row r="363" spans="11:12" x14ac:dyDescent="0.25">
      <c r="K363" s="4">
        <v>4110</v>
      </c>
      <c r="L363" s="15">
        <f t="shared" si="60"/>
        <v>1.4479166666666701</v>
      </c>
    </row>
    <row r="364" spans="11:12" x14ac:dyDescent="0.25">
      <c r="K364" s="4">
        <v>4120</v>
      </c>
      <c r="L364" s="15">
        <f t="shared" si="60"/>
        <v>1.4513888888888899</v>
      </c>
    </row>
    <row r="365" spans="11:12" x14ac:dyDescent="0.25">
      <c r="K365" s="4">
        <v>4130</v>
      </c>
      <c r="L365" s="15">
        <f t="shared" si="60"/>
        <v>1.4548611111111101</v>
      </c>
    </row>
    <row r="366" spans="11:12" x14ac:dyDescent="0.25">
      <c r="K366" s="4">
        <v>4140</v>
      </c>
      <c r="L366" s="15">
        <f t="shared" si="60"/>
        <v>1.4583333333333299</v>
      </c>
    </row>
    <row r="367" spans="11:12" x14ac:dyDescent="0.25">
      <c r="K367" s="4">
        <v>4150</v>
      </c>
      <c r="L367" s="15">
        <f t="shared" si="60"/>
        <v>1.46180555555555</v>
      </c>
    </row>
    <row r="368" spans="11:12" x14ac:dyDescent="0.25">
      <c r="K368" s="4">
        <v>4160</v>
      </c>
      <c r="L368" s="15">
        <f t="shared" si="60"/>
        <v>1.4652777777777799</v>
      </c>
    </row>
    <row r="369" spans="11:12" x14ac:dyDescent="0.25">
      <c r="K369" s="4">
        <v>4170</v>
      </c>
      <c r="L369" s="15">
        <f t="shared" si="60"/>
        <v>1.46875</v>
      </c>
    </row>
    <row r="370" spans="11:12" x14ac:dyDescent="0.25">
      <c r="K370" s="4">
        <v>4180</v>
      </c>
      <c r="L370" s="15">
        <f t="shared" si="60"/>
        <v>1.4722222222222201</v>
      </c>
    </row>
    <row r="371" spans="11:12" x14ac:dyDescent="0.25">
      <c r="K371" s="4">
        <v>4190</v>
      </c>
      <c r="L371" s="15">
        <f t="shared" si="60"/>
        <v>1.47569444444444</v>
      </c>
    </row>
    <row r="372" spans="11:12" x14ac:dyDescent="0.25">
      <c r="K372" s="4">
        <v>4200</v>
      </c>
      <c r="L372" s="15">
        <f t="shared" si="60"/>
        <v>1.4791666666666701</v>
      </c>
    </row>
    <row r="373" spans="11:12" x14ac:dyDescent="0.25">
      <c r="K373" s="4">
        <v>4210</v>
      </c>
      <c r="L373" s="15">
        <f t="shared" si="60"/>
        <v>1.4826388888888899</v>
      </c>
    </row>
    <row r="374" spans="11:12" x14ac:dyDescent="0.25">
      <c r="K374" s="4">
        <v>4220</v>
      </c>
      <c r="L374" s="15">
        <f t="shared" si="60"/>
        <v>1.4861111111111101</v>
      </c>
    </row>
    <row r="375" spans="11:12" x14ac:dyDescent="0.25">
      <c r="K375" s="4">
        <v>4230</v>
      </c>
      <c r="L375" s="15">
        <f t="shared" si="60"/>
        <v>1.4895833333333299</v>
      </c>
    </row>
    <row r="376" spans="11:12" x14ac:dyDescent="0.25">
      <c r="K376" s="4">
        <v>4240</v>
      </c>
      <c r="L376" s="15">
        <f t="shared" si="60"/>
        <v>1.49305555555555</v>
      </c>
    </row>
    <row r="377" spans="11:12" x14ac:dyDescent="0.25">
      <c r="K377" s="4">
        <v>4250</v>
      </c>
      <c r="L377" s="15">
        <f t="shared" si="60"/>
        <v>1.4965277777777799</v>
      </c>
    </row>
    <row r="378" spans="11:12" x14ac:dyDescent="0.25">
      <c r="K378" s="4">
        <v>4260</v>
      </c>
      <c r="L378" s="15">
        <f t="shared" si="60"/>
        <v>1.5</v>
      </c>
    </row>
    <row r="379" spans="11:12" x14ac:dyDescent="0.25">
      <c r="K379" s="4">
        <v>4270</v>
      </c>
      <c r="L379" s="15">
        <f t="shared" si="60"/>
        <v>1.5034722222222201</v>
      </c>
    </row>
    <row r="380" spans="11:12" x14ac:dyDescent="0.25">
      <c r="K380" s="4">
        <v>4280</v>
      </c>
      <c r="L380" s="15">
        <f t="shared" si="60"/>
        <v>1.50694444444444</v>
      </c>
    </row>
    <row r="381" spans="11:12" x14ac:dyDescent="0.25">
      <c r="K381" s="4">
        <v>4290</v>
      </c>
      <c r="L381" s="15">
        <f t="shared" si="60"/>
        <v>1.5104166666666701</v>
      </c>
    </row>
    <row r="382" spans="11:12" x14ac:dyDescent="0.25">
      <c r="K382" s="4">
        <v>4300</v>
      </c>
      <c r="L382" s="15">
        <f t="shared" si="60"/>
        <v>1.5138888888888899</v>
      </c>
    </row>
    <row r="383" spans="11:12" x14ac:dyDescent="0.25">
      <c r="K383" s="4">
        <v>4310</v>
      </c>
      <c r="L383" s="15">
        <f t="shared" si="60"/>
        <v>1.5173611111111101</v>
      </c>
    </row>
    <row r="384" spans="11:12" x14ac:dyDescent="0.25">
      <c r="K384" s="4">
        <v>4320</v>
      </c>
      <c r="L384" s="15">
        <f t="shared" si="60"/>
        <v>1.5208333333333299</v>
      </c>
    </row>
    <row r="385" spans="11:12" x14ac:dyDescent="0.25">
      <c r="K385" s="4">
        <v>4330</v>
      </c>
      <c r="L385" s="15">
        <f t="shared" si="60"/>
        <v>1.52430555555555</v>
      </c>
    </row>
    <row r="386" spans="11:12" x14ac:dyDescent="0.25">
      <c r="K386" s="4">
        <v>4340</v>
      </c>
      <c r="L386" s="15">
        <f t="shared" si="60"/>
        <v>1.5277777777777799</v>
      </c>
    </row>
    <row r="387" spans="11:12" x14ac:dyDescent="0.25">
      <c r="K387" s="4">
        <v>4350</v>
      </c>
      <c r="L387" s="15">
        <f t="shared" si="60"/>
        <v>1.53125</v>
      </c>
    </row>
    <row r="388" spans="11:12" x14ac:dyDescent="0.25">
      <c r="K388" s="4">
        <v>4360</v>
      </c>
      <c r="L388" s="15">
        <f t="shared" si="60"/>
        <v>1.5347222222222201</v>
      </c>
    </row>
    <row r="389" spans="11:12" x14ac:dyDescent="0.25">
      <c r="K389" s="4">
        <v>4370</v>
      </c>
      <c r="L389" s="15">
        <f t="shared" si="60"/>
        <v>1.53819444444444</v>
      </c>
    </row>
    <row r="390" spans="11:12" x14ac:dyDescent="0.25">
      <c r="K390" s="4">
        <v>4380</v>
      </c>
      <c r="L390" s="15">
        <f t="shared" si="60"/>
        <v>1.5416666666666701</v>
      </c>
    </row>
    <row r="391" spans="11:12" x14ac:dyDescent="0.25">
      <c r="K391" s="4">
        <v>4390</v>
      </c>
      <c r="L391" s="15">
        <f t="shared" si="60"/>
        <v>1.5451388888888899</v>
      </c>
    </row>
    <row r="392" spans="11:12" x14ac:dyDescent="0.25">
      <c r="K392" s="4">
        <v>4400</v>
      </c>
      <c r="L392" s="15">
        <f t="shared" ref="L392:L415" si="61">$L$6+(((K392-$K$6)/10)*$M$2)</f>
        <v>1.5486111111111101</v>
      </c>
    </row>
    <row r="393" spans="11:12" x14ac:dyDescent="0.25">
      <c r="K393" s="4">
        <v>4410</v>
      </c>
      <c r="L393" s="15">
        <f t="shared" si="61"/>
        <v>1.5520833333333299</v>
      </c>
    </row>
    <row r="394" spans="11:12" x14ac:dyDescent="0.25">
      <c r="K394" s="4">
        <v>4420</v>
      </c>
      <c r="L394" s="15">
        <f t="shared" si="61"/>
        <v>1.55555555555555</v>
      </c>
    </row>
    <row r="395" spans="11:12" x14ac:dyDescent="0.25">
      <c r="K395" s="4">
        <v>4430</v>
      </c>
      <c r="L395" s="15">
        <f t="shared" si="61"/>
        <v>1.5590277777777799</v>
      </c>
    </row>
    <row r="396" spans="11:12" x14ac:dyDescent="0.25">
      <c r="K396" s="4">
        <v>4440</v>
      </c>
      <c r="L396" s="15">
        <f t="shared" si="61"/>
        <v>1.5625</v>
      </c>
    </row>
    <row r="397" spans="11:12" x14ac:dyDescent="0.25">
      <c r="K397" s="4">
        <v>4450</v>
      </c>
      <c r="L397" s="15">
        <f t="shared" si="61"/>
        <v>1.5659722222222201</v>
      </c>
    </row>
    <row r="398" spans="11:12" x14ac:dyDescent="0.25">
      <c r="K398" s="4">
        <v>4460</v>
      </c>
      <c r="L398" s="15">
        <f t="shared" si="61"/>
        <v>1.56944444444444</v>
      </c>
    </row>
    <row r="399" spans="11:12" x14ac:dyDescent="0.25">
      <c r="K399" s="4">
        <v>4470</v>
      </c>
      <c r="L399" s="15">
        <f t="shared" si="61"/>
        <v>1.5729166666666701</v>
      </c>
    </row>
    <row r="400" spans="11:12" x14ac:dyDescent="0.25">
      <c r="K400" s="4">
        <v>4480</v>
      </c>
      <c r="L400" s="15">
        <f t="shared" si="61"/>
        <v>1.5763888888888899</v>
      </c>
    </row>
    <row r="401" spans="11:12" x14ac:dyDescent="0.25">
      <c r="K401" s="4">
        <v>4490</v>
      </c>
      <c r="L401" s="15">
        <f t="shared" si="61"/>
        <v>1.5798611111111101</v>
      </c>
    </row>
    <row r="402" spans="11:12" x14ac:dyDescent="0.25">
      <c r="K402" s="4">
        <v>4500</v>
      </c>
      <c r="L402" s="15">
        <f t="shared" si="61"/>
        <v>1.5833333333333299</v>
      </c>
    </row>
    <row r="403" spans="11:12" x14ac:dyDescent="0.25">
      <c r="K403" s="4">
        <v>4510</v>
      </c>
      <c r="L403" s="15">
        <f t="shared" si="61"/>
        <v>1.58680555555555</v>
      </c>
    </row>
    <row r="404" spans="11:12" x14ac:dyDescent="0.25">
      <c r="K404" s="4">
        <v>4520</v>
      </c>
      <c r="L404" s="15">
        <f t="shared" si="61"/>
        <v>1.5902777777777799</v>
      </c>
    </row>
    <row r="405" spans="11:12" x14ac:dyDescent="0.25">
      <c r="K405" s="4">
        <v>4530</v>
      </c>
      <c r="L405" s="15">
        <f t="shared" si="61"/>
        <v>1.59375</v>
      </c>
    </row>
    <row r="406" spans="11:12" x14ac:dyDescent="0.25">
      <c r="K406" s="4">
        <v>4540</v>
      </c>
      <c r="L406" s="15">
        <f t="shared" si="61"/>
        <v>1.5972222222222201</v>
      </c>
    </row>
    <row r="407" spans="11:12" x14ac:dyDescent="0.25">
      <c r="K407" s="4">
        <v>4550</v>
      </c>
      <c r="L407" s="15">
        <f t="shared" si="61"/>
        <v>1.60069444444444</v>
      </c>
    </row>
    <row r="408" spans="11:12" x14ac:dyDescent="0.25">
      <c r="K408" s="4">
        <v>4560</v>
      </c>
      <c r="L408" s="15">
        <f t="shared" si="61"/>
        <v>1.6041666666666701</v>
      </c>
    </row>
    <row r="409" spans="11:12" x14ac:dyDescent="0.25">
      <c r="K409" s="4">
        <v>4570</v>
      </c>
      <c r="L409" s="15">
        <f t="shared" si="61"/>
        <v>1.6076388888888899</v>
      </c>
    </row>
    <row r="410" spans="11:12" x14ac:dyDescent="0.25">
      <c r="K410" s="4">
        <v>4580</v>
      </c>
      <c r="L410" s="15">
        <f t="shared" si="61"/>
        <v>1.6111111111111101</v>
      </c>
    </row>
    <row r="411" spans="11:12" x14ac:dyDescent="0.25">
      <c r="K411" s="4">
        <v>4590</v>
      </c>
      <c r="L411" s="15">
        <f t="shared" si="61"/>
        <v>1.6145833333333299</v>
      </c>
    </row>
    <row r="412" spans="11:12" x14ac:dyDescent="0.25">
      <c r="K412" s="4">
        <v>4600</v>
      </c>
      <c r="L412" s="15">
        <f t="shared" si="61"/>
        <v>1.61805555555555</v>
      </c>
    </row>
    <row r="413" spans="11:12" x14ac:dyDescent="0.25">
      <c r="K413" s="4">
        <v>4610</v>
      </c>
      <c r="L413" s="15">
        <f t="shared" si="61"/>
        <v>1.6215277777777799</v>
      </c>
    </row>
    <row r="414" spans="11:12" x14ac:dyDescent="0.25">
      <c r="K414" s="4">
        <v>4620</v>
      </c>
      <c r="L414" s="15">
        <f t="shared" si="61"/>
        <v>1.625</v>
      </c>
    </row>
    <row r="415" spans="11:12" x14ac:dyDescent="0.25">
      <c r="K415" s="4">
        <v>4630</v>
      </c>
      <c r="L415" s="15">
        <f t="shared" si="61"/>
        <v>1.6284722222222201</v>
      </c>
    </row>
  </sheetData>
  <mergeCells count="19">
    <mergeCell ref="AC2:AD2"/>
    <mergeCell ref="T103:T203"/>
    <mergeCell ref="V1:Z1"/>
    <mergeCell ref="AB1:AF1"/>
    <mergeCell ref="T64:T73"/>
    <mergeCell ref="T9:T18"/>
    <mergeCell ref="T4:T8"/>
    <mergeCell ref="F191:G191"/>
    <mergeCell ref="P1:T1"/>
    <mergeCell ref="H191:I191"/>
    <mergeCell ref="T29:T38"/>
    <mergeCell ref="T74:T83"/>
    <mergeCell ref="P4:P8"/>
    <mergeCell ref="A182:E182"/>
    <mergeCell ref="T19:T28"/>
    <mergeCell ref="T47:T63"/>
    <mergeCell ref="Q2:R2"/>
    <mergeCell ref="W2:X2"/>
    <mergeCell ref="T84:T102"/>
  </mergeCells>
  <dataValidations disablePrompts="1" count="1">
    <dataValidation showInputMessage="1" showErrorMessage="1" sqref="B215" xr:uid="{37931B2F-5FB1-436B-8786-DF6EA5B42712}"/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4"/>
  <sheetViews>
    <sheetView showGridLines="0" tabSelected="1" zoomScale="70" zoomScaleNormal="70" workbookViewId="0">
      <selection activeCell="E39" sqref="E39"/>
    </sheetView>
  </sheetViews>
  <sheetFormatPr defaultColWidth="8.7109375" defaultRowHeight="0" customHeight="1" zeroHeight="1" x14ac:dyDescent="0.25"/>
  <cols>
    <col min="1" max="1" width="45.85546875" bestFit="1" customWidth="1"/>
    <col min="2" max="2" width="24.5703125" bestFit="1" customWidth="1"/>
    <col min="3" max="3" width="12.85546875" bestFit="1" customWidth="1"/>
    <col min="4" max="4" width="11.7109375" bestFit="1" customWidth="1"/>
    <col min="5" max="5" width="18.28515625" customWidth="1"/>
    <col min="6" max="6" width="16.85546875" bestFit="1" customWidth="1"/>
    <col min="7" max="7" width="18.140625" bestFit="1" customWidth="1"/>
    <col min="8" max="8" width="21.28515625" bestFit="1" customWidth="1"/>
    <col min="9" max="9" width="7" bestFit="1" customWidth="1"/>
    <col min="10" max="10" width="15.28515625" bestFit="1" customWidth="1"/>
    <col min="11" max="11" width="14.5703125" bestFit="1" customWidth="1"/>
    <col min="12" max="12" width="12.85546875" bestFit="1" customWidth="1"/>
    <col min="13" max="13" width="9.28515625" bestFit="1" customWidth="1"/>
    <col min="14" max="14" width="12.28515625" bestFit="1" customWidth="1"/>
    <col min="15" max="15" width="7.7109375" bestFit="1" customWidth="1"/>
    <col min="16" max="16" width="15" bestFit="1" customWidth="1"/>
    <col min="17" max="17" width="6.5703125" customWidth="1"/>
    <col min="18" max="18" width="38.5703125" bestFit="1" customWidth="1"/>
    <col min="19" max="19" width="13.5703125" bestFit="1" customWidth="1"/>
    <col min="20" max="20" width="14" bestFit="1" customWidth="1"/>
    <col min="21" max="22" width="14.42578125" bestFit="1" customWidth="1"/>
  </cols>
  <sheetData>
    <row r="1" spans="1:22" ht="15" customHeight="1" thickBot="1" x14ac:dyDescent="0.3">
      <c r="A1" s="403" t="s">
        <v>243</v>
      </c>
      <c r="B1" s="404" t="s">
        <v>244</v>
      </c>
      <c r="C1" s="405" t="s">
        <v>245</v>
      </c>
      <c r="D1" s="406" t="s">
        <v>236</v>
      </c>
      <c r="E1" s="407" t="s">
        <v>246</v>
      </c>
      <c r="F1" s="512" t="s">
        <v>406</v>
      </c>
      <c r="J1" s="499" t="s">
        <v>352</v>
      </c>
      <c r="K1" s="613"/>
      <c r="L1" s="614"/>
      <c r="M1" s="614"/>
      <c r="N1" s="614"/>
      <c r="O1" s="614"/>
      <c r="P1" s="615"/>
      <c r="R1" s="534"/>
      <c r="S1" s="534" t="s">
        <v>385</v>
      </c>
      <c r="T1" s="534" t="s">
        <v>331</v>
      </c>
      <c r="U1" s="534" t="s">
        <v>386</v>
      </c>
      <c r="V1" s="534" t="s">
        <v>387</v>
      </c>
    </row>
    <row r="2" spans="1:22" ht="16.5" thickBot="1" x14ac:dyDescent="0.3">
      <c r="A2" s="291">
        <f>'QTY 1'!A178</f>
        <v>0</v>
      </c>
      <c r="B2" s="408" t="str">
        <f>'QTY 1'!B178</f>
        <v>Assembly only</v>
      </c>
      <c r="C2" s="292">
        <f>'QTY 1'!C178</f>
        <v>0</v>
      </c>
      <c r="D2" s="409" t="str">
        <f>IFERROR('QTY 1'!D180,"")</f>
        <v/>
      </c>
      <c r="E2" s="409" t="str">
        <f>IFERROR('QTY 1'!E180,"")</f>
        <v/>
      </c>
      <c r="F2" s="509">
        <f>'QTY 1'!E179</f>
        <v>0</v>
      </c>
      <c r="J2" s="500" t="s">
        <v>353</v>
      </c>
      <c r="K2" s="613"/>
      <c r="L2" s="614"/>
      <c r="M2" s="614"/>
      <c r="N2" s="614"/>
      <c r="O2" s="614"/>
      <c r="P2" s="615"/>
      <c r="R2" s="535" t="s">
        <v>391</v>
      </c>
      <c r="S2" s="536">
        <f>IFERROR('QTY 1'!G240,0)</f>
        <v>0</v>
      </c>
      <c r="T2" s="536">
        <f>IFERROR('QTY 2'!G240,0)</f>
        <v>0</v>
      </c>
      <c r="U2" s="536">
        <f>IFERROR('QTY 3'!G240,0)</f>
        <v>0</v>
      </c>
      <c r="V2" s="537">
        <f>IFERROR('QTY 4'!G240,0)</f>
        <v>0</v>
      </c>
    </row>
    <row r="3" spans="1:22" ht="16.5" thickBot="1" x14ac:dyDescent="0.3">
      <c r="A3" s="289">
        <f>'QTY 2'!A178</f>
        <v>0</v>
      </c>
      <c r="B3" s="290" t="str">
        <f>'QTY 2'!B178</f>
        <v>Assembly only</v>
      </c>
      <c r="C3" s="293">
        <f>'QTY 2'!C178</f>
        <v>0</v>
      </c>
      <c r="D3" s="410" t="str">
        <f>IFERROR('QTY 2'!D180,"")</f>
        <v/>
      </c>
      <c r="E3" s="409" t="str">
        <f>IFERROR('QTY 2'!E180,"")</f>
        <v/>
      </c>
      <c r="F3" s="509">
        <f>'QTY 2'!E179</f>
        <v>0</v>
      </c>
      <c r="J3" s="502" t="s">
        <v>354</v>
      </c>
      <c r="K3" s="616"/>
      <c r="L3" s="617"/>
      <c r="M3" s="617"/>
      <c r="N3" s="617"/>
      <c r="O3" s="617"/>
      <c r="P3" s="618"/>
      <c r="R3" s="538" t="s">
        <v>485</v>
      </c>
      <c r="S3" s="539">
        <f>IFERROR(S4/C2,0)</f>
        <v>0</v>
      </c>
      <c r="T3" s="539">
        <f>IFERROR(T4/C3,0)</f>
        <v>0</v>
      </c>
      <c r="U3" s="539">
        <f>IFERROR(U4/C4,0)</f>
        <v>0</v>
      </c>
      <c r="V3" s="540">
        <f>IFERROR(V4/C5,0)</f>
        <v>0</v>
      </c>
    </row>
    <row r="4" spans="1:22" ht="16.5" thickBot="1" x14ac:dyDescent="0.3">
      <c r="A4" s="289">
        <f>'QTY 3'!A178</f>
        <v>0</v>
      </c>
      <c r="B4" s="290" t="str">
        <f>'QTY 3'!B178</f>
        <v>Assembly only</v>
      </c>
      <c r="C4" s="293">
        <f>'QTY 3'!C178</f>
        <v>0</v>
      </c>
      <c r="D4" s="410" t="str">
        <f>IFERROR('QTY 3'!D180,"")</f>
        <v/>
      </c>
      <c r="E4" s="409" t="str">
        <f>IFERROR('QTY 3'!E180,"")</f>
        <v/>
      </c>
      <c r="F4" s="509">
        <f>'QTY 3'!E179</f>
        <v>0</v>
      </c>
      <c r="R4" s="541" t="s">
        <v>390</v>
      </c>
      <c r="S4" s="542">
        <f>IFERROR('QTY 1'!G241,0)</f>
        <v>0</v>
      </c>
      <c r="T4" s="542">
        <f>IFERROR('QTY 2'!G241,0)</f>
        <v>0</v>
      </c>
      <c r="U4" s="542">
        <f>IFERROR('QTY 3'!G241,0)</f>
        <v>0</v>
      </c>
      <c r="V4" s="543">
        <f>IFERROR('QTY 4'!G241,0)</f>
        <v>0</v>
      </c>
    </row>
    <row r="5" spans="1:22" ht="15.75" x14ac:dyDescent="0.25">
      <c r="A5" s="416">
        <f>'QTY 4'!A178</f>
        <v>0</v>
      </c>
      <c r="B5" s="417" t="str">
        <f>'QTY 4'!B178</f>
        <v>Assembly only</v>
      </c>
      <c r="C5" s="418">
        <f>'QTY 4'!C178</f>
        <v>0</v>
      </c>
      <c r="D5" s="419" t="str">
        <f>IFERROR('QTY 4'!D180,"")</f>
        <v/>
      </c>
      <c r="E5" s="409" t="str">
        <f>IFERROR('QTY 4'!E180,"")</f>
        <v/>
      </c>
      <c r="F5" s="509">
        <f>'QTY 4'!E179</f>
        <v>0</v>
      </c>
      <c r="J5" s="517" t="s">
        <v>355</v>
      </c>
      <c r="K5" s="518"/>
      <c r="L5" s="518"/>
      <c r="M5" s="518"/>
      <c r="N5" s="518"/>
      <c r="O5" s="518"/>
      <c r="P5" s="519"/>
      <c r="R5" s="541" t="s">
        <v>479</v>
      </c>
      <c r="S5" s="544" t="str">
        <f>IFERROR((S4-S2)/S4,"")</f>
        <v/>
      </c>
      <c r="T5" s="544" t="str">
        <f>IFERROR((T4-T2)/T4,"")</f>
        <v/>
      </c>
      <c r="U5" s="544" t="str">
        <f>IFERROR((U4-U2)/U4,"")</f>
        <v/>
      </c>
      <c r="V5" s="545" t="str">
        <f>IFERROR((V4-V2)/V4,"")</f>
        <v/>
      </c>
    </row>
    <row r="6" spans="1:22" ht="16.5" thickBot="1" x14ac:dyDescent="0.3">
      <c r="A6" s="411"/>
      <c r="B6" s="412"/>
      <c r="C6" s="413"/>
      <c r="D6" s="414"/>
      <c r="E6" s="415"/>
      <c r="J6" s="504" t="s">
        <v>360</v>
      </c>
      <c r="K6" s="431" t="s">
        <v>326</v>
      </c>
      <c r="L6" s="431" t="s">
        <v>244</v>
      </c>
      <c r="M6" s="431" t="s">
        <v>327</v>
      </c>
      <c r="N6" s="431" t="s">
        <v>328</v>
      </c>
      <c r="O6" s="432" t="s">
        <v>317</v>
      </c>
      <c r="P6" s="505" t="s">
        <v>329</v>
      </c>
      <c r="R6" s="541" t="s">
        <v>480</v>
      </c>
      <c r="S6" s="544" t="str">
        <f>IFERROR((S4-S2)/S2,"")</f>
        <v/>
      </c>
      <c r="T6" s="544" t="str">
        <f>IFERROR((T4-T2)/T2,"")</f>
        <v/>
      </c>
      <c r="U6" s="544" t="str">
        <f>IFERROR((U4-U2)/U2,"")</f>
        <v/>
      </c>
      <c r="V6" s="545" t="str">
        <f>IFERROR((V4-V2)/V2,"")</f>
        <v/>
      </c>
    </row>
    <row r="7" spans="1:22" ht="16.5" thickBot="1" x14ac:dyDescent="0.3">
      <c r="A7" s="523" t="s">
        <v>297</v>
      </c>
      <c r="B7" s="524"/>
      <c r="C7" s="524"/>
      <c r="D7" s="524"/>
      <c r="E7" s="525"/>
      <c r="J7" s="506"/>
      <c r="K7" s="115"/>
      <c r="L7" s="115"/>
      <c r="M7" s="115"/>
      <c r="N7" s="115"/>
      <c r="O7" s="115"/>
      <c r="P7" s="501"/>
      <c r="R7" s="546" t="s">
        <v>397</v>
      </c>
      <c r="S7" s="547">
        <f>IFERROR(S4-S2,"")</f>
        <v>0</v>
      </c>
      <c r="T7" s="547">
        <f>IFERROR(T4-T2,"")</f>
        <v>0</v>
      </c>
      <c r="U7" s="547">
        <f>IFERROR(U4-U2,"")</f>
        <v>0</v>
      </c>
      <c r="V7" s="548">
        <f>IFERROR(V4-V2,"")</f>
        <v>0</v>
      </c>
    </row>
    <row r="8" spans="1:22" ht="15.75" x14ac:dyDescent="0.25">
      <c r="A8" s="433" t="s">
        <v>5</v>
      </c>
      <c r="B8" s="434" t="s">
        <v>251</v>
      </c>
      <c r="C8" s="435">
        <f>'QTY 1'!C183</f>
        <v>0</v>
      </c>
      <c r="D8" s="436">
        <f>'QTY 1'!D183</f>
        <v>0</v>
      </c>
      <c r="E8" s="437">
        <f>D8*C8</f>
        <v>0</v>
      </c>
      <c r="J8" s="506"/>
      <c r="K8" s="115"/>
      <c r="L8" s="115"/>
      <c r="M8" s="115"/>
      <c r="N8" s="115"/>
      <c r="O8" s="115"/>
      <c r="P8" s="501"/>
      <c r="R8" s="535" t="s">
        <v>486</v>
      </c>
      <c r="S8" s="536">
        <f>G15</f>
        <v>0</v>
      </c>
      <c r="T8" s="536">
        <f>G16</f>
        <v>0</v>
      </c>
      <c r="U8" s="536">
        <f>G17</f>
        <v>0</v>
      </c>
      <c r="V8" s="537">
        <f>G18</f>
        <v>0</v>
      </c>
    </row>
    <row r="9" spans="1:22" ht="15" customHeight="1" x14ac:dyDescent="0.25">
      <c r="A9" s="228" t="s">
        <v>252</v>
      </c>
      <c r="B9" s="229" t="s">
        <v>251</v>
      </c>
      <c r="C9" s="435">
        <f>'QTY 1'!C184</f>
        <v>0</v>
      </c>
      <c r="D9" s="436">
        <f>'QTY 1'!D184</f>
        <v>0</v>
      </c>
      <c r="E9" s="231">
        <f>D9*C9</f>
        <v>0</v>
      </c>
      <c r="J9" s="506"/>
      <c r="K9" s="115"/>
      <c r="L9" s="115"/>
      <c r="M9" s="115"/>
      <c r="N9" s="115"/>
      <c r="O9" s="115"/>
      <c r="P9" s="501"/>
      <c r="R9" s="541" t="s">
        <v>389</v>
      </c>
      <c r="S9" s="549">
        <f>IF(S8&gt;0,200,0)</f>
        <v>0</v>
      </c>
      <c r="T9" s="549">
        <f>IF(T8&gt;0,200,0)</f>
        <v>0</v>
      </c>
      <c r="U9" s="549">
        <f>IF(U8&gt;0,200,0)</f>
        <v>0</v>
      </c>
      <c r="V9" s="550">
        <f>IF(V8&gt;0,200,0)</f>
        <v>0</v>
      </c>
    </row>
    <row r="10" spans="1:22" ht="15" customHeight="1" x14ac:dyDescent="0.25">
      <c r="A10" s="438" t="s">
        <v>253</v>
      </c>
      <c r="B10" s="439" t="s">
        <v>251</v>
      </c>
      <c r="C10" s="440">
        <f>'QTY 1'!C185</f>
        <v>0</v>
      </c>
      <c r="D10" s="441">
        <f>'QTY 1'!$B$205</f>
        <v>0</v>
      </c>
      <c r="E10" s="442">
        <f>D10*C10</f>
        <v>0</v>
      </c>
      <c r="J10" s="506"/>
      <c r="K10" s="115"/>
      <c r="L10" s="115"/>
      <c r="M10" s="115"/>
      <c r="N10" s="115"/>
      <c r="O10" s="115"/>
      <c r="P10" s="501"/>
      <c r="R10" s="541" t="s">
        <v>397</v>
      </c>
      <c r="S10" s="549">
        <f>SUM(S8:S9)*H15</f>
        <v>0</v>
      </c>
      <c r="T10" s="549">
        <f>SUM(T8:T9)*H16</f>
        <v>0</v>
      </c>
      <c r="U10" s="549">
        <f>SUM(U8:U9)*H17</f>
        <v>0</v>
      </c>
      <c r="V10" s="550">
        <f>SUM(V8:V9)*H18</f>
        <v>0</v>
      </c>
    </row>
    <row r="11" spans="1:22" ht="16.5" thickBot="1" x14ac:dyDescent="0.3">
      <c r="A11" s="438" t="s">
        <v>254</v>
      </c>
      <c r="B11" s="439" t="s">
        <v>251</v>
      </c>
      <c r="C11" s="440">
        <f>'QTY 1'!C186</f>
        <v>0</v>
      </c>
      <c r="D11" s="441">
        <f>'QTY 1'!$B$212</f>
        <v>0</v>
      </c>
      <c r="E11" s="442">
        <f>D11*C11</f>
        <v>0</v>
      </c>
      <c r="J11" s="506"/>
      <c r="K11" s="115"/>
      <c r="L11" s="115"/>
      <c r="M11" s="115"/>
      <c r="N11" s="115"/>
      <c r="O11" s="115"/>
      <c r="P11" s="501"/>
      <c r="R11" s="541" t="s">
        <v>398</v>
      </c>
      <c r="S11" s="549">
        <f>'QTY 1'!B208</f>
        <v>0</v>
      </c>
      <c r="T11" s="549">
        <f>'QTY 2'!B208</f>
        <v>0</v>
      </c>
      <c r="U11" s="549">
        <f>'QTY 3'!B208</f>
        <v>0</v>
      </c>
      <c r="V11" s="550">
        <f>'QTY 4'!B208</f>
        <v>0</v>
      </c>
    </row>
    <row r="12" spans="1:22" ht="16.5" thickBot="1" x14ac:dyDescent="0.3">
      <c r="A12" s="526" t="s">
        <v>298</v>
      </c>
      <c r="B12" s="527"/>
      <c r="C12" s="527"/>
      <c r="D12" s="528"/>
      <c r="E12" s="420">
        <f>SUM(E8:E11)</f>
        <v>0</v>
      </c>
      <c r="J12" s="506"/>
      <c r="K12" s="115"/>
      <c r="L12" s="115"/>
      <c r="M12" s="115"/>
      <c r="N12" s="115"/>
      <c r="O12" s="115"/>
      <c r="P12" s="501"/>
      <c r="R12" s="551" t="s">
        <v>396</v>
      </c>
      <c r="S12" s="552">
        <f>S11+S10+S9+S8</f>
        <v>0</v>
      </c>
      <c r="T12" s="553">
        <f>T11+T10+T9+T8</f>
        <v>0</v>
      </c>
      <c r="U12" s="553">
        <f>U11+U10+U9+U8</f>
        <v>0</v>
      </c>
      <c r="V12" s="554">
        <f>V11+V10+V9+V8</f>
        <v>0</v>
      </c>
    </row>
    <row r="13" spans="1:22" ht="15" customHeight="1" thickBot="1" x14ac:dyDescent="0.3">
      <c r="J13" s="506"/>
      <c r="K13" s="115"/>
      <c r="L13" s="115"/>
      <c r="M13" s="115"/>
      <c r="N13" s="115"/>
      <c r="O13" s="115"/>
      <c r="P13" s="501"/>
      <c r="R13" s="535" t="s">
        <v>487</v>
      </c>
      <c r="S13" s="536">
        <f>E15</f>
        <v>0</v>
      </c>
      <c r="T13" s="536">
        <f>E16</f>
        <v>0</v>
      </c>
      <c r="U13" s="536">
        <f>E17</f>
        <v>0</v>
      </c>
      <c r="V13" s="537">
        <f>E18</f>
        <v>0</v>
      </c>
    </row>
    <row r="14" spans="1:22" ht="15" customHeight="1" x14ac:dyDescent="0.25">
      <c r="A14" s="456" t="s">
        <v>335</v>
      </c>
      <c r="B14" s="457" t="s">
        <v>334</v>
      </c>
      <c r="C14" s="457" t="s">
        <v>336</v>
      </c>
      <c r="D14" s="457" t="s">
        <v>337</v>
      </c>
      <c r="E14" s="457" t="s">
        <v>388</v>
      </c>
      <c r="F14" s="457" t="s">
        <v>400</v>
      </c>
      <c r="G14" s="457" t="s">
        <v>285</v>
      </c>
      <c r="H14" s="496" t="s">
        <v>401</v>
      </c>
      <c r="I14" s="503" t="s">
        <v>402</v>
      </c>
      <c r="J14" s="506"/>
      <c r="K14" s="115"/>
      <c r="L14" s="115"/>
      <c r="M14" s="115"/>
      <c r="N14" s="115"/>
      <c r="O14" s="115"/>
      <c r="P14" s="501"/>
      <c r="R14" s="555" t="s">
        <v>399</v>
      </c>
      <c r="S14" s="549">
        <f>IF(S13&gt;0,100,0)</f>
        <v>0</v>
      </c>
      <c r="T14" s="549">
        <f>IF(T13&gt;0,100,0)</f>
        <v>0</v>
      </c>
      <c r="U14" s="549">
        <f>IF(U13&gt;0,100,0)</f>
        <v>0</v>
      </c>
      <c r="V14" s="550">
        <f>IF(V13&gt;0,100,0)</f>
        <v>0</v>
      </c>
    </row>
    <row r="15" spans="1:22" ht="15" customHeight="1" thickBot="1" x14ac:dyDescent="0.3">
      <c r="A15" s="5" t="s">
        <v>330</v>
      </c>
      <c r="B15" s="490"/>
      <c r="C15" s="487">
        <v>130</v>
      </c>
      <c r="D15" s="487">
        <v>165</v>
      </c>
      <c r="E15" s="487"/>
      <c r="F15" s="486">
        <v>0.25</v>
      </c>
      <c r="G15" s="487"/>
      <c r="H15" s="486">
        <v>0.25</v>
      </c>
      <c r="J15" s="506"/>
      <c r="K15" s="115"/>
      <c r="L15" s="115"/>
      <c r="M15" s="115"/>
      <c r="N15" s="115"/>
      <c r="O15" s="115"/>
      <c r="P15" s="501"/>
      <c r="R15" s="546" t="s">
        <v>397</v>
      </c>
      <c r="S15" s="556">
        <f>S13*F15</f>
        <v>0</v>
      </c>
      <c r="T15" s="556">
        <f>T13*F16</f>
        <v>0</v>
      </c>
      <c r="U15" s="556">
        <f>U13*F17</f>
        <v>0</v>
      </c>
      <c r="V15" s="557">
        <f>V13*F18</f>
        <v>0</v>
      </c>
    </row>
    <row r="16" spans="1:22" ht="15" customHeight="1" thickBot="1" x14ac:dyDescent="0.3">
      <c r="A16" s="5" t="s">
        <v>331</v>
      </c>
      <c r="B16" s="490"/>
      <c r="C16" s="487">
        <v>130</v>
      </c>
      <c r="D16" s="487">
        <v>165</v>
      </c>
      <c r="E16" s="487"/>
      <c r="F16" s="486">
        <v>0.25</v>
      </c>
      <c r="G16" s="487"/>
      <c r="H16" s="486">
        <v>0.25</v>
      </c>
      <c r="J16" s="506"/>
      <c r="K16" s="115"/>
      <c r="L16" s="115"/>
      <c r="M16" s="115"/>
      <c r="N16" s="115"/>
      <c r="O16" s="115"/>
      <c r="P16" s="501"/>
      <c r="R16" s="558" t="s">
        <v>395</v>
      </c>
      <c r="S16" s="559">
        <f>SUM(S15,S13,S14)</f>
        <v>0</v>
      </c>
      <c r="T16" s="559">
        <f>SUM(T15,T13,T14)</f>
        <v>0</v>
      </c>
      <c r="U16" s="559">
        <f>SUM(U15,U13,U14)</f>
        <v>0</v>
      </c>
      <c r="V16" s="560">
        <f>SUM(V15,V13,V14)</f>
        <v>0</v>
      </c>
    </row>
    <row r="17" spans="1:22" ht="15.75" x14ac:dyDescent="0.25">
      <c r="A17" s="5" t="s">
        <v>332</v>
      </c>
      <c r="B17" s="490"/>
      <c r="C17" s="487">
        <v>130</v>
      </c>
      <c r="D17" s="487">
        <v>165</v>
      </c>
      <c r="E17" s="487"/>
      <c r="F17" s="486">
        <v>0.25</v>
      </c>
      <c r="G17" s="487"/>
      <c r="H17" s="486">
        <v>0.25</v>
      </c>
      <c r="R17" s="535" t="s">
        <v>392</v>
      </c>
      <c r="S17" s="561">
        <f>S13+S8+S2+S9</f>
        <v>0</v>
      </c>
      <c r="T17" s="561">
        <f>T13+T8+T2+T9</f>
        <v>0</v>
      </c>
      <c r="U17" s="561">
        <f>U13+U8+U2+U9</f>
        <v>0</v>
      </c>
      <c r="V17" s="561">
        <f>V13+V8+V2+V9</f>
        <v>0</v>
      </c>
    </row>
    <row r="18" spans="1:22" ht="16.5" thickBot="1" x14ac:dyDescent="0.3">
      <c r="A18" s="10" t="s">
        <v>333</v>
      </c>
      <c r="B18" s="497"/>
      <c r="C18" s="487">
        <v>130</v>
      </c>
      <c r="D18" s="487">
        <v>165</v>
      </c>
      <c r="E18" s="498"/>
      <c r="F18" s="486">
        <v>0.25</v>
      </c>
      <c r="G18" s="498"/>
      <c r="H18" s="486">
        <v>0.25</v>
      </c>
      <c r="R18" s="541" t="s">
        <v>396</v>
      </c>
      <c r="S18" s="539">
        <f>S16+S12+S4</f>
        <v>0</v>
      </c>
      <c r="T18" s="539">
        <f>T16+T12+T4</f>
        <v>0</v>
      </c>
      <c r="U18" s="539">
        <f>U16+U12+U4</f>
        <v>0</v>
      </c>
      <c r="V18" s="540">
        <f>V16+V12+V4</f>
        <v>0</v>
      </c>
    </row>
    <row r="19" spans="1:22" ht="16.5" thickBot="1" x14ac:dyDescent="0.3">
      <c r="R19" s="541" t="s">
        <v>393</v>
      </c>
      <c r="S19" s="562" t="str">
        <f>IFERROR(S20/S17,"")</f>
        <v/>
      </c>
      <c r="T19" s="562" t="str">
        <f>IFERROR(T20/T17,"")</f>
        <v/>
      </c>
      <c r="U19" s="562" t="str">
        <f>IFERROR(U20/U17,"")</f>
        <v/>
      </c>
      <c r="V19" s="563" t="str">
        <f>IFERROR(V20/V17,"")</f>
        <v/>
      </c>
    </row>
    <row r="20" spans="1:22" ht="16.5" thickBot="1" x14ac:dyDescent="0.3">
      <c r="A20" s="343"/>
      <c r="B20" s="469" t="s">
        <v>341</v>
      </c>
      <c r="D20" s="2" t="s">
        <v>342</v>
      </c>
      <c r="E20" s="520"/>
      <c r="R20" s="546" t="s">
        <v>394</v>
      </c>
      <c r="S20" s="564">
        <f>S18-S17</f>
        <v>0</v>
      </c>
      <c r="T20" s="564">
        <f t="shared" ref="T20:V20" si="0">T18-T17</f>
        <v>0</v>
      </c>
      <c r="U20" s="564">
        <f>U18-U17</f>
        <v>0</v>
      </c>
      <c r="V20" s="565">
        <f t="shared" si="0"/>
        <v>0</v>
      </c>
    </row>
    <row r="21" spans="1:22" ht="16.5" thickBot="1" x14ac:dyDescent="0.3">
      <c r="A21" s="32" t="s">
        <v>5</v>
      </c>
      <c r="B21" s="491"/>
      <c r="D21" s="521"/>
      <c r="E21" s="522"/>
      <c r="F21" s="178"/>
      <c r="G21" s="178"/>
      <c r="H21" s="178"/>
      <c r="R21" s="566" t="s">
        <v>404</v>
      </c>
      <c r="S21" s="567">
        <f>S4+S10+S11+S14+S15</f>
        <v>0</v>
      </c>
      <c r="T21" s="567">
        <f>T4+T10+T11+T14+T15</f>
        <v>0</v>
      </c>
      <c r="U21" s="567">
        <f>U4+U10+U11+U14+U15</f>
        <v>0</v>
      </c>
      <c r="V21" s="568">
        <f>V4+V10+V11+V14+V15</f>
        <v>0</v>
      </c>
    </row>
    <row r="22" spans="1:22" ht="16.5" thickBot="1" x14ac:dyDescent="0.3">
      <c r="A22" s="32" t="s">
        <v>238</v>
      </c>
      <c r="B22" s="491"/>
      <c r="D22" s="521"/>
      <c r="E22" s="522"/>
      <c r="F22" s="178"/>
      <c r="G22" s="178"/>
      <c r="H22" s="178"/>
      <c r="R22" s="569"/>
      <c r="S22" s="569"/>
      <c r="T22" s="569"/>
      <c r="U22" s="569"/>
      <c r="V22" s="569"/>
    </row>
    <row r="23" spans="1:22" ht="15.75" x14ac:dyDescent="0.25">
      <c r="A23" s="32" t="s">
        <v>253</v>
      </c>
      <c r="B23" s="491"/>
      <c r="D23" s="521"/>
      <c r="E23" s="522"/>
      <c r="F23" s="178"/>
      <c r="G23" s="178"/>
      <c r="H23" s="178"/>
      <c r="R23" s="570" t="s">
        <v>488</v>
      </c>
      <c r="S23" s="791">
        <f>'QTY 1'!B26*24</f>
        <v>0.75</v>
      </c>
      <c r="T23" s="791">
        <f>'QTY 2'!B26*24</f>
        <v>0.75</v>
      </c>
      <c r="U23" s="791">
        <f>'QTY 3'!B26*24</f>
        <v>0.75</v>
      </c>
      <c r="V23" s="792">
        <f>'QTY 4'!B26*24</f>
        <v>0.75</v>
      </c>
    </row>
    <row r="24" spans="1:22" ht="15.75" x14ac:dyDescent="0.25">
      <c r="A24" s="32" t="s">
        <v>254</v>
      </c>
      <c r="B24" s="491"/>
      <c r="D24" s="521"/>
      <c r="E24" s="522"/>
      <c r="F24" s="178"/>
      <c r="G24" s="178"/>
      <c r="H24" s="178"/>
      <c r="R24" s="571" t="s">
        <v>489</v>
      </c>
      <c r="S24" s="572">
        <f>S23/7</f>
        <v>0.11</v>
      </c>
      <c r="T24" s="572">
        <f t="shared" ref="T24:V24" si="1">T23/7</f>
        <v>0.11</v>
      </c>
      <c r="U24" s="572">
        <f t="shared" si="1"/>
        <v>0.11</v>
      </c>
      <c r="V24" s="572">
        <f t="shared" si="1"/>
        <v>0.11</v>
      </c>
    </row>
    <row r="25" spans="1:22" ht="15.75" x14ac:dyDescent="0.25">
      <c r="A25" s="32" t="s">
        <v>342</v>
      </c>
      <c r="B25" s="510" t="s">
        <v>405</v>
      </c>
      <c r="R25" s="571" t="s">
        <v>490</v>
      </c>
      <c r="S25" s="573">
        <f>ROUNDUP(S24,0)</f>
        <v>1</v>
      </c>
      <c r="T25" s="573">
        <f>ROUNDUP(T24,0)</f>
        <v>1</v>
      </c>
      <c r="U25" s="573">
        <f>ROUNDUP(U24,0)</f>
        <v>1</v>
      </c>
      <c r="V25" s="574">
        <f>ROUNDUP(V24,0)</f>
        <v>1</v>
      </c>
    </row>
    <row r="26" spans="1:22" ht="16.5" thickBot="1" x14ac:dyDescent="0.3">
      <c r="A26" s="463" t="s">
        <v>256</v>
      </c>
      <c r="B26" s="471"/>
      <c r="R26" s="575" t="s">
        <v>481</v>
      </c>
      <c r="S26" s="576">
        <f>IFERROR('QTY 1'!C158,0)</f>
        <v>0.33</v>
      </c>
      <c r="T26" s="576">
        <f>IFERROR('QTY 2'!C158,0)</f>
        <v>0.33</v>
      </c>
      <c r="U26" s="576">
        <f>IFERROR('QTY 3'!C158,0)</f>
        <v>0.33</v>
      </c>
      <c r="V26" s="577">
        <f>IFERROR('QTY 4'!C158,0)</f>
        <v>0.33</v>
      </c>
    </row>
    <row r="27" spans="1:22" ht="16.5" thickBot="1" x14ac:dyDescent="0.3">
      <c r="Q27" s="453"/>
      <c r="R27" s="575" t="s">
        <v>482</v>
      </c>
      <c r="S27" s="576">
        <f>S26/7</f>
        <v>0.05</v>
      </c>
      <c r="T27" s="576">
        <f>T26/7</f>
        <v>0.05</v>
      </c>
      <c r="U27" s="576">
        <f>U26/7</f>
        <v>0.05</v>
      </c>
      <c r="V27" s="577">
        <f>V26/7</f>
        <v>0.05</v>
      </c>
    </row>
    <row r="28" spans="1:22" ht="16.5" thickBot="1" x14ac:dyDescent="0.3">
      <c r="A28" s="461" t="s">
        <v>356</v>
      </c>
      <c r="B28" s="492"/>
      <c r="Q28" s="453"/>
      <c r="R28" s="575" t="s">
        <v>490</v>
      </c>
      <c r="S28" s="578">
        <f>ROUNDUP(S27,0)</f>
        <v>1</v>
      </c>
      <c r="T28" s="578">
        <f>ROUNDUP(T27,0)</f>
        <v>1</v>
      </c>
      <c r="U28" s="578">
        <f>ROUNDUP(U27,0)</f>
        <v>1</v>
      </c>
      <c r="V28" s="579">
        <f>ROUNDUP(V27,0)</f>
        <v>1</v>
      </c>
    </row>
    <row r="29" spans="1:22" ht="15.75" x14ac:dyDescent="0.25">
      <c r="A29" s="175" t="s">
        <v>343</v>
      </c>
      <c r="B29" s="493"/>
      <c r="D29" s="4"/>
      <c r="E29" s="381" t="s">
        <v>385</v>
      </c>
      <c r="F29" s="381" t="s">
        <v>471</v>
      </c>
      <c r="G29" s="381" t="s">
        <v>386</v>
      </c>
      <c r="H29" s="381" t="s">
        <v>387</v>
      </c>
      <c r="Q29" s="453"/>
      <c r="R29" s="580" t="s">
        <v>491</v>
      </c>
      <c r="S29" s="581">
        <f>IFERROR('QTY 1'!C157,0)</f>
        <v>0</v>
      </c>
      <c r="T29" s="581">
        <f>IFERROR('QTY 2'!C157,0)</f>
        <v>0</v>
      </c>
      <c r="U29" s="581">
        <f>IFERROR('QTY 3'!C157,0)</f>
        <v>0</v>
      </c>
      <c r="V29" s="582">
        <f>IFERROR('QTY 4'!C157,0)</f>
        <v>0</v>
      </c>
    </row>
    <row r="30" spans="1:22" ht="16.5" thickBot="1" x14ac:dyDescent="0.3">
      <c r="A30" s="10" t="s">
        <v>344</v>
      </c>
      <c r="B30" s="494"/>
      <c r="D30" s="4" t="s">
        <v>472</v>
      </c>
      <c r="E30" s="532">
        <v>4.5</v>
      </c>
      <c r="F30" s="532">
        <v>4.5</v>
      </c>
      <c r="G30" s="532">
        <v>4.5</v>
      </c>
      <c r="H30" s="532">
        <v>4.5</v>
      </c>
      <c r="Q30" s="450"/>
      <c r="R30" s="580" t="s">
        <v>492</v>
      </c>
      <c r="S30" s="581">
        <f>S29/S32</f>
        <v>0</v>
      </c>
      <c r="T30" s="581">
        <f>T29/T32</f>
        <v>0</v>
      </c>
      <c r="U30" s="581">
        <f>U29/U32</f>
        <v>0</v>
      </c>
      <c r="V30" s="582">
        <f>V29/V32</f>
        <v>0</v>
      </c>
    </row>
    <row r="31" spans="1:22" ht="16.5" thickBot="1" x14ac:dyDescent="0.3">
      <c r="D31" s="4" t="s">
        <v>473</v>
      </c>
      <c r="E31" s="533">
        <v>2.31481481481481E-5</v>
      </c>
      <c r="F31" s="533">
        <v>2.31481481481481E-5</v>
      </c>
      <c r="G31" s="533">
        <v>2.31481481481481E-5</v>
      </c>
      <c r="H31" s="533">
        <v>2.31481481481481E-5</v>
      </c>
      <c r="Q31" s="450"/>
      <c r="R31" s="580" t="s">
        <v>483</v>
      </c>
      <c r="S31" s="581">
        <f>S30/7</f>
        <v>0</v>
      </c>
      <c r="T31" s="581">
        <f>T30/7</f>
        <v>0</v>
      </c>
      <c r="U31" s="581">
        <f>U30/7</f>
        <v>0</v>
      </c>
      <c r="V31" s="582">
        <f>V30/7</f>
        <v>0</v>
      </c>
    </row>
    <row r="32" spans="1:22" ht="15.75" x14ac:dyDescent="0.25">
      <c r="A32" s="495" t="s">
        <v>350</v>
      </c>
      <c r="B32" s="590"/>
      <c r="R32" s="580" t="s">
        <v>484</v>
      </c>
      <c r="S32" s="583">
        <v>2</v>
      </c>
      <c r="T32" s="583">
        <v>2</v>
      </c>
      <c r="U32" s="583">
        <v>2</v>
      </c>
      <c r="V32" s="584">
        <v>2</v>
      </c>
    </row>
    <row r="33" spans="1:22" ht="16.5" thickBot="1" x14ac:dyDescent="0.3">
      <c r="A33" s="458" t="s">
        <v>348</v>
      </c>
      <c r="B33" s="591"/>
      <c r="G33" s="178"/>
      <c r="H33" s="178"/>
      <c r="R33" s="793" t="s">
        <v>490</v>
      </c>
      <c r="S33" s="794">
        <f>ROUNDUP(S31,0)</f>
        <v>0</v>
      </c>
      <c r="T33" s="794">
        <f>ROUNDUP(T31,0)</f>
        <v>0</v>
      </c>
      <c r="U33" s="794">
        <f>ROUNDUP(U31,0)</f>
        <v>0</v>
      </c>
      <c r="V33" s="795">
        <f>ROUNDUP(V31,0)</f>
        <v>0</v>
      </c>
    </row>
    <row r="34" spans="1:22" ht="16.5" thickBot="1" x14ac:dyDescent="0.3">
      <c r="A34" s="459" t="s">
        <v>349</v>
      </c>
      <c r="B34" s="591"/>
      <c r="G34" s="178"/>
      <c r="H34" s="178"/>
      <c r="R34" s="796" t="s">
        <v>881</v>
      </c>
      <c r="S34" s="797">
        <f>SUM(S23,S26,S29)</f>
        <v>1.08</v>
      </c>
      <c r="T34" s="797">
        <f>SUM(T23,T26,T29)</f>
        <v>1.08</v>
      </c>
      <c r="U34" s="797">
        <f>SUM(U23,U26,U29)</f>
        <v>1.08</v>
      </c>
      <c r="V34" s="798">
        <f>SUM(V23,V26,V29)</f>
        <v>1.08</v>
      </c>
    </row>
    <row r="35" spans="1:22" ht="15" x14ac:dyDescent="0.25">
      <c r="A35" s="459" t="s">
        <v>351</v>
      </c>
      <c r="B35" s="591"/>
      <c r="G35" s="178"/>
      <c r="H35" s="178"/>
    </row>
    <row r="36" spans="1:22" ht="16.5" thickBot="1" x14ac:dyDescent="0.3">
      <c r="A36" s="460" t="s">
        <v>349</v>
      </c>
      <c r="B36" s="592"/>
      <c r="G36" s="178"/>
      <c r="H36" s="178"/>
      <c r="R36" s="529" t="s">
        <v>493</v>
      </c>
      <c r="S36" s="530">
        <f>S28+S25+S33</f>
        <v>2</v>
      </c>
      <c r="T36" s="530">
        <f>T28+T25+T33</f>
        <v>2</v>
      </c>
      <c r="U36" s="530">
        <f>U28+U25+U33</f>
        <v>2</v>
      </c>
      <c r="V36" s="530">
        <f>V28+V25+V33</f>
        <v>2</v>
      </c>
    </row>
    <row r="37" spans="1:22" ht="16.5" thickBot="1" x14ac:dyDescent="0.3">
      <c r="R37" s="531" t="s">
        <v>474</v>
      </c>
      <c r="S37" s="585">
        <f>IFERROR(S4/(S26+S29),0)</f>
        <v>0</v>
      </c>
      <c r="T37" s="585">
        <f>IFERROR(T4/(T26+T29),0)</f>
        <v>0</v>
      </c>
      <c r="U37" s="585">
        <f>IFERROR(U4/(U26+U29),0)</f>
        <v>0</v>
      </c>
      <c r="V37" s="585">
        <f>IFERROR(V4/(V26+V29),0)</f>
        <v>0</v>
      </c>
    </row>
    <row r="38" spans="1:22" ht="16.5" thickBot="1" x14ac:dyDescent="0.3">
      <c r="A38" s="461" t="s">
        <v>338</v>
      </c>
      <c r="B38" s="593"/>
      <c r="R38" s="586" t="s">
        <v>475</v>
      </c>
      <c r="S38" s="585">
        <f>S37*4</f>
        <v>0</v>
      </c>
      <c r="T38" s="585">
        <f>T37*4</f>
        <v>0</v>
      </c>
      <c r="U38" s="585">
        <f>U37*4</f>
        <v>0</v>
      </c>
      <c r="V38" s="585">
        <f>V37*4</f>
        <v>0</v>
      </c>
    </row>
    <row r="39" spans="1:22" ht="16.5" thickBot="1" x14ac:dyDescent="0.3">
      <c r="R39" s="586" t="s">
        <v>476</v>
      </c>
      <c r="S39" s="585">
        <f>IFERROR(S2/(S26+S29),0)</f>
        <v>0</v>
      </c>
      <c r="T39" s="585">
        <f>IFERROR(T2/(T26+T29),0)</f>
        <v>0</v>
      </c>
      <c r="U39" s="585">
        <f>IFERROR(U2/(U26+U29),0)</f>
        <v>0</v>
      </c>
      <c r="V39" s="585">
        <f>IFERROR(V2/(V26+V29),0)</f>
        <v>0</v>
      </c>
    </row>
    <row r="40" spans="1:22" ht="15.75" x14ac:dyDescent="0.25">
      <c r="A40" s="294" t="s">
        <v>16</v>
      </c>
      <c r="B40" s="507"/>
      <c r="I40" s="466"/>
      <c r="R40" s="569"/>
      <c r="S40" s="569"/>
      <c r="T40" s="569"/>
      <c r="U40" s="569"/>
      <c r="V40" s="569"/>
    </row>
    <row r="41" spans="1:22" ht="16.5" thickBot="1" x14ac:dyDescent="0.3">
      <c r="A41" s="463" t="s">
        <v>33</v>
      </c>
      <c r="B41" s="471"/>
      <c r="R41" s="531" t="s">
        <v>477</v>
      </c>
      <c r="S41" s="587">
        <v>0.3</v>
      </c>
      <c r="T41" s="587">
        <v>0.3</v>
      </c>
      <c r="U41" s="587">
        <v>0.3</v>
      </c>
      <c r="V41" s="587">
        <v>0.15</v>
      </c>
    </row>
    <row r="42" spans="1:22" ht="16.5" thickBot="1" x14ac:dyDescent="0.3">
      <c r="R42" s="531" t="s">
        <v>478</v>
      </c>
      <c r="S42" s="588">
        <f>S2*(1+S41)</f>
        <v>0</v>
      </c>
      <c r="T42" s="588">
        <f>T2*(1+T41)</f>
        <v>0</v>
      </c>
      <c r="U42" s="588">
        <f>U2*(1+U41)</f>
        <v>0</v>
      </c>
      <c r="V42" s="588">
        <f>V2*(1+V41)</f>
        <v>0</v>
      </c>
    </row>
    <row r="43" spans="1:22" ht="15.75" x14ac:dyDescent="0.25">
      <c r="A43" s="456" t="s">
        <v>35</v>
      </c>
      <c r="B43" s="507"/>
      <c r="R43" s="531" t="s">
        <v>454</v>
      </c>
      <c r="S43" s="588">
        <f>IFERROR((S42-('QTY 1'!C158*final!S44))/'QTY 1'!C157,0)</f>
        <v>0</v>
      </c>
      <c r="T43" s="588">
        <f>IFERROR((T42-('QTY 2'!C158*final!T44))/'QTY 2'!C157,0)</f>
        <v>0</v>
      </c>
      <c r="U43" s="588">
        <f>IFERROR((U42-('QTY 3'!C158*final!U44))/'QTY 3'!C157,0)</f>
        <v>0</v>
      </c>
      <c r="V43" s="588">
        <f>IFERROR((V42-('QTY 4'!C158*final!V44))/'QTY 4'!C157,0)</f>
        <v>0</v>
      </c>
    </row>
    <row r="44" spans="1:22" ht="15.75" x14ac:dyDescent="0.25">
      <c r="A44" s="462" t="s">
        <v>38</v>
      </c>
      <c r="B44" s="470"/>
      <c r="K44" s="42"/>
      <c r="L44" s="42"/>
      <c r="M44" s="42"/>
      <c r="N44" s="42"/>
      <c r="O44" s="42"/>
      <c r="R44" s="531" t="s">
        <v>455</v>
      </c>
      <c r="S44" s="589">
        <v>165</v>
      </c>
      <c r="T44" s="589">
        <v>165</v>
      </c>
      <c r="U44" s="589">
        <v>165</v>
      </c>
      <c r="V44" s="589">
        <v>165</v>
      </c>
    </row>
    <row r="45" spans="1:22" ht="15" x14ac:dyDescent="0.25">
      <c r="A45" s="462" t="s">
        <v>41</v>
      </c>
      <c r="B45" s="470"/>
    </row>
    <row r="46" spans="1:22" ht="15" x14ac:dyDescent="0.25">
      <c r="A46" s="32" t="s">
        <v>43</v>
      </c>
      <c r="B46" s="470"/>
    </row>
    <row r="47" spans="1:22" ht="15" x14ac:dyDescent="0.25">
      <c r="A47" s="462" t="s">
        <v>45</v>
      </c>
      <c r="B47" s="470"/>
    </row>
    <row r="48" spans="1:22" ht="15" x14ac:dyDescent="0.25">
      <c r="A48" s="32" t="s">
        <v>47</v>
      </c>
      <c r="B48" s="470"/>
      <c r="P48" s="42"/>
    </row>
    <row r="49" spans="1:15" ht="15" x14ac:dyDescent="0.25">
      <c r="A49" s="462" t="s">
        <v>49</v>
      </c>
      <c r="B49" s="470"/>
    </row>
    <row r="50" spans="1:15" ht="15" x14ac:dyDescent="0.25">
      <c r="A50" s="462" t="s">
        <v>51</v>
      </c>
      <c r="B50" s="470"/>
    </row>
    <row r="51" spans="1:15" ht="15.75" thickBot="1" x14ac:dyDescent="0.3">
      <c r="A51" s="463" t="s">
        <v>53</v>
      </c>
      <c r="B51" s="471"/>
      <c r="K51" s="42"/>
    </row>
    <row r="52" spans="1:15" ht="15.75" thickBot="1" x14ac:dyDescent="0.3">
      <c r="L52" s="42"/>
      <c r="M52" s="42"/>
      <c r="N52" s="42"/>
      <c r="O52" s="42"/>
    </row>
    <row r="53" spans="1:15" ht="15.75" thickBot="1" x14ac:dyDescent="0.3">
      <c r="A53" s="461" t="s">
        <v>357</v>
      </c>
      <c r="B53" s="508"/>
    </row>
    <row r="54" spans="1:15" ht="15" x14ac:dyDescent="0.25"/>
  </sheetData>
  <mergeCells count="3">
    <mergeCell ref="K1:P1"/>
    <mergeCell ref="K2:P2"/>
    <mergeCell ref="K3:P3"/>
  </mergeCells>
  <phoneticPr fontId="30" type="noConversion"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63EE-36AF-4C14-BE39-7E9972566A60}">
  <sheetPr codeName="Sheet6">
    <pageSetUpPr fitToPage="1"/>
  </sheetPr>
  <dimension ref="A1:AS255"/>
  <sheetViews>
    <sheetView showGridLines="0" view="pageLayout" zoomScale="115" zoomScaleNormal="115" zoomScaleSheetLayoutView="85" zoomScalePageLayoutView="115" workbookViewId="0">
      <selection activeCell="C13" sqref="C13:N13"/>
    </sheetView>
  </sheetViews>
  <sheetFormatPr defaultColWidth="2.28515625" defaultRowHeight="15" x14ac:dyDescent="0.25"/>
  <cols>
    <col min="1" max="1" width="2.7109375" style="428" customWidth="1"/>
    <col min="2" max="40" width="2.7109375" customWidth="1"/>
    <col min="41" max="46" width="2.42578125" customWidth="1"/>
  </cols>
  <sheetData>
    <row r="1" spans="3:45" ht="9.6" customHeight="1" x14ac:dyDescent="0.25">
      <c r="C1" s="427"/>
      <c r="D1" s="427"/>
      <c r="E1" s="427"/>
      <c r="F1" s="427"/>
      <c r="G1" s="427"/>
      <c r="H1" s="427"/>
      <c r="I1" s="427"/>
      <c r="J1" s="427"/>
      <c r="K1" s="427"/>
      <c r="L1" s="427"/>
      <c r="M1" s="427"/>
      <c r="N1" s="427"/>
      <c r="O1" s="427"/>
      <c r="P1" s="427"/>
      <c r="Q1" s="427"/>
      <c r="R1" s="427"/>
      <c r="S1" s="427"/>
      <c r="T1" s="427"/>
      <c r="U1" s="427"/>
      <c r="V1" s="427"/>
      <c r="W1" s="427"/>
      <c r="X1" s="427"/>
      <c r="Y1" s="427"/>
      <c r="Z1" s="427"/>
      <c r="AA1" s="427"/>
      <c r="AB1" s="427"/>
      <c r="AC1" s="427"/>
      <c r="AD1" s="427"/>
      <c r="AE1" s="427"/>
      <c r="AF1" s="427"/>
      <c r="AG1" s="427"/>
      <c r="AH1" s="427"/>
      <c r="AI1" s="427"/>
      <c r="AJ1" s="427"/>
      <c r="AK1" s="427"/>
      <c r="AL1" s="427"/>
      <c r="AM1" s="427"/>
    </row>
    <row r="2" spans="3:45" ht="14.65" customHeight="1" x14ac:dyDescent="0.25"/>
    <row r="3" spans="3:45" ht="14.65" customHeight="1" x14ac:dyDescent="0.25">
      <c r="G3" s="446"/>
      <c r="I3" s="784" t="s">
        <v>339</v>
      </c>
      <c r="J3" s="784"/>
      <c r="K3" s="784"/>
      <c r="L3" s="784"/>
      <c r="M3" s="784"/>
      <c r="N3" s="784"/>
      <c r="O3" s="784"/>
      <c r="P3" s="784"/>
      <c r="Q3" s="784"/>
      <c r="R3" s="784"/>
      <c r="AI3" s="785" t="s">
        <v>304</v>
      </c>
      <c r="AJ3" s="785"/>
      <c r="AK3" s="785"/>
      <c r="AL3" s="785"/>
      <c r="AM3" s="785"/>
    </row>
    <row r="4" spans="3:45" ht="14.65" customHeight="1" x14ac:dyDescent="0.25">
      <c r="G4" s="446"/>
      <c r="I4" s="786" t="s">
        <v>305</v>
      </c>
      <c r="J4" s="786"/>
      <c r="K4" s="786"/>
      <c r="L4" s="786"/>
      <c r="M4" s="786"/>
      <c r="N4" s="786"/>
      <c r="O4" s="786"/>
      <c r="P4" s="786"/>
      <c r="Q4" s="786"/>
      <c r="R4" s="786"/>
      <c r="AI4" s="785"/>
      <c r="AJ4" s="785"/>
      <c r="AK4" s="785"/>
      <c r="AL4" s="785"/>
      <c r="AM4" s="785"/>
    </row>
    <row r="5" spans="3:45" x14ac:dyDescent="0.25">
      <c r="I5" s="786" t="s">
        <v>346</v>
      </c>
      <c r="J5" s="786"/>
      <c r="K5" s="786"/>
      <c r="L5" s="786"/>
      <c r="M5" s="786"/>
      <c r="N5" s="786"/>
      <c r="O5" s="786"/>
      <c r="P5" s="786"/>
      <c r="Q5" s="786"/>
      <c r="R5" s="786"/>
      <c r="AM5" s="454"/>
      <c r="AN5" s="454"/>
      <c r="AO5" s="454"/>
      <c r="AP5" s="454"/>
      <c r="AQ5" s="454"/>
      <c r="AR5" s="454"/>
      <c r="AS5" s="454"/>
    </row>
    <row r="6" spans="3:45" x14ac:dyDescent="0.25">
      <c r="I6" s="786" t="s">
        <v>345</v>
      </c>
      <c r="J6" s="786"/>
      <c r="K6" s="786"/>
      <c r="L6" s="786"/>
      <c r="M6" s="786"/>
      <c r="N6" s="786"/>
      <c r="O6" s="786"/>
      <c r="P6" s="786"/>
      <c r="Q6" s="786"/>
      <c r="R6" s="786"/>
      <c r="AL6" s="454"/>
    </row>
    <row r="7" spans="3:45" x14ac:dyDescent="0.25">
      <c r="I7" s="786" t="s">
        <v>347</v>
      </c>
      <c r="J7" s="786"/>
      <c r="K7" s="786"/>
      <c r="L7" s="786"/>
      <c r="M7" s="786"/>
      <c r="N7" s="786"/>
      <c r="O7" s="786"/>
      <c r="P7" s="786"/>
      <c r="Q7" s="786"/>
      <c r="R7" s="786"/>
    </row>
    <row r="8" spans="3:45" ht="10.9" customHeight="1" x14ac:dyDescent="0.25">
      <c r="C8" s="451"/>
      <c r="D8" s="451"/>
      <c r="E8" s="451"/>
      <c r="F8" s="451"/>
      <c r="G8" s="451"/>
      <c r="H8" s="451"/>
      <c r="I8" s="451"/>
      <c r="J8" s="781"/>
      <c r="K8" s="781"/>
      <c r="L8" s="781"/>
      <c r="M8" s="781"/>
      <c r="N8" s="781"/>
      <c r="O8" s="781"/>
      <c r="P8" s="781"/>
      <c r="Q8" s="781"/>
      <c r="R8" s="781"/>
      <c r="S8" s="781"/>
      <c r="T8" s="451"/>
      <c r="U8" s="451"/>
      <c r="V8" s="451"/>
      <c r="W8" s="451"/>
      <c r="X8" s="451"/>
      <c r="Y8" s="451"/>
      <c r="Z8" s="451"/>
      <c r="AA8" s="451"/>
      <c r="AB8" s="451"/>
      <c r="AC8" s="451"/>
      <c r="AD8" s="451"/>
      <c r="AE8" s="451"/>
      <c r="AF8" s="451"/>
      <c r="AG8" s="451"/>
      <c r="AH8" s="451"/>
      <c r="AI8" s="451"/>
      <c r="AJ8" s="451"/>
      <c r="AK8" s="451"/>
      <c r="AL8" s="451"/>
      <c r="AM8" s="451"/>
    </row>
    <row r="10" spans="3:45" x14ac:dyDescent="0.25">
      <c r="C10" s="443" t="s">
        <v>312</v>
      </c>
      <c r="D10" s="443"/>
      <c r="E10" s="443"/>
      <c r="F10" s="443"/>
      <c r="G10" s="443"/>
      <c r="H10" s="443"/>
      <c r="I10" s="443"/>
      <c r="J10" s="443"/>
      <c r="K10" s="443"/>
      <c r="L10" s="443"/>
      <c r="M10" s="443"/>
      <c r="N10" s="443"/>
      <c r="O10" s="782" t="s">
        <v>306</v>
      </c>
      <c r="P10" s="779"/>
      <c r="Q10" s="783"/>
      <c r="R10" s="783"/>
      <c r="S10" s="783"/>
      <c r="T10" s="783"/>
      <c r="U10" s="783"/>
      <c r="V10" s="447"/>
      <c r="W10" s="447"/>
      <c r="X10" s="448"/>
      <c r="Y10" s="776" t="s">
        <v>350</v>
      </c>
      <c r="Z10" s="776"/>
      <c r="AA10" s="776"/>
      <c r="AB10" s="776"/>
      <c r="AC10" s="776"/>
      <c r="AD10" s="776"/>
      <c r="AE10" s="776"/>
      <c r="AF10" s="776"/>
      <c r="AG10" s="776"/>
      <c r="AH10" s="776"/>
      <c r="AI10" s="776"/>
      <c r="AJ10" s="472"/>
      <c r="AK10" s="472"/>
      <c r="AL10" s="472"/>
      <c r="AM10" s="472"/>
      <c r="AN10" s="443"/>
      <c r="AO10" s="443"/>
    </row>
    <row r="11" spans="3:45" x14ac:dyDescent="0.25">
      <c r="C11" s="775" t="s">
        <v>462</v>
      </c>
      <c r="D11" s="770"/>
      <c r="E11" s="770"/>
      <c r="F11" s="770"/>
      <c r="G11" s="770"/>
      <c r="H11" s="770"/>
      <c r="I11" s="770"/>
      <c r="J11" s="770"/>
      <c r="K11" s="770"/>
      <c r="L11" s="770"/>
      <c r="M11" s="770"/>
      <c r="N11" s="770"/>
      <c r="O11" s="779" t="s">
        <v>307</v>
      </c>
      <c r="P11" s="779"/>
      <c r="Q11" s="779"/>
      <c r="R11" s="779"/>
      <c r="S11" s="769" t="s">
        <v>310</v>
      </c>
      <c r="T11" s="769"/>
      <c r="U11" s="769"/>
      <c r="V11" s="769"/>
      <c r="W11" s="453"/>
      <c r="X11" s="453"/>
      <c r="Y11" s="778"/>
      <c r="Z11" s="778"/>
      <c r="AA11" s="778"/>
      <c r="AB11" s="778"/>
      <c r="AC11" s="778"/>
      <c r="AD11" s="778"/>
      <c r="AE11" s="778"/>
      <c r="AF11" s="778"/>
      <c r="AG11" s="778"/>
      <c r="AH11" s="778"/>
      <c r="AI11" s="778"/>
      <c r="AJ11" s="778"/>
      <c r="AK11" s="778"/>
      <c r="AL11" s="778"/>
      <c r="AM11" s="778"/>
      <c r="AN11" s="452"/>
      <c r="AO11" s="452"/>
    </row>
    <row r="12" spans="3:45" x14ac:dyDescent="0.25">
      <c r="C12" s="775" t="s">
        <v>463</v>
      </c>
      <c r="D12" s="770"/>
      <c r="E12" s="770"/>
      <c r="F12" s="770"/>
      <c r="G12" s="770"/>
      <c r="H12" s="770"/>
      <c r="I12" s="770"/>
      <c r="J12" s="770"/>
      <c r="K12" s="770"/>
      <c r="L12" s="770"/>
      <c r="M12" s="770"/>
      <c r="N12" s="770"/>
      <c r="O12" s="779" t="s">
        <v>308</v>
      </c>
      <c r="P12" s="779"/>
      <c r="Q12" s="779"/>
      <c r="R12" s="779"/>
      <c r="S12" s="769" t="s">
        <v>311</v>
      </c>
      <c r="T12" s="769"/>
      <c r="U12" s="769"/>
      <c r="V12" s="769"/>
      <c r="W12" s="453"/>
      <c r="X12" s="453"/>
      <c r="Y12" s="780" t="s">
        <v>348</v>
      </c>
      <c r="Z12" s="780"/>
      <c r="AA12" s="780"/>
      <c r="AB12" s="780"/>
      <c r="AC12" s="777"/>
      <c r="AD12" s="777"/>
      <c r="AE12" s="777"/>
      <c r="AF12" s="777"/>
      <c r="AG12" s="777"/>
      <c r="AH12" s="777"/>
      <c r="AI12" s="777"/>
      <c r="AJ12" s="777"/>
      <c r="AK12" s="777"/>
      <c r="AL12" s="777"/>
      <c r="AM12" s="777"/>
      <c r="AN12" s="452"/>
      <c r="AO12" s="452"/>
    </row>
    <row r="13" spans="3:45" x14ac:dyDescent="0.25">
      <c r="C13" s="775" t="s">
        <v>464</v>
      </c>
      <c r="D13" s="770"/>
      <c r="E13" s="770"/>
      <c r="F13" s="770"/>
      <c r="G13" s="770"/>
      <c r="H13" s="770"/>
      <c r="I13" s="770"/>
      <c r="J13" s="770"/>
      <c r="K13" s="770"/>
      <c r="L13" s="770"/>
      <c r="M13" s="770"/>
      <c r="N13" s="770"/>
      <c r="O13" s="779" t="s">
        <v>309</v>
      </c>
      <c r="P13" s="779"/>
      <c r="Q13" s="779"/>
      <c r="R13" s="779"/>
      <c r="S13" s="779"/>
      <c r="T13" s="443"/>
      <c r="U13" s="447"/>
      <c r="V13" s="447"/>
      <c r="W13" s="447"/>
      <c r="X13" s="447"/>
      <c r="Y13" s="778" t="s">
        <v>349</v>
      </c>
      <c r="Z13" s="778"/>
      <c r="AA13" s="778"/>
      <c r="AB13" s="778"/>
      <c r="AC13" s="778"/>
      <c r="AD13" s="778"/>
      <c r="AE13" s="778"/>
      <c r="AF13" s="778"/>
      <c r="AG13" s="778"/>
      <c r="AH13" s="778"/>
      <c r="AI13" s="778"/>
      <c r="AJ13" s="778"/>
      <c r="AK13" s="778"/>
      <c r="AL13" s="778"/>
      <c r="AM13" s="778"/>
      <c r="AN13" s="452"/>
      <c r="AO13" s="452"/>
    </row>
    <row r="14" spans="3:45" x14ac:dyDescent="0.25">
      <c r="C14" s="775" t="s">
        <v>465</v>
      </c>
      <c r="D14" s="770"/>
      <c r="E14" s="770"/>
      <c r="F14" s="770"/>
      <c r="G14" s="770"/>
      <c r="H14" s="770"/>
      <c r="I14" s="770"/>
      <c r="J14" s="770"/>
      <c r="K14" s="770"/>
      <c r="L14" s="770"/>
      <c r="M14" s="770"/>
      <c r="N14" s="770"/>
      <c r="O14" s="770"/>
      <c r="P14" s="770"/>
      <c r="Q14" s="770"/>
      <c r="R14" s="770"/>
      <c r="S14" s="770"/>
      <c r="T14" s="770"/>
      <c r="U14" s="770"/>
      <c r="V14" s="770"/>
      <c r="W14" s="770"/>
      <c r="X14" s="450"/>
      <c r="Y14" s="776" t="s">
        <v>351</v>
      </c>
      <c r="Z14" s="776"/>
      <c r="AA14" s="776"/>
      <c r="AB14" s="776"/>
      <c r="AC14" s="777"/>
      <c r="AD14" s="777"/>
      <c r="AE14" s="777"/>
      <c r="AF14" s="777"/>
      <c r="AG14" s="777"/>
      <c r="AH14" s="777"/>
      <c r="AI14" s="777"/>
      <c r="AJ14" s="777"/>
      <c r="AK14" s="777"/>
      <c r="AL14" s="777"/>
      <c r="AM14" s="777"/>
      <c r="AN14" s="452"/>
    </row>
    <row r="15" spans="3:45" x14ac:dyDescent="0.25">
      <c r="C15" s="775" t="s">
        <v>466</v>
      </c>
      <c r="D15" s="770"/>
      <c r="E15" s="770"/>
      <c r="F15" s="770"/>
      <c r="G15" s="770"/>
      <c r="H15" s="770"/>
      <c r="I15" s="770"/>
      <c r="J15" s="770"/>
      <c r="K15" s="770"/>
      <c r="L15" s="770"/>
      <c r="M15" s="770"/>
      <c r="N15" s="770"/>
      <c r="O15" s="770"/>
      <c r="P15" s="770"/>
      <c r="Q15" s="770"/>
      <c r="R15" s="770"/>
      <c r="S15" s="770"/>
      <c r="T15" s="770"/>
      <c r="U15" s="770"/>
      <c r="V15" s="770"/>
      <c r="W15" s="770"/>
      <c r="X15" s="450"/>
      <c r="Y15" s="778" t="s">
        <v>349</v>
      </c>
      <c r="Z15" s="778"/>
      <c r="AA15" s="777"/>
      <c r="AB15" s="777"/>
      <c r="AC15" s="777"/>
      <c r="AD15" s="777"/>
      <c r="AE15" s="777"/>
      <c r="AF15" s="777"/>
      <c r="AG15" s="777"/>
      <c r="AH15" s="777"/>
      <c r="AI15" s="777"/>
      <c r="AJ15" s="777"/>
      <c r="AK15" s="777"/>
      <c r="AL15" s="777"/>
      <c r="AM15" s="777"/>
      <c r="AN15" s="452"/>
    </row>
    <row r="16" spans="3:45" x14ac:dyDescent="0.25">
      <c r="C16" s="768" t="s">
        <v>467</v>
      </c>
      <c r="D16" s="769"/>
      <c r="E16" s="769"/>
      <c r="F16" s="769"/>
      <c r="G16" s="769"/>
      <c r="H16" s="769"/>
      <c r="I16" s="769"/>
      <c r="J16" s="769"/>
      <c r="K16" s="769"/>
      <c r="L16" s="769"/>
      <c r="M16" s="769"/>
      <c r="N16" s="769"/>
      <c r="O16" s="770"/>
      <c r="P16" s="770"/>
      <c r="Q16" s="770"/>
      <c r="R16" s="770"/>
      <c r="S16" s="770"/>
      <c r="T16" s="770"/>
      <c r="U16" s="770"/>
      <c r="V16" s="770"/>
      <c r="W16" s="770"/>
      <c r="X16" s="450"/>
      <c r="Y16" s="450"/>
      <c r="Z16" s="450"/>
      <c r="AA16" s="450"/>
      <c r="AB16" s="453"/>
      <c r="AC16" s="453"/>
      <c r="AD16" s="453"/>
      <c r="AE16" s="453"/>
      <c r="AF16" s="453"/>
      <c r="AG16" s="453"/>
      <c r="AH16" s="453"/>
      <c r="AI16" s="453"/>
      <c r="AJ16" s="453"/>
      <c r="AK16" s="453"/>
      <c r="AL16" s="453"/>
      <c r="AM16" s="453"/>
      <c r="AN16" s="453"/>
    </row>
    <row r="17" spans="1:40" x14ac:dyDescent="0.25">
      <c r="C17" s="449"/>
      <c r="D17" s="449"/>
      <c r="E17" s="449"/>
      <c r="F17" s="449"/>
      <c r="G17" s="449"/>
      <c r="H17" s="449"/>
      <c r="I17" s="449"/>
      <c r="J17" s="449"/>
      <c r="K17" s="449"/>
      <c r="L17" s="449"/>
      <c r="M17" s="449"/>
      <c r="N17" s="455"/>
      <c r="O17" s="455"/>
      <c r="P17" s="455"/>
      <c r="Q17" s="455"/>
      <c r="R17" s="455"/>
      <c r="S17" s="455"/>
      <c r="T17" s="455"/>
      <c r="U17" s="455"/>
      <c r="V17" s="455"/>
      <c r="W17" s="455"/>
      <c r="X17" s="473"/>
      <c r="Y17" s="473"/>
      <c r="Z17" s="473"/>
      <c r="AA17" s="473"/>
      <c r="AB17" s="473"/>
      <c r="AC17" s="449"/>
      <c r="AD17" s="449"/>
      <c r="AE17" s="449"/>
      <c r="AF17" s="449"/>
      <c r="AG17" s="449"/>
      <c r="AH17" s="449"/>
      <c r="AI17" s="449"/>
      <c r="AJ17" s="449"/>
      <c r="AK17" s="449"/>
      <c r="AL17" s="449"/>
      <c r="AM17" s="449"/>
    </row>
    <row r="18" spans="1:40" s="445" customFormat="1" ht="14.65" customHeight="1" x14ac:dyDescent="0.25">
      <c r="A18" s="444"/>
      <c r="C18" s="751" t="s">
        <v>359</v>
      </c>
      <c r="D18" s="752"/>
      <c r="E18" s="752"/>
      <c r="F18" s="753"/>
      <c r="G18" s="771" t="s">
        <v>313</v>
      </c>
      <c r="H18" s="749"/>
      <c r="I18" s="749"/>
      <c r="J18" s="749"/>
      <c r="K18" s="749"/>
      <c r="L18" s="749"/>
      <c r="M18" s="750"/>
      <c r="N18" s="772" t="s">
        <v>289</v>
      </c>
      <c r="O18" s="773"/>
      <c r="P18" s="773"/>
      <c r="Q18" s="773"/>
      <c r="R18" s="774"/>
      <c r="S18" s="772" t="s">
        <v>362</v>
      </c>
      <c r="T18" s="773"/>
      <c r="U18" s="773"/>
      <c r="V18" s="773"/>
      <c r="W18" s="774"/>
      <c r="X18" s="772" t="s">
        <v>363</v>
      </c>
      <c r="Y18" s="773"/>
      <c r="Z18" s="773"/>
      <c r="AA18" s="773"/>
      <c r="AB18" s="774"/>
      <c r="AC18" s="749" t="s">
        <v>314</v>
      </c>
      <c r="AD18" s="749"/>
      <c r="AE18" s="749"/>
      <c r="AF18" s="749"/>
      <c r="AG18" s="749"/>
      <c r="AH18" s="749"/>
      <c r="AI18" s="749"/>
      <c r="AJ18" s="750"/>
      <c r="AK18" s="751" t="s">
        <v>315</v>
      </c>
      <c r="AL18" s="752"/>
      <c r="AM18" s="753"/>
      <c r="AN18" s="426"/>
    </row>
    <row r="19" spans="1:40" ht="15.6" customHeight="1" x14ac:dyDescent="0.25">
      <c r="C19" s="754" t="s">
        <v>316</v>
      </c>
      <c r="D19" s="755"/>
      <c r="E19" s="755"/>
      <c r="F19" s="756"/>
      <c r="G19" s="757"/>
      <c r="H19" s="758"/>
      <c r="I19" s="758"/>
      <c r="J19" s="758"/>
      <c r="K19" s="758"/>
      <c r="L19" s="758"/>
      <c r="M19" s="759"/>
      <c r="N19" s="757"/>
      <c r="O19" s="760"/>
      <c r="P19" s="760"/>
      <c r="Q19" s="760"/>
      <c r="R19" s="761"/>
      <c r="S19" s="762" t="s">
        <v>469</v>
      </c>
      <c r="T19" s="763"/>
      <c r="U19" s="763"/>
      <c r="V19" s="763"/>
      <c r="W19" s="764"/>
      <c r="X19" s="762" t="s">
        <v>470</v>
      </c>
      <c r="Y19" s="763"/>
      <c r="Z19" s="763"/>
      <c r="AA19" s="763"/>
      <c r="AB19" s="764"/>
      <c r="AC19" s="765" t="s">
        <v>339</v>
      </c>
      <c r="AD19" s="766"/>
      <c r="AE19" s="766"/>
      <c r="AF19" s="766"/>
      <c r="AG19" s="766"/>
      <c r="AH19" s="766"/>
      <c r="AI19" s="766"/>
      <c r="AJ19" s="767"/>
      <c r="AK19" s="754" t="s">
        <v>468</v>
      </c>
      <c r="AL19" s="755"/>
      <c r="AM19" s="756"/>
      <c r="AN19" s="425"/>
    </row>
    <row r="20" spans="1:40" x14ac:dyDescent="0.25">
      <c r="G20" s="511"/>
      <c r="H20" s="511"/>
      <c r="I20" s="511"/>
      <c r="J20" s="511"/>
      <c r="K20" s="511"/>
      <c r="L20" s="511"/>
      <c r="M20" s="511"/>
      <c r="N20" s="511"/>
      <c r="O20" s="511"/>
      <c r="P20" s="511"/>
      <c r="Q20" s="511"/>
      <c r="R20" s="511"/>
      <c r="S20" s="511"/>
      <c r="T20" s="511"/>
      <c r="U20" s="511"/>
      <c r="V20" s="511"/>
      <c r="W20" s="511"/>
      <c r="X20" s="511"/>
    </row>
    <row r="21" spans="1:40" x14ac:dyDescent="0.25">
      <c r="C21" s="747" t="s">
        <v>243</v>
      </c>
      <c r="D21" s="747"/>
      <c r="E21" s="747"/>
      <c r="F21" s="747"/>
      <c r="G21" s="747"/>
      <c r="H21" s="747"/>
      <c r="I21" s="747"/>
      <c r="J21" s="747"/>
      <c r="K21" s="747"/>
      <c r="L21" s="747"/>
      <c r="M21" s="747"/>
      <c r="N21" s="747"/>
      <c r="O21" s="747" t="s">
        <v>244</v>
      </c>
      <c r="P21" s="747"/>
      <c r="Q21" s="747"/>
      <c r="R21" s="747"/>
      <c r="S21" s="747"/>
      <c r="T21" s="747"/>
      <c r="U21" s="747"/>
      <c r="V21" s="747"/>
      <c r="W21" s="747"/>
      <c r="X21" s="747"/>
      <c r="Y21" s="748" t="s">
        <v>358</v>
      </c>
      <c r="Z21" s="748"/>
      <c r="AA21" s="748"/>
      <c r="AB21" s="748" t="s">
        <v>236</v>
      </c>
      <c r="AC21" s="748"/>
      <c r="AD21" s="748"/>
      <c r="AE21" s="748"/>
      <c r="AF21" s="748"/>
      <c r="AG21" s="748" t="s">
        <v>246</v>
      </c>
      <c r="AH21" s="748"/>
      <c r="AI21" s="748"/>
      <c r="AJ21" s="748"/>
      <c r="AK21" s="748"/>
      <c r="AL21" s="748"/>
      <c r="AM21" s="748"/>
    </row>
    <row r="22" spans="1:40" hidden="1" x14ac:dyDescent="0.25">
      <c r="C22" s="741"/>
      <c r="D22" s="742"/>
      <c r="E22" s="742"/>
      <c r="F22" s="742"/>
      <c r="G22" s="742"/>
      <c r="H22" s="742"/>
      <c r="I22" s="742"/>
      <c r="J22" s="742"/>
      <c r="K22" s="742"/>
      <c r="L22" s="742"/>
      <c r="M22" s="742"/>
      <c r="N22" s="742"/>
      <c r="O22" s="742"/>
      <c r="P22" s="742"/>
      <c r="Q22" s="742"/>
      <c r="R22" s="742"/>
      <c r="S22" s="742"/>
      <c r="T22" s="742"/>
      <c r="U22" s="742"/>
      <c r="V22" s="742"/>
      <c r="W22" s="742"/>
      <c r="X22" s="742"/>
      <c r="Y22" s="742"/>
      <c r="Z22" s="742"/>
      <c r="AA22" s="742"/>
      <c r="AB22" s="743"/>
      <c r="AC22" s="743"/>
      <c r="AD22" s="743"/>
      <c r="AE22" s="743"/>
      <c r="AF22" s="743"/>
      <c r="AG22" s="744"/>
      <c r="AH22" s="745"/>
      <c r="AI22" s="745"/>
      <c r="AJ22" s="745"/>
      <c r="AK22" s="745"/>
      <c r="AL22" s="745"/>
      <c r="AM22" s="746"/>
    </row>
    <row r="23" spans="1:40" hidden="1" x14ac:dyDescent="0.25">
      <c r="C23" s="725"/>
      <c r="D23" s="726"/>
      <c r="E23" s="726"/>
      <c r="F23" s="726"/>
      <c r="G23" s="726"/>
      <c r="H23" s="726"/>
      <c r="I23" s="726"/>
      <c r="J23" s="726"/>
      <c r="K23" s="726"/>
      <c r="L23" s="726"/>
      <c r="M23" s="726"/>
      <c r="N23" s="726"/>
      <c r="O23" s="726"/>
      <c r="P23" s="726"/>
      <c r="Q23" s="726"/>
      <c r="R23" s="726"/>
      <c r="S23" s="726"/>
      <c r="T23" s="726"/>
      <c r="U23" s="726"/>
      <c r="V23" s="726"/>
      <c r="W23" s="726"/>
      <c r="X23" s="726"/>
      <c r="Y23" s="726"/>
      <c r="Z23" s="726"/>
      <c r="AA23" s="726"/>
      <c r="AB23" s="727"/>
      <c r="AC23" s="727"/>
      <c r="AD23" s="727"/>
      <c r="AE23" s="727"/>
      <c r="AF23" s="727"/>
      <c r="AG23" s="728"/>
      <c r="AH23" s="729"/>
      <c r="AI23" s="729"/>
      <c r="AJ23" s="729"/>
      <c r="AK23" s="729"/>
      <c r="AL23" s="729"/>
      <c r="AM23" s="730"/>
    </row>
    <row r="24" spans="1:40" hidden="1" x14ac:dyDescent="0.25">
      <c r="C24" s="735"/>
      <c r="D24" s="736"/>
      <c r="E24" s="736"/>
      <c r="F24" s="736"/>
      <c r="G24" s="736"/>
      <c r="H24" s="736"/>
      <c r="I24" s="736"/>
      <c r="J24" s="736"/>
      <c r="K24" s="736"/>
      <c r="L24" s="736"/>
      <c r="M24" s="736"/>
      <c r="N24" s="736"/>
      <c r="O24" s="736"/>
      <c r="P24" s="736"/>
      <c r="Q24" s="736"/>
      <c r="R24" s="736"/>
      <c r="S24" s="736"/>
      <c r="T24" s="736"/>
      <c r="U24" s="736"/>
      <c r="V24" s="736"/>
      <c r="W24" s="736"/>
      <c r="X24" s="736"/>
      <c r="Y24" s="736"/>
      <c r="Z24" s="736"/>
      <c r="AA24" s="736"/>
      <c r="AB24" s="737"/>
      <c r="AC24" s="737"/>
      <c r="AD24" s="737"/>
      <c r="AE24" s="737"/>
      <c r="AF24" s="737"/>
      <c r="AG24" s="738"/>
      <c r="AH24" s="739"/>
      <c r="AI24" s="739"/>
      <c r="AJ24" s="739"/>
      <c r="AK24" s="739"/>
      <c r="AL24" s="739"/>
      <c r="AM24" s="740"/>
    </row>
    <row r="25" spans="1:40" hidden="1" x14ac:dyDescent="0.25">
      <c r="C25" s="741"/>
      <c r="D25" s="742"/>
      <c r="E25" s="742"/>
      <c r="F25" s="742"/>
      <c r="G25" s="742"/>
      <c r="H25" s="742"/>
      <c r="I25" s="742"/>
      <c r="J25" s="742"/>
      <c r="K25" s="742"/>
      <c r="L25" s="742"/>
      <c r="M25" s="742"/>
      <c r="N25" s="742"/>
      <c r="O25" s="742"/>
      <c r="P25" s="742"/>
      <c r="Q25" s="742"/>
      <c r="R25" s="742"/>
      <c r="S25" s="742"/>
      <c r="T25" s="742"/>
      <c r="U25" s="742"/>
      <c r="V25" s="742"/>
      <c r="W25" s="742"/>
      <c r="X25" s="742"/>
      <c r="Y25" s="742"/>
      <c r="Z25" s="742"/>
      <c r="AA25" s="742"/>
      <c r="AB25" s="743"/>
      <c r="AC25" s="743"/>
      <c r="AD25" s="743"/>
      <c r="AE25" s="743"/>
      <c r="AF25" s="743"/>
      <c r="AG25" s="744"/>
      <c r="AH25" s="745"/>
      <c r="AI25" s="745"/>
      <c r="AJ25" s="745"/>
      <c r="AK25" s="745"/>
      <c r="AL25" s="745"/>
      <c r="AM25" s="746"/>
    </row>
    <row r="26" spans="1:40" hidden="1" x14ac:dyDescent="0.25">
      <c r="C26" s="725"/>
      <c r="D26" s="726"/>
      <c r="E26" s="726"/>
      <c r="F26" s="726"/>
      <c r="G26" s="726"/>
      <c r="H26" s="726"/>
      <c r="I26" s="726"/>
      <c r="J26" s="726"/>
      <c r="K26" s="726"/>
      <c r="L26" s="726"/>
      <c r="M26" s="726"/>
      <c r="N26" s="726"/>
      <c r="O26" s="726"/>
      <c r="P26" s="726"/>
      <c r="Q26" s="726"/>
      <c r="R26" s="726"/>
      <c r="S26" s="726"/>
      <c r="T26" s="726"/>
      <c r="U26" s="726"/>
      <c r="V26" s="726"/>
      <c r="W26" s="726"/>
      <c r="X26" s="726"/>
      <c r="Y26" s="726"/>
      <c r="Z26" s="726"/>
      <c r="AA26" s="726"/>
      <c r="AB26" s="727"/>
      <c r="AC26" s="727"/>
      <c r="AD26" s="727"/>
      <c r="AE26" s="727"/>
      <c r="AF26" s="727"/>
      <c r="AG26" s="728"/>
      <c r="AH26" s="729"/>
      <c r="AI26" s="729"/>
      <c r="AJ26" s="729"/>
      <c r="AK26" s="729"/>
      <c r="AL26" s="729"/>
      <c r="AM26" s="730"/>
    </row>
    <row r="27" spans="1:40" hidden="1" x14ac:dyDescent="0.25">
      <c r="C27" s="735"/>
      <c r="D27" s="736"/>
      <c r="E27" s="736"/>
      <c r="F27" s="736"/>
      <c r="G27" s="736"/>
      <c r="H27" s="736"/>
      <c r="I27" s="736"/>
      <c r="J27" s="736"/>
      <c r="K27" s="736"/>
      <c r="L27" s="736"/>
      <c r="M27" s="736"/>
      <c r="N27" s="736"/>
      <c r="O27" s="736"/>
      <c r="P27" s="736"/>
      <c r="Q27" s="736"/>
      <c r="R27" s="736"/>
      <c r="S27" s="736"/>
      <c r="T27" s="736"/>
      <c r="U27" s="736"/>
      <c r="V27" s="736"/>
      <c r="W27" s="736"/>
      <c r="X27" s="736"/>
      <c r="Y27" s="736"/>
      <c r="Z27" s="736"/>
      <c r="AA27" s="736"/>
      <c r="AB27" s="737"/>
      <c r="AC27" s="737"/>
      <c r="AD27" s="737"/>
      <c r="AE27" s="737"/>
      <c r="AF27" s="737"/>
      <c r="AG27" s="738"/>
      <c r="AH27" s="739"/>
      <c r="AI27" s="739"/>
      <c r="AJ27" s="739"/>
      <c r="AK27" s="739"/>
      <c r="AL27" s="739"/>
      <c r="AM27" s="740"/>
    </row>
    <row r="28" spans="1:40" hidden="1" x14ac:dyDescent="0.25">
      <c r="C28" s="741"/>
      <c r="D28" s="742"/>
      <c r="E28" s="742"/>
      <c r="F28" s="742"/>
      <c r="G28" s="742"/>
      <c r="H28" s="742"/>
      <c r="I28" s="742"/>
      <c r="J28" s="742"/>
      <c r="K28" s="742"/>
      <c r="L28" s="742"/>
      <c r="M28" s="742"/>
      <c r="N28" s="742"/>
      <c r="O28" s="742"/>
      <c r="P28" s="742"/>
      <c r="Q28" s="742"/>
      <c r="R28" s="742"/>
      <c r="S28" s="742"/>
      <c r="T28" s="742"/>
      <c r="U28" s="742"/>
      <c r="V28" s="742"/>
      <c r="W28" s="742"/>
      <c r="X28" s="742"/>
      <c r="Y28" s="742"/>
      <c r="Z28" s="742"/>
      <c r="AA28" s="742"/>
      <c r="AB28" s="743"/>
      <c r="AC28" s="743"/>
      <c r="AD28" s="743"/>
      <c r="AE28" s="743"/>
      <c r="AF28" s="743"/>
      <c r="AG28" s="744"/>
      <c r="AH28" s="745"/>
      <c r="AI28" s="745"/>
      <c r="AJ28" s="745"/>
      <c r="AK28" s="745"/>
      <c r="AL28" s="745"/>
      <c r="AM28" s="746"/>
    </row>
    <row r="29" spans="1:40" hidden="1" x14ac:dyDescent="0.25">
      <c r="C29" s="725"/>
      <c r="D29" s="726"/>
      <c r="E29" s="726"/>
      <c r="F29" s="726"/>
      <c r="G29" s="726"/>
      <c r="H29" s="726"/>
      <c r="I29" s="726"/>
      <c r="J29" s="726"/>
      <c r="K29" s="726"/>
      <c r="L29" s="726"/>
      <c r="M29" s="726"/>
      <c r="N29" s="726"/>
      <c r="O29" s="726"/>
      <c r="P29" s="726"/>
      <c r="Q29" s="726"/>
      <c r="R29" s="726"/>
      <c r="S29" s="726"/>
      <c r="T29" s="726"/>
      <c r="U29" s="726"/>
      <c r="V29" s="726"/>
      <c r="W29" s="726"/>
      <c r="X29" s="726"/>
      <c r="Y29" s="726"/>
      <c r="Z29" s="726"/>
      <c r="AA29" s="726"/>
      <c r="AB29" s="727"/>
      <c r="AC29" s="727"/>
      <c r="AD29" s="727"/>
      <c r="AE29" s="727"/>
      <c r="AF29" s="727"/>
      <c r="AG29" s="728"/>
      <c r="AH29" s="729"/>
      <c r="AI29" s="729"/>
      <c r="AJ29" s="729"/>
      <c r="AK29" s="729"/>
      <c r="AL29" s="729"/>
      <c r="AM29" s="730"/>
    </row>
    <row r="30" spans="1:40" hidden="1" x14ac:dyDescent="0.25">
      <c r="C30" s="735"/>
      <c r="D30" s="736"/>
      <c r="E30" s="736"/>
      <c r="F30" s="736"/>
      <c r="G30" s="736"/>
      <c r="H30" s="736"/>
      <c r="I30" s="736"/>
      <c r="J30" s="736"/>
      <c r="K30" s="736"/>
      <c r="L30" s="736"/>
      <c r="M30" s="736"/>
      <c r="N30" s="736"/>
      <c r="O30" s="736"/>
      <c r="P30" s="736"/>
      <c r="Q30" s="736"/>
      <c r="R30" s="736"/>
      <c r="S30" s="736"/>
      <c r="T30" s="736"/>
      <c r="U30" s="736"/>
      <c r="V30" s="736"/>
      <c r="W30" s="736"/>
      <c r="X30" s="736"/>
      <c r="Y30" s="736"/>
      <c r="Z30" s="736"/>
      <c r="AA30" s="736"/>
      <c r="AB30" s="737"/>
      <c r="AC30" s="737"/>
      <c r="AD30" s="737"/>
      <c r="AE30" s="737"/>
      <c r="AF30" s="737"/>
      <c r="AG30" s="738"/>
      <c r="AH30" s="739"/>
      <c r="AI30" s="739"/>
      <c r="AJ30" s="739"/>
      <c r="AK30" s="739"/>
      <c r="AL30" s="739"/>
      <c r="AM30" s="740"/>
    </row>
    <row r="31" spans="1:40" hidden="1" x14ac:dyDescent="0.25">
      <c r="C31" s="741"/>
      <c r="D31" s="742"/>
      <c r="E31" s="742"/>
      <c r="F31" s="742"/>
      <c r="G31" s="742"/>
      <c r="H31" s="742"/>
      <c r="I31" s="742"/>
      <c r="J31" s="742"/>
      <c r="K31" s="742"/>
      <c r="L31" s="742"/>
      <c r="M31" s="742"/>
      <c r="N31" s="742"/>
      <c r="O31" s="742"/>
      <c r="P31" s="742"/>
      <c r="Q31" s="742"/>
      <c r="R31" s="742"/>
      <c r="S31" s="742"/>
      <c r="T31" s="742"/>
      <c r="U31" s="742"/>
      <c r="V31" s="742"/>
      <c r="W31" s="742"/>
      <c r="X31" s="742"/>
      <c r="Y31" s="742"/>
      <c r="Z31" s="742"/>
      <c r="AA31" s="742"/>
      <c r="AB31" s="743"/>
      <c r="AC31" s="743"/>
      <c r="AD31" s="743"/>
      <c r="AE31" s="743"/>
      <c r="AF31" s="743"/>
      <c r="AG31" s="744"/>
      <c r="AH31" s="745"/>
      <c r="AI31" s="745"/>
      <c r="AJ31" s="745"/>
      <c r="AK31" s="745"/>
      <c r="AL31" s="745"/>
      <c r="AM31" s="746"/>
    </row>
    <row r="32" spans="1:40" hidden="1" x14ac:dyDescent="0.25">
      <c r="C32" s="725"/>
      <c r="D32" s="726"/>
      <c r="E32" s="726"/>
      <c r="F32" s="726"/>
      <c r="G32" s="726"/>
      <c r="H32" s="726"/>
      <c r="I32" s="726"/>
      <c r="J32" s="726"/>
      <c r="K32" s="726"/>
      <c r="L32" s="726"/>
      <c r="M32" s="726"/>
      <c r="N32" s="726"/>
      <c r="O32" s="726"/>
      <c r="P32" s="726"/>
      <c r="Q32" s="726"/>
      <c r="R32" s="726"/>
      <c r="S32" s="726"/>
      <c r="T32" s="726"/>
      <c r="U32" s="726"/>
      <c r="V32" s="726"/>
      <c r="W32" s="726"/>
      <c r="X32" s="726"/>
      <c r="Y32" s="726"/>
      <c r="Z32" s="726"/>
      <c r="AA32" s="726"/>
      <c r="AB32" s="727"/>
      <c r="AC32" s="727"/>
      <c r="AD32" s="727"/>
      <c r="AE32" s="727"/>
      <c r="AF32" s="727"/>
      <c r="AG32" s="728"/>
      <c r="AH32" s="729"/>
      <c r="AI32" s="729"/>
      <c r="AJ32" s="729"/>
      <c r="AK32" s="729"/>
      <c r="AL32" s="729"/>
      <c r="AM32" s="730"/>
    </row>
    <row r="33" spans="3:39" hidden="1" x14ac:dyDescent="0.25">
      <c r="C33" s="735"/>
      <c r="D33" s="736"/>
      <c r="E33" s="736"/>
      <c r="F33" s="736"/>
      <c r="G33" s="736"/>
      <c r="H33" s="736"/>
      <c r="I33" s="736"/>
      <c r="J33" s="736"/>
      <c r="K33" s="736"/>
      <c r="L33" s="736"/>
      <c r="M33" s="736"/>
      <c r="N33" s="736"/>
      <c r="O33" s="736"/>
      <c r="P33" s="736"/>
      <c r="Q33" s="736"/>
      <c r="R33" s="736"/>
      <c r="S33" s="736"/>
      <c r="T33" s="736"/>
      <c r="U33" s="736"/>
      <c r="V33" s="736"/>
      <c r="W33" s="736"/>
      <c r="X33" s="736"/>
      <c r="Y33" s="736"/>
      <c r="Z33" s="736"/>
      <c r="AA33" s="736"/>
      <c r="AB33" s="737"/>
      <c r="AC33" s="737"/>
      <c r="AD33" s="737"/>
      <c r="AE33" s="737"/>
      <c r="AF33" s="737"/>
      <c r="AG33" s="738"/>
      <c r="AH33" s="739"/>
      <c r="AI33" s="739"/>
      <c r="AJ33" s="739"/>
      <c r="AK33" s="739"/>
      <c r="AL33" s="739"/>
      <c r="AM33" s="740"/>
    </row>
    <row r="34" spans="3:39" x14ac:dyDescent="0.25">
      <c r="C34" s="731"/>
      <c r="D34" s="732"/>
      <c r="E34" s="732"/>
      <c r="F34" s="732"/>
      <c r="G34" s="732"/>
      <c r="H34" s="732"/>
      <c r="I34" s="732"/>
      <c r="J34" s="732"/>
      <c r="K34" s="732"/>
      <c r="L34" s="732"/>
      <c r="M34" s="732"/>
      <c r="N34" s="732"/>
      <c r="O34" s="732"/>
      <c r="P34" s="732"/>
      <c r="Q34" s="732"/>
      <c r="R34" s="732"/>
      <c r="S34" s="732"/>
      <c r="T34" s="732"/>
      <c r="U34" s="732"/>
      <c r="V34" s="732"/>
      <c r="W34" s="732"/>
      <c r="X34" s="732"/>
      <c r="Y34" s="732"/>
      <c r="Z34" s="732"/>
      <c r="AA34" s="732"/>
      <c r="AB34" s="733"/>
      <c r="AC34" s="733"/>
      <c r="AD34" s="733"/>
      <c r="AE34" s="733"/>
      <c r="AF34" s="733"/>
      <c r="AG34" s="733"/>
      <c r="AH34" s="732"/>
      <c r="AI34" s="732"/>
      <c r="AJ34" s="732"/>
      <c r="AK34" s="732"/>
      <c r="AL34" s="732"/>
      <c r="AM34" s="734"/>
    </row>
    <row r="35" spans="3:39" x14ac:dyDescent="0.25">
      <c r="C35" s="721" t="s">
        <v>297</v>
      </c>
      <c r="D35" s="722"/>
      <c r="E35" s="722"/>
      <c r="F35" s="722"/>
      <c r="G35" s="722"/>
      <c r="H35" s="722"/>
      <c r="I35" s="722"/>
      <c r="J35" s="722"/>
      <c r="K35" s="722"/>
      <c r="L35" s="722"/>
      <c r="M35" s="722"/>
      <c r="N35" s="722"/>
      <c r="O35" s="722"/>
      <c r="P35" s="722"/>
      <c r="Q35" s="722"/>
      <c r="R35" s="722"/>
      <c r="S35" s="722"/>
      <c r="T35" s="722"/>
      <c r="U35" s="722"/>
      <c r="V35" s="722"/>
      <c r="W35" s="722"/>
      <c r="X35" s="722"/>
      <c r="Y35" s="722"/>
      <c r="Z35" s="722"/>
      <c r="AA35" s="722"/>
      <c r="AB35" s="723"/>
      <c r="AC35" s="723"/>
      <c r="AD35" s="723"/>
      <c r="AE35" s="723"/>
      <c r="AF35" s="723"/>
      <c r="AG35" s="723"/>
      <c r="AH35" s="722"/>
      <c r="AI35" s="722"/>
      <c r="AJ35" s="722"/>
      <c r="AK35" s="722"/>
      <c r="AL35" s="722"/>
      <c r="AM35" s="724"/>
    </row>
    <row r="36" spans="3:39" hidden="1" x14ac:dyDescent="0.25">
      <c r="C36" s="701"/>
      <c r="D36" s="702"/>
      <c r="E36" s="702"/>
      <c r="F36" s="702"/>
      <c r="G36" s="702"/>
      <c r="H36" s="702"/>
      <c r="I36" s="702"/>
      <c r="J36" s="702"/>
      <c r="K36" s="702"/>
      <c r="L36" s="702"/>
      <c r="M36" s="702"/>
      <c r="N36" s="703"/>
      <c r="O36" s="704"/>
      <c r="P36" s="702"/>
      <c r="Q36" s="702"/>
      <c r="R36" s="702"/>
      <c r="S36" s="702"/>
      <c r="T36" s="702"/>
      <c r="U36" s="702"/>
      <c r="V36" s="702"/>
      <c r="W36" s="702"/>
      <c r="X36" s="703"/>
      <c r="Y36" s="705"/>
      <c r="Z36" s="706"/>
      <c r="AA36" s="707"/>
      <c r="AB36" s="718"/>
      <c r="AC36" s="718"/>
      <c r="AD36" s="718"/>
      <c r="AE36" s="718"/>
      <c r="AF36" s="718"/>
      <c r="AG36" s="718"/>
      <c r="AH36" s="719"/>
      <c r="AI36" s="719"/>
      <c r="AJ36" s="719"/>
      <c r="AK36" s="719"/>
      <c r="AL36" s="719"/>
      <c r="AM36" s="720"/>
    </row>
    <row r="37" spans="3:39" hidden="1" x14ac:dyDescent="0.25">
      <c r="C37" s="701"/>
      <c r="D37" s="702"/>
      <c r="E37" s="702"/>
      <c r="F37" s="702"/>
      <c r="G37" s="702"/>
      <c r="H37" s="702"/>
      <c r="I37" s="702"/>
      <c r="J37" s="702"/>
      <c r="K37" s="702"/>
      <c r="L37" s="702"/>
      <c r="M37" s="702"/>
      <c r="N37" s="703"/>
      <c r="O37" s="704"/>
      <c r="P37" s="702"/>
      <c r="Q37" s="702"/>
      <c r="R37" s="702"/>
      <c r="S37" s="702"/>
      <c r="T37" s="702"/>
      <c r="U37" s="702"/>
      <c r="V37" s="702"/>
      <c r="W37" s="702"/>
      <c r="X37" s="703"/>
      <c r="Y37" s="705"/>
      <c r="Z37" s="706"/>
      <c r="AA37" s="707"/>
      <c r="AB37" s="718"/>
      <c r="AC37" s="718"/>
      <c r="AD37" s="718"/>
      <c r="AE37" s="718"/>
      <c r="AF37" s="718"/>
      <c r="AG37" s="718"/>
      <c r="AH37" s="719"/>
      <c r="AI37" s="719"/>
      <c r="AJ37" s="719"/>
      <c r="AK37" s="719"/>
      <c r="AL37" s="719"/>
      <c r="AM37" s="720"/>
    </row>
    <row r="38" spans="3:39" hidden="1" x14ac:dyDescent="0.25">
      <c r="C38" s="701"/>
      <c r="D38" s="702"/>
      <c r="E38" s="702"/>
      <c r="F38" s="702"/>
      <c r="G38" s="702"/>
      <c r="H38" s="702"/>
      <c r="I38" s="702"/>
      <c r="J38" s="702"/>
      <c r="K38" s="702"/>
      <c r="L38" s="702"/>
      <c r="M38" s="702"/>
      <c r="N38" s="703"/>
      <c r="O38" s="704"/>
      <c r="P38" s="702"/>
      <c r="Q38" s="702"/>
      <c r="R38" s="702"/>
      <c r="S38" s="702"/>
      <c r="T38" s="702"/>
      <c r="U38" s="702"/>
      <c r="V38" s="702"/>
      <c r="W38" s="702"/>
      <c r="X38" s="703"/>
      <c r="Y38" s="705"/>
      <c r="Z38" s="706"/>
      <c r="AA38" s="707"/>
      <c r="AB38" s="708"/>
      <c r="AC38" s="709"/>
      <c r="AD38" s="709"/>
      <c r="AE38" s="709"/>
      <c r="AF38" s="710"/>
      <c r="AG38" s="708"/>
      <c r="AH38" s="709"/>
      <c r="AI38" s="709"/>
      <c r="AJ38" s="709"/>
      <c r="AK38" s="709"/>
      <c r="AL38" s="709"/>
      <c r="AM38" s="711"/>
    </row>
    <row r="39" spans="3:39" hidden="1" x14ac:dyDescent="0.25">
      <c r="C39" s="701"/>
      <c r="D39" s="702"/>
      <c r="E39" s="702"/>
      <c r="F39" s="702"/>
      <c r="G39" s="702"/>
      <c r="H39" s="702"/>
      <c r="I39" s="702"/>
      <c r="J39" s="702"/>
      <c r="K39" s="702"/>
      <c r="L39" s="702"/>
      <c r="M39" s="702"/>
      <c r="N39" s="703"/>
      <c r="O39" s="704"/>
      <c r="P39" s="702"/>
      <c r="Q39" s="702"/>
      <c r="R39" s="702"/>
      <c r="S39" s="702"/>
      <c r="T39" s="702"/>
      <c r="U39" s="702"/>
      <c r="V39" s="702"/>
      <c r="W39" s="702"/>
      <c r="X39" s="703"/>
      <c r="Y39" s="705"/>
      <c r="Z39" s="706"/>
      <c r="AA39" s="707"/>
      <c r="AB39" s="708"/>
      <c r="AC39" s="709"/>
      <c r="AD39" s="709"/>
      <c r="AE39" s="709"/>
      <c r="AF39" s="710"/>
      <c r="AG39" s="708"/>
      <c r="AH39" s="709"/>
      <c r="AI39" s="709"/>
      <c r="AJ39" s="709"/>
      <c r="AK39" s="709"/>
      <c r="AL39" s="709"/>
      <c r="AM39" s="711"/>
    </row>
    <row r="40" spans="3:39" x14ac:dyDescent="0.25">
      <c r="C40" s="712" t="s">
        <v>298</v>
      </c>
      <c r="D40" s="713"/>
      <c r="E40" s="713"/>
      <c r="F40" s="713"/>
      <c r="G40" s="713"/>
      <c r="H40" s="713"/>
      <c r="I40" s="713"/>
      <c r="J40" s="713"/>
      <c r="K40" s="713"/>
      <c r="L40" s="713"/>
      <c r="M40" s="713"/>
      <c r="N40" s="713"/>
      <c r="O40" s="713"/>
      <c r="P40" s="713"/>
      <c r="Q40" s="713"/>
      <c r="R40" s="713"/>
      <c r="S40" s="713"/>
      <c r="T40" s="713"/>
      <c r="U40" s="713"/>
      <c r="V40" s="713"/>
      <c r="W40" s="713"/>
      <c r="X40" s="713"/>
      <c r="Y40" s="713"/>
      <c r="Z40" s="713"/>
      <c r="AA40" s="713"/>
      <c r="AB40" s="714"/>
      <c r="AC40" s="714"/>
      <c r="AD40" s="714"/>
      <c r="AE40" s="714"/>
      <c r="AF40" s="714"/>
      <c r="AG40" s="715"/>
      <c r="AH40" s="716"/>
      <c r="AI40" s="716"/>
      <c r="AJ40" s="716"/>
      <c r="AK40" s="716"/>
      <c r="AL40" s="716"/>
      <c r="AM40" s="717"/>
    </row>
    <row r="42" spans="3:39" ht="28.9" hidden="1" customHeight="1" x14ac:dyDescent="0.25">
      <c r="D42" s="465" t="s">
        <v>352</v>
      </c>
      <c r="E42" s="465"/>
      <c r="F42" s="464"/>
      <c r="G42" s="698"/>
      <c r="H42" s="698"/>
      <c r="I42" s="698"/>
      <c r="J42" s="698"/>
      <c r="K42" s="698"/>
      <c r="L42" s="698"/>
      <c r="M42" s="698"/>
      <c r="N42" s="698"/>
      <c r="O42" s="698"/>
      <c r="P42" s="698"/>
      <c r="Q42" s="698"/>
      <c r="R42" s="698"/>
      <c r="S42" s="698"/>
      <c r="T42" s="698"/>
      <c r="U42" s="698"/>
      <c r="V42" s="698"/>
      <c r="W42" s="698"/>
      <c r="X42" s="698"/>
      <c r="Y42" s="698"/>
      <c r="Z42" s="698"/>
      <c r="AA42" s="698"/>
      <c r="AB42" s="698"/>
      <c r="AC42" s="698"/>
      <c r="AD42" s="698"/>
      <c r="AE42" s="698"/>
      <c r="AF42" s="698"/>
      <c r="AG42" s="698"/>
      <c r="AH42" s="698"/>
      <c r="AI42" s="698"/>
      <c r="AJ42" s="698"/>
      <c r="AK42" s="698"/>
      <c r="AL42" s="698"/>
    </row>
    <row r="43" spans="3:39" ht="28.9" hidden="1" customHeight="1" x14ac:dyDescent="0.25">
      <c r="D43" s="465" t="s">
        <v>353</v>
      </c>
      <c r="E43" s="465"/>
      <c r="F43" s="464"/>
      <c r="G43" s="698"/>
      <c r="H43" s="698"/>
      <c r="I43" s="698"/>
      <c r="J43" s="698"/>
      <c r="K43" s="698"/>
      <c r="L43" s="698"/>
      <c r="M43" s="698"/>
      <c r="N43" s="698"/>
      <c r="O43" s="698"/>
      <c r="P43" s="698"/>
      <c r="Q43" s="698"/>
      <c r="R43" s="698"/>
      <c r="S43" s="698"/>
      <c r="T43" s="698"/>
      <c r="U43" s="698"/>
      <c r="V43" s="698"/>
      <c r="W43" s="698"/>
      <c r="X43" s="698"/>
      <c r="Y43" s="698"/>
      <c r="Z43" s="698"/>
      <c r="AA43" s="698"/>
      <c r="AB43" s="698"/>
      <c r="AC43" s="698"/>
      <c r="AD43" s="698"/>
      <c r="AE43" s="698"/>
      <c r="AF43" s="698"/>
      <c r="AG43" s="698"/>
      <c r="AH43" s="698"/>
      <c r="AI43" s="698"/>
      <c r="AJ43" s="698"/>
      <c r="AK43" s="698"/>
      <c r="AL43" s="698"/>
    </row>
    <row r="44" spans="3:39" ht="28.9" hidden="1" customHeight="1" x14ac:dyDescent="0.25">
      <c r="D44" s="465" t="s">
        <v>354</v>
      </c>
      <c r="E44" s="465"/>
      <c r="F44" s="464"/>
      <c r="G44" s="698"/>
      <c r="H44" s="698"/>
      <c r="I44" s="698"/>
      <c r="J44" s="698"/>
      <c r="K44" s="698"/>
      <c r="L44" s="698"/>
      <c r="M44" s="698"/>
      <c r="N44" s="698"/>
      <c r="O44" s="698"/>
      <c r="P44" s="698"/>
      <c r="Q44" s="698"/>
      <c r="R44" s="698"/>
      <c r="S44" s="698"/>
      <c r="T44" s="698"/>
      <c r="U44" s="698"/>
      <c r="V44" s="698"/>
      <c r="W44" s="698"/>
      <c r="X44" s="698"/>
      <c r="Y44" s="698"/>
      <c r="Z44" s="698"/>
      <c r="AA44" s="698"/>
      <c r="AB44" s="698"/>
      <c r="AC44" s="698"/>
      <c r="AD44" s="698"/>
      <c r="AE44" s="698"/>
      <c r="AF44" s="698"/>
      <c r="AG44" s="698"/>
      <c r="AH44" s="698"/>
      <c r="AI44" s="698"/>
      <c r="AJ44" s="698"/>
      <c r="AK44" s="698"/>
      <c r="AL44" s="698"/>
    </row>
    <row r="45" spans="3:39" hidden="1" x14ac:dyDescent="0.25">
      <c r="D45" s="465"/>
      <c r="E45" s="465"/>
      <c r="F45" s="464"/>
      <c r="G45" s="464"/>
      <c r="H45" s="464"/>
      <c r="I45" s="464"/>
      <c r="J45" s="464"/>
      <c r="K45" s="464"/>
      <c r="L45" s="464"/>
      <c r="M45" s="464"/>
      <c r="N45" s="464"/>
      <c r="O45" s="464"/>
      <c r="P45" s="464"/>
      <c r="Q45" s="464"/>
      <c r="R45" s="464"/>
      <c r="S45" s="464"/>
      <c r="T45" s="464"/>
      <c r="U45" s="464"/>
      <c r="V45" s="464"/>
      <c r="W45" s="464"/>
      <c r="X45" s="464"/>
      <c r="Y45" s="464"/>
      <c r="Z45" s="464"/>
      <c r="AA45" s="464"/>
      <c r="AB45" s="464"/>
      <c r="AC45" s="464"/>
      <c r="AD45" s="464"/>
      <c r="AE45" s="464"/>
      <c r="AF45" s="464"/>
      <c r="AG45" s="464"/>
      <c r="AH45" s="464"/>
      <c r="AI45" s="464"/>
      <c r="AJ45" s="464"/>
      <c r="AK45" s="464"/>
      <c r="AL45" s="464"/>
    </row>
    <row r="46" spans="3:39" hidden="1" x14ac:dyDescent="0.25">
      <c r="D46" s="465"/>
      <c r="E46" s="465"/>
      <c r="F46" s="464"/>
      <c r="G46" s="464"/>
      <c r="H46" s="464"/>
      <c r="I46" s="464"/>
      <c r="J46" s="464"/>
      <c r="K46" s="464"/>
      <c r="L46" s="464"/>
      <c r="M46" s="464"/>
      <c r="N46" s="464"/>
      <c r="O46" s="464"/>
      <c r="P46" s="464"/>
      <c r="Q46" s="464"/>
      <c r="R46" s="464"/>
      <c r="S46" s="464"/>
      <c r="T46" s="464"/>
      <c r="U46" s="464"/>
      <c r="V46" s="464"/>
      <c r="W46" s="464"/>
      <c r="X46" s="464"/>
      <c r="Y46" s="464"/>
      <c r="Z46" s="464"/>
      <c r="AA46" s="464"/>
      <c r="AB46" s="464"/>
      <c r="AC46" s="464"/>
      <c r="AD46" s="464"/>
      <c r="AE46" s="464"/>
      <c r="AF46" s="464"/>
      <c r="AG46" s="464"/>
      <c r="AH46" s="464"/>
      <c r="AI46" s="464"/>
      <c r="AJ46" s="464"/>
      <c r="AK46" s="464"/>
      <c r="AL46" s="464"/>
    </row>
    <row r="47" spans="3:39" x14ac:dyDescent="0.25">
      <c r="D47" s="465"/>
      <c r="E47" s="465"/>
      <c r="F47" s="464"/>
      <c r="G47" s="464"/>
      <c r="H47" s="464"/>
      <c r="I47" s="464"/>
      <c r="J47" s="464"/>
      <c r="K47" s="464"/>
      <c r="L47" s="464"/>
      <c r="M47" s="464"/>
      <c r="N47" s="464"/>
      <c r="O47" s="464"/>
      <c r="P47" s="464"/>
      <c r="Q47" s="464"/>
      <c r="R47" s="464"/>
      <c r="S47" s="464"/>
      <c r="T47" s="464"/>
      <c r="U47" s="464"/>
      <c r="V47" s="464"/>
      <c r="W47" s="464"/>
      <c r="X47" s="464"/>
      <c r="Y47" s="464"/>
      <c r="Z47" s="464"/>
      <c r="AA47" s="464"/>
      <c r="AB47" s="464"/>
      <c r="AC47" s="464"/>
      <c r="AD47" s="464"/>
      <c r="AE47" s="464"/>
      <c r="AF47" s="464"/>
      <c r="AG47" s="464"/>
      <c r="AH47" s="464"/>
      <c r="AI47" s="464"/>
      <c r="AJ47" s="464"/>
      <c r="AK47" s="464"/>
      <c r="AL47" s="464"/>
    </row>
    <row r="48" spans="3:39" hidden="1" x14ac:dyDescent="0.25">
      <c r="D48" t="s">
        <v>355</v>
      </c>
    </row>
    <row r="49" spans="1:39" s="430" customFormat="1" ht="19.899999999999999" hidden="1" customHeight="1" x14ac:dyDescent="0.25">
      <c r="A49" s="429"/>
      <c r="D49" s="699" t="s">
        <v>361</v>
      </c>
      <c r="E49" s="699"/>
      <c r="F49" s="700" t="s">
        <v>326</v>
      </c>
      <c r="G49" s="700"/>
      <c r="H49" s="700"/>
      <c r="I49" s="700"/>
      <c r="J49" s="700"/>
      <c r="K49" s="700" t="s">
        <v>244</v>
      </c>
      <c r="L49" s="700"/>
      <c r="M49" s="700"/>
      <c r="N49" s="700"/>
      <c r="O49" s="700"/>
      <c r="P49" s="700"/>
      <c r="Q49" s="700"/>
      <c r="R49" s="700"/>
      <c r="S49" s="700"/>
      <c r="T49" s="700"/>
      <c r="U49" s="700"/>
      <c r="V49" s="700"/>
      <c r="W49" s="700"/>
      <c r="X49" s="700" t="s">
        <v>327</v>
      </c>
      <c r="Y49" s="700"/>
      <c r="Z49" s="700"/>
      <c r="AA49" s="700"/>
      <c r="AB49" s="700"/>
      <c r="AC49" s="700"/>
      <c r="AD49" s="700" t="s">
        <v>328</v>
      </c>
      <c r="AE49" s="700"/>
      <c r="AF49" s="700"/>
      <c r="AG49" s="700" t="s">
        <v>317</v>
      </c>
      <c r="AH49" s="700"/>
      <c r="AI49" s="700"/>
      <c r="AJ49" s="700"/>
      <c r="AK49" s="700" t="s">
        <v>329</v>
      </c>
      <c r="AL49" s="700"/>
    </row>
    <row r="50" spans="1:39" ht="19.899999999999999" hidden="1" customHeight="1" x14ac:dyDescent="0.25">
      <c r="D50" s="695"/>
      <c r="E50" s="695"/>
      <c r="F50" s="695"/>
      <c r="G50" s="695"/>
      <c r="H50" s="695"/>
      <c r="I50" s="695"/>
      <c r="J50" s="695"/>
      <c r="K50" s="696"/>
      <c r="L50" s="696"/>
      <c r="M50" s="696"/>
      <c r="N50" s="696"/>
      <c r="O50" s="696"/>
      <c r="P50" s="696"/>
      <c r="Q50" s="696"/>
      <c r="R50" s="696"/>
      <c r="S50" s="696"/>
      <c r="T50" s="696"/>
      <c r="U50" s="696"/>
      <c r="V50" s="696"/>
      <c r="W50" s="696"/>
      <c r="X50" s="696"/>
      <c r="Y50" s="696"/>
      <c r="Z50" s="696"/>
      <c r="AA50" s="696"/>
      <c r="AB50" s="696"/>
      <c r="AC50" s="696"/>
      <c r="AD50" s="695"/>
      <c r="AE50" s="695"/>
      <c r="AF50" s="695"/>
      <c r="AG50" s="697"/>
      <c r="AH50" s="697"/>
      <c r="AI50" s="697"/>
      <c r="AJ50" s="697"/>
      <c r="AK50" s="695"/>
      <c r="AL50" s="695"/>
    </row>
    <row r="51" spans="1:39" ht="19.899999999999999" hidden="1" customHeight="1" x14ac:dyDescent="0.25">
      <c r="D51" s="695"/>
      <c r="E51" s="695"/>
      <c r="F51" s="695"/>
      <c r="G51" s="695"/>
      <c r="H51" s="695"/>
      <c r="I51" s="695"/>
      <c r="J51" s="695"/>
      <c r="K51" s="696"/>
      <c r="L51" s="696"/>
      <c r="M51" s="696"/>
      <c r="N51" s="696"/>
      <c r="O51" s="696"/>
      <c r="P51" s="696"/>
      <c r="Q51" s="696"/>
      <c r="R51" s="696"/>
      <c r="S51" s="696"/>
      <c r="T51" s="696"/>
      <c r="U51" s="696"/>
      <c r="V51" s="696"/>
      <c r="W51" s="696"/>
      <c r="X51" s="696"/>
      <c r="Y51" s="696"/>
      <c r="Z51" s="696"/>
      <c r="AA51" s="696"/>
      <c r="AB51" s="696"/>
      <c r="AC51" s="696"/>
      <c r="AD51" s="695"/>
      <c r="AE51" s="695"/>
      <c r="AF51" s="695"/>
      <c r="AG51" s="697"/>
      <c r="AH51" s="697"/>
      <c r="AI51" s="697"/>
      <c r="AJ51" s="697"/>
      <c r="AK51" s="695"/>
      <c r="AL51" s="695"/>
    </row>
    <row r="52" spans="1:39" ht="19.899999999999999" hidden="1" customHeight="1" x14ac:dyDescent="0.25">
      <c r="D52" s="695"/>
      <c r="E52" s="695"/>
      <c r="F52" s="695"/>
      <c r="G52" s="695"/>
      <c r="H52" s="695"/>
      <c r="I52" s="695"/>
      <c r="J52" s="695"/>
      <c r="K52" s="696"/>
      <c r="L52" s="696"/>
      <c r="M52" s="696"/>
      <c r="N52" s="696"/>
      <c r="O52" s="696"/>
      <c r="P52" s="696"/>
      <c r="Q52" s="696"/>
      <c r="R52" s="696"/>
      <c r="S52" s="696"/>
      <c r="T52" s="696"/>
      <c r="U52" s="696"/>
      <c r="V52" s="696"/>
      <c r="W52" s="696"/>
      <c r="X52" s="696"/>
      <c r="Y52" s="696"/>
      <c r="Z52" s="696"/>
      <c r="AA52" s="696"/>
      <c r="AB52" s="696"/>
      <c r="AC52" s="696"/>
      <c r="AD52" s="695"/>
      <c r="AE52" s="695"/>
      <c r="AF52" s="695"/>
      <c r="AG52" s="697"/>
      <c r="AH52" s="697"/>
      <c r="AI52" s="697"/>
      <c r="AJ52" s="697"/>
      <c r="AK52" s="695"/>
      <c r="AL52" s="695"/>
    </row>
    <row r="53" spans="1:39" ht="19.899999999999999" hidden="1" customHeight="1" x14ac:dyDescent="0.25">
      <c r="D53" s="695"/>
      <c r="E53" s="695"/>
      <c r="F53" s="695"/>
      <c r="G53" s="695"/>
      <c r="H53" s="695"/>
      <c r="I53" s="695"/>
      <c r="J53" s="695"/>
      <c r="K53" s="696"/>
      <c r="L53" s="696"/>
      <c r="M53" s="696"/>
      <c r="N53" s="696"/>
      <c r="O53" s="696"/>
      <c r="P53" s="696"/>
      <c r="Q53" s="696"/>
      <c r="R53" s="696"/>
      <c r="S53" s="696"/>
      <c r="T53" s="696"/>
      <c r="U53" s="696"/>
      <c r="V53" s="696"/>
      <c r="W53" s="696"/>
      <c r="X53" s="696"/>
      <c r="Y53" s="696"/>
      <c r="Z53" s="696"/>
      <c r="AA53" s="696"/>
      <c r="AB53" s="696"/>
      <c r="AC53" s="696"/>
      <c r="AD53" s="695"/>
      <c r="AE53" s="695"/>
      <c r="AF53" s="695"/>
      <c r="AG53" s="697"/>
      <c r="AH53" s="697"/>
      <c r="AI53" s="697"/>
      <c r="AJ53" s="697"/>
      <c r="AK53" s="695"/>
      <c r="AL53" s="695"/>
    </row>
    <row r="54" spans="1:39" ht="19.899999999999999" hidden="1" customHeight="1" x14ac:dyDescent="0.25">
      <c r="D54" s="695"/>
      <c r="E54" s="695"/>
      <c r="F54" s="695"/>
      <c r="G54" s="695"/>
      <c r="H54" s="695"/>
      <c r="I54" s="695"/>
      <c r="J54" s="695"/>
      <c r="K54" s="696"/>
      <c r="L54" s="696"/>
      <c r="M54" s="696"/>
      <c r="N54" s="696"/>
      <c r="O54" s="696"/>
      <c r="P54" s="696"/>
      <c r="Q54" s="696"/>
      <c r="R54" s="696"/>
      <c r="S54" s="696"/>
      <c r="T54" s="696"/>
      <c r="U54" s="696"/>
      <c r="V54" s="696"/>
      <c r="W54" s="696"/>
      <c r="X54" s="696"/>
      <c r="Y54" s="696"/>
      <c r="Z54" s="696"/>
      <c r="AA54" s="696"/>
      <c r="AB54" s="696"/>
      <c r="AC54" s="696"/>
      <c r="AD54" s="695"/>
      <c r="AE54" s="695"/>
      <c r="AF54" s="695"/>
      <c r="AG54" s="697"/>
      <c r="AH54" s="697"/>
      <c r="AI54" s="697"/>
      <c r="AJ54" s="697"/>
      <c r="AK54" s="695"/>
      <c r="AL54" s="695"/>
    </row>
    <row r="55" spans="1:39" ht="19.899999999999999" hidden="1" customHeight="1" x14ac:dyDescent="0.25">
      <c r="D55" s="695"/>
      <c r="E55" s="695"/>
      <c r="F55" s="695"/>
      <c r="G55" s="695"/>
      <c r="H55" s="695"/>
      <c r="I55" s="695"/>
      <c r="J55" s="695"/>
      <c r="K55" s="696"/>
      <c r="L55" s="696"/>
      <c r="M55" s="696"/>
      <c r="N55" s="696"/>
      <c r="O55" s="696"/>
      <c r="P55" s="696"/>
      <c r="Q55" s="696"/>
      <c r="R55" s="696"/>
      <c r="S55" s="696"/>
      <c r="T55" s="696"/>
      <c r="U55" s="696"/>
      <c r="V55" s="696"/>
      <c r="W55" s="696"/>
      <c r="X55" s="696"/>
      <c r="Y55" s="696"/>
      <c r="Z55" s="696"/>
      <c r="AA55" s="696"/>
      <c r="AB55" s="696"/>
      <c r="AC55" s="696"/>
      <c r="AD55" s="695"/>
      <c r="AE55" s="695"/>
      <c r="AF55" s="695"/>
      <c r="AG55" s="697"/>
      <c r="AH55" s="697"/>
      <c r="AI55" s="697"/>
      <c r="AJ55" s="697"/>
      <c r="AK55" s="695"/>
      <c r="AL55" s="695"/>
    </row>
    <row r="56" spans="1:39" ht="19.899999999999999" hidden="1" customHeight="1" x14ac:dyDescent="0.25">
      <c r="D56" s="695"/>
      <c r="E56" s="695"/>
      <c r="F56" s="695"/>
      <c r="G56" s="695"/>
      <c r="H56" s="695"/>
      <c r="I56" s="695"/>
      <c r="J56" s="695"/>
      <c r="K56" s="696"/>
      <c r="L56" s="696"/>
      <c r="M56" s="696"/>
      <c r="N56" s="696"/>
      <c r="O56" s="696"/>
      <c r="P56" s="696"/>
      <c r="Q56" s="696"/>
      <c r="R56" s="696"/>
      <c r="S56" s="696"/>
      <c r="T56" s="696"/>
      <c r="U56" s="696"/>
      <c r="V56" s="696"/>
      <c r="W56" s="696"/>
      <c r="X56" s="696"/>
      <c r="Y56" s="696"/>
      <c r="Z56" s="696"/>
      <c r="AA56" s="696"/>
      <c r="AB56" s="696"/>
      <c r="AC56" s="696"/>
      <c r="AD56" s="695"/>
      <c r="AE56" s="695"/>
      <c r="AF56" s="695"/>
      <c r="AG56" s="697"/>
      <c r="AH56" s="697"/>
      <c r="AI56" s="697"/>
      <c r="AJ56" s="697"/>
      <c r="AK56" s="695"/>
      <c r="AL56" s="695"/>
    </row>
    <row r="57" spans="1:39" ht="19.899999999999999" hidden="1" customHeight="1" x14ac:dyDescent="0.25">
      <c r="D57" s="695"/>
      <c r="E57" s="695"/>
      <c r="F57" s="695"/>
      <c r="G57" s="695"/>
      <c r="H57" s="695"/>
      <c r="I57" s="695"/>
      <c r="J57" s="695"/>
      <c r="K57" s="696"/>
      <c r="L57" s="696"/>
      <c r="M57" s="696"/>
      <c r="N57" s="696"/>
      <c r="O57" s="696"/>
      <c r="P57" s="696"/>
      <c r="Q57" s="696"/>
      <c r="R57" s="696"/>
      <c r="S57" s="696"/>
      <c r="T57" s="696"/>
      <c r="U57" s="696"/>
      <c r="V57" s="696"/>
      <c r="W57" s="696"/>
      <c r="X57" s="696"/>
      <c r="Y57" s="696"/>
      <c r="Z57" s="696"/>
      <c r="AA57" s="696"/>
      <c r="AB57" s="696"/>
      <c r="AC57" s="696"/>
      <c r="AD57" s="695"/>
      <c r="AE57" s="695"/>
      <c r="AF57" s="695"/>
      <c r="AG57" s="697"/>
      <c r="AH57" s="697"/>
      <c r="AI57" s="697"/>
      <c r="AJ57" s="697"/>
      <c r="AK57" s="695"/>
      <c r="AL57" s="695"/>
    </row>
    <row r="58" spans="1:39" ht="19.899999999999999" hidden="1" customHeight="1" x14ac:dyDescent="0.25">
      <c r="D58" s="695"/>
      <c r="E58" s="695"/>
      <c r="F58" s="695"/>
      <c r="G58" s="695"/>
      <c r="H58" s="695"/>
      <c r="I58" s="695"/>
      <c r="J58" s="695"/>
      <c r="K58" s="696"/>
      <c r="L58" s="696"/>
      <c r="M58" s="696"/>
      <c r="N58" s="696"/>
      <c r="O58" s="696"/>
      <c r="P58" s="696"/>
      <c r="Q58" s="696"/>
      <c r="R58" s="696"/>
      <c r="S58" s="696"/>
      <c r="T58" s="696"/>
      <c r="U58" s="696"/>
      <c r="V58" s="696"/>
      <c r="W58" s="696"/>
      <c r="X58" s="696"/>
      <c r="Y58" s="696"/>
      <c r="Z58" s="696"/>
      <c r="AA58" s="696"/>
      <c r="AB58" s="696"/>
      <c r="AC58" s="696"/>
      <c r="AD58" s="695"/>
      <c r="AE58" s="695"/>
      <c r="AF58" s="695"/>
      <c r="AG58" s="697"/>
      <c r="AH58" s="697"/>
      <c r="AI58" s="697"/>
      <c r="AJ58" s="697"/>
      <c r="AK58" s="695"/>
      <c r="AL58" s="695"/>
    </row>
    <row r="59" spans="1:39" ht="19.899999999999999" hidden="1" customHeight="1" x14ac:dyDescent="0.25">
      <c r="D59" s="695"/>
      <c r="E59" s="695"/>
      <c r="F59" s="695"/>
      <c r="G59" s="695"/>
      <c r="H59" s="695"/>
      <c r="I59" s="695"/>
      <c r="J59" s="695"/>
      <c r="K59" s="696"/>
      <c r="L59" s="696"/>
      <c r="M59" s="696"/>
      <c r="N59" s="696"/>
      <c r="O59" s="696"/>
      <c r="P59" s="696"/>
      <c r="Q59" s="696"/>
      <c r="R59" s="696"/>
      <c r="S59" s="696"/>
      <c r="T59" s="696"/>
      <c r="U59" s="696"/>
      <c r="V59" s="696"/>
      <c r="W59" s="696"/>
      <c r="X59" s="696"/>
      <c r="Y59" s="696"/>
      <c r="Z59" s="696"/>
      <c r="AA59" s="696"/>
      <c r="AB59" s="696"/>
      <c r="AC59" s="696"/>
      <c r="AD59" s="695"/>
      <c r="AE59" s="695"/>
      <c r="AF59" s="695"/>
      <c r="AG59" s="697"/>
      <c r="AH59" s="697"/>
      <c r="AI59" s="697"/>
      <c r="AJ59" s="697"/>
      <c r="AK59" s="695"/>
      <c r="AL59" s="695"/>
    </row>
    <row r="60" spans="1:39" hidden="1" x14ac:dyDescent="0.25">
      <c r="A60" s="428" t="s">
        <v>321</v>
      </c>
    </row>
    <row r="61" spans="1:39" hidden="1" x14ac:dyDescent="0.25">
      <c r="C61" s="684" t="s">
        <v>258</v>
      </c>
      <c r="D61" s="685"/>
      <c r="E61" s="685"/>
      <c r="F61" s="685"/>
      <c r="G61" s="685"/>
      <c r="H61" s="685"/>
      <c r="I61" s="685"/>
      <c r="J61" s="685"/>
      <c r="K61" s="685"/>
      <c r="L61" s="685"/>
      <c r="M61" s="685"/>
      <c r="N61" s="685"/>
      <c r="O61" s="685"/>
      <c r="P61" s="685"/>
      <c r="Q61" s="685"/>
      <c r="R61" s="685"/>
      <c r="S61" s="685"/>
      <c r="T61" s="685"/>
      <c r="U61" s="685"/>
      <c r="V61" s="685"/>
      <c r="W61" s="685"/>
      <c r="X61" s="685"/>
      <c r="Y61" s="685"/>
      <c r="Z61" s="685" t="s">
        <v>458</v>
      </c>
      <c r="AA61" s="685"/>
      <c r="AB61" s="685"/>
      <c r="AC61" s="685"/>
      <c r="AD61" s="685"/>
      <c r="AE61" s="685"/>
      <c r="AF61" s="685"/>
      <c r="AG61" s="685"/>
      <c r="AH61" s="685"/>
      <c r="AI61" s="685"/>
      <c r="AJ61" s="685"/>
      <c r="AK61" s="685"/>
      <c r="AL61" s="685"/>
      <c r="AM61" s="686"/>
    </row>
    <row r="62" spans="1:39" hidden="1" x14ac:dyDescent="0.25">
      <c r="C62" s="687" t="s">
        <v>259</v>
      </c>
      <c r="D62" s="688"/>
      <c r="E62" s="688"/>
      <c r="F62" s="688"/>
      <c r="G62" s="688"/>
      <c r="H62" s="688"/>
      <c r="I62" s="688"/>
      <c r="J62" s="688"/>
      <c r="K62" s="688"/>
      <c r="L62" s="688"/>
      <c r="M62" s="688"/>
      <c r="N62" s="688"/>
      <c r="O62" s="688"/>
      <c r="P62" s="688"/>
      <c r="Q62" s="688"/>
      <c r="R62" s="688"/>
      <c r="S62" s="688"/>
      <c r="T62" s="688"/>
      <c r="U62" s="688" t="s">
        <v>260</v>
      </c>
      <c r="V62" s="688"/>
      <c r="W62" s="688"/>
      <c r="X62" s="688"/>
      <c r="Y62" s="688"/>
      <c r="Z62" s="688" t="s">
        <v>236</v>
      </c>
      <c r="AA62" s="688"/>
      <c r="AB62" s="688"/>
      <c r="AC62" s="688"/>
      <c r="AD62" s="688"/>
      <c r="AE62" s="688"/>
      <c r="AF62" s="688"/>
      <c r="AG62" s="688" t="s">
        <v>257</v>
      </c>
      <c r="AH62" s="688"/>
      <c r="AI62" s="688"/>
      <c r="AJ62" s="688"/>
      <c r="AK62" s="688"/>
      <c r="AL62" s="688"/>
      <c r="AM62" s="689"/>
    </row>
    <row r="63" spans="1:39" hidden="1" x14ac:dyDescent="0.25">
      <c r="C63" s="669" t="s">
        <v>262</v>
      </c>
      <c r="D63" s="667"/>
      <c r="E63" s="667"/>
      <c r="F63" s="667"/>
      <c r="G63" s="667"/>
      <c r="H63" s="667"/>
      <c r="I63" s="667"/>
      <c r="J63" s="667"/>
      <c r="K63" s="667"/>
      <c r="L63" s="667"/>
      <c r="M63" s="667"/>
      <c r="N63" s="667"/>
      <c r="O63" s="667"/>
      <c r="P63" s="667"/>
      <c r="Q63" s="667"/>
      <c r="R63" s="667"/>
      <c r="S63" s="667"/>
      <c r="T63" s="667"/>
      <c r="U63" s="665">
        <v>2</v>
      </c>
      <c r="V63" s="665"/>
      <c r="W63" s="665"/>
      <c r="X63" s="665"/>
      <c r="Y63" s="665"/>
      <c r="Z63" s="666">
        <v>1721.34</v>
      </c>
      <c r="AA63" s="667"/>
      <c r="AB63" s="667"/>
      <c r="AC63" s="667"/>
      <c r="AD63" s="667"/>
      <c r="AE63" s="667"/>
      <c r="AF63" s="667"/>
      <c r="AG63" s="666">
        <v>3442.67</v>
      </c>
      <c r="AH63" s="667"/>
      <c r="AI63" s="667"/>
      <c r="AJ63" s="667"/>
      <c r="AK63" s="667"/>
      <c r="AL63" s="667"/>
      <c r="AM63" s="668"/>
    </row>
    <row r="64" spans="1:39" hidden="1" x14ac:dyDescent="0.25">
      <c r="C64" s="683" t="s">
        <v>5</v>
      </c>
      <c r="D64" s="675"/>
      <c r="E64" s="675"/>
      <c r="F64" s="675"/>
      <c r="G64" s="675"/>
      <c r="H64" s="675"/>
      <c r="I64" s="675"/>
      <c r="J64" s="675"/>
      <c r="K64" s="675"/>
      <c r="L64" s="675"/>
      <c r="M64" s="675"/>
      <c r="N64" s="675"/>
      <c r="O64" s="675"/>
      <c r="P64" s="675"/>
      <c r="Q64" s="675"/>
      <c r="R64" s="675"/>
      <c r="S64" s="675"/>
      <c r="T64" s="675"/>
      <c r="U64" s="673" t="s">
        <v>459</v>
      </c>
      <c r="V64" s="673"/>
      <c r="W64" s="673"/>
      <c r="X64" s="673"/>
      <c r="Y64" s="673"/>
      <c r="Z64" s="674">
        <v>398.8</v>
      </c>
      <c r="AA64" s="675"/>
      <c r="AB64" s="675"/>
      <c r="AC64" s="675"/>
      <c r="AD64" s="675"/>
      <c r="AE64" s="675"/>
      <c r="AF64" s="675"/>
      <c r="AG64" s="674">
        <v>398.8</v>
      </c>
      <c r="AH64" s="675"/>
      <c r="AI64" s="675"/>
      <c r="AJ64" s="675"/>
      <c r="AK64" s="675"/>
      <c r="AL64" s="675"/>
      <c r="AM64" s="676"/>
    </row>
    <row r="65" spans="3:39" hidden="1" x14ac:dyDescent="0.25">
      <c r="C65" s="683" t="s">
        <v>252</v>
      </c>
      <c r="D65" s="675"/>
      <c r="E65" s="675"/>
      <c r="F65" s="675"/>
      <c r="G65" s="675"/>
      <c r="H65" s="675"/>
      <c r="I65" s="675"/>
      <c r="J65" s="675"/>
      <c r="K65" s="675"/>
      <c r="L65" s="675"/>
      <c r="M65" s="675"/>
      <c r="N65" s="675"/>
      <c r="O65" s="675"/>
      <c r="P65" s="675"/>
      <c r="Q65" s="675"/>
      <c r="R65" s="675"/>
      <c r="S65" s="675"/>
      <c r="T65" s="675"/>
      <c r="U65" s="673">
        <v>0</v>
      </c>
      <c r="V65" s="673"/>
      <c r="W65" s="673"/>
      <c r="X65" s="673"/>
      <c r="Y65" s="673"/>
      <c r="Z65" s="674">
        <v>0</v>
      </c>
      <c r="AA65" s="675"/>
      <c r="AB65" s="675"/>
      <c r="AC65" s="675"/>
      <c r="AD65" s="675"/>
      <c r="AE65" s="675"/>
      <c r="AF65" s="675"/>
      <c r="AG65" s="674">
        <v>0</v>
      </c>
      <c r="AH65" s="675"/>
      <c r="AI65" s="675"/>
      <c r="AJ65" s="675"/>
      <c r="AK65" s="675"/>
      <c r="AL65" s="675"/>
      <c r="AM65" s="676"/>
    </row>
    <row r="66" spans="3:39" hidden="1" x14ac:dyDescent="0.25">
      <c r="C66" s="671" t="s">
        <v>265</v>
      </c>
      <c r="D66" s="672"/>
      <c r="E66" s="672"/>
      <c r="F66" s="672"/>
      <c r="G66" s="672"/>
      <c r="H66" s="672"/>
      <c r="I66" s="672"/>
      <c r="J66" s="672"/>
      <c r="K66" s="672"/>
      <c r="L66" s="672"/>
      <c r="M66" s="672"/>
      <c r="N66" s="672"/>
      <c r="O66" s="672"/>
      <c r="P66" s="672"/>
      <c r="Q66" s="672"/>
      <c r="R66" s="672"/>
      <c r="S66" s="672"/>
      <c r="T66" s="672"/>
      <c r="U66" s="673">
        <v>2</v>
      </c>
      <c r="V66" s="673"/>
      <c r="W66" s="673"/>
      <c r="X66" s="673"/>
      <c r="Y66" s="673"/>
      <c r="Z66" s="674">
        <v>1920.74</v>
      </c>
      <c r="AA66" s="675"/>
      <c r="AB66" s="675"/>
      <c r="AC66" s="675"/>
      <c r="AD66" s="675"/>
      <c r="AE66" s="675"/>
      <c r="AF66" s="675"/>
      <c r="AG66" s="674">
        <v>3841.47</v>
      </c>
      <c r="AH66" s="675"/>
      <c r="AI66" s="675"/>
      <c r="AJ66" s="675"/>
      <c r="AK66" s="675"/>
      <c r="AL66" s="675"/>
      <c r="AM66" s="676"/>
    </row>
    <row r="67" spans="3:39" hidden="1" x14ac:dyDescent="0.25">
      <c r="C67" s="671" t="s">
        <v>267</v>
      </c>
      <c r="D67" s="672"/>
      <c r="E67" s="672"/>
      <c r="F67" s="672"/>
      <c r="G67" s="672"/>
      <c r="H67" s="672"/>
      <c r="I67" s="672"/>
      <c r="J67" s="672"/>
      <c r="K67" s="672"/>
      <c r="L67" s="672"/>
      <c r="M67" s="672"/>
      <c r="N67" s="672"/>
      <c r="O67" s="672"/>
      <c r="P67" s="672"/>
      <c r="Q67" s="672"/>
      <c r="R67" s="672"/>
      <c r="S67" s="672"/>
      <c r="T67" s="672"/>
      <c r="U67" s="673">
        <v>2</v>
      </c>
      <c r="V67" s="673"/>
      <c r="W67" s="673"/>
      <c r="X67" s="673"/>
      <c r="Y67" s="673"/>
      <c r="Z67" s="674">
        <v>1721.34</v>
      </c>
      <c r="AA67" s="675"/>
      <c r="AB67" s="675"/>
      <c r="AC67" s="675"/>
      <c r="AD67" s="675"/>
      <c r="AE67" s="675"/>
      <c r="AF67" s="675"/>
      <c r="AG67" s="674">
        <v>3442.67</v>
      </c>
      <c r="AH67" s="675"/>
      <c r="AI67" s="675"/>
      <c r="AJ67" s="675"/>
      <c r="AK67" s="675"/>
      <c r="AL67" s="675"/>
      <c r="AM67" s="676"/>
    </row>
    <row r="68" spans="3:39" hidden="1" x14ac:dyDescent="0.25">
      <c r="C68" s="677"/>
      <c r="D68" s="678"/>
      <c r="E68" s="678"/>
      <c r="F68" s="678"/>
      <c r="G68" s="678"/>
      <c r="H68" s="678"/>
      <c r="I68" s="678"/>
      <c r="J68" s="678"/>
      <c r="K68" s="678"/>
      <c r="L68" s="678"/>
      <c r="M68" s="678"/>
      <c r="N68" s="678"/>
      <c r="O68" s="678"/>
      <c r="P68" s="678"/>
      <c r="Q68" s="678"/>
      <c r="R68" s="678"/>
      <c r="S68" s="678"/>
      <c r="T68" s="678"/>
      <c r="U68" s="678"/>
      <c r="V68" s="678"/>
      <c r="W68" s="678"/>
      <c r="X68" s="678"/>
      <c r="Y68" s="678"/>
      <c r="Z68" s="678"/>
      <c r="AA68" s="678"/>
      <c r="AB68" s="678"/>
      <c r="AC68" s="678"/>
      <c r="AD68" s="678"/>
      <c r="AE68" s="678"/>
      <c r="AF68" s="678"/>
      <c r="AG68" s="678"/>
      <c r="AH68" s="678"/>
      <c r="AI68" s="678"/>
      <c r="AJ68" s="678"/>
      <c r="AK68" s="678"/>
      <c r="AL68" s="678"/>
      <c r="AM68" s="679"/>
    </row>
    <row r="69" spans="3:39" hidden="1" x14ac:dyDescent="0.25">
      <c r="C69" s="680" t="s">
        <v>269</v>
      </c>
      <c r="D69" s="681"/>
      <c r="E69" s="681"/>
      <c r="F69" s="681"/>
      <c r="G69" s="681"/>
      <c r="H69" s="681"/>
      <c r="I69" s="681"/>
      <c r="J69" s="681"/>
      <c r="K69" s="681"/>
      <c r="L69" s="681"/>
      <c r="M69" s="681"/>
      <c r="N69" s="681"/>
      <c r="O69" s="681"/>
      <c r="P69" s="681"/>
      <c r="Q69" s="681"/>
      <c r="R69" s="681"/>
      <c r="S69" s="681"/>
      <c r="T69" s="681"/>
      <c r="U69" s="681" t="s">
        <v>260</v>
      </c>
      <c r="V69" s="681"/>
      <c r="W69" s="681"/>
      <c r="X69" s="681"/>
      <c r="Y69" s="681"/>
      <c r="Z69" s="681" t="s">
        <v>236</v>
      </c>
      <c r="AA69" s="681"/>
      <c r="AB69" s="681"/>
      <c r="AC69" s="681"/>
      <c r="AD69" s="681"/>
      <c r="AE69" s="681"/>
      <c r="AF69" s="681"/>
      <c r="AG69" s="681" t="s">
        <v>257</v>
      </c>
      <c r="AH69" s="681"/>
      <c r="AI69" s="681"/>
      <c r="AJ69" s="681"/>
      <c r="AK69" s="681"/>
      <c r="AL69" s="681"/>
      <c r="AM69" s="682"/>
    </row>
    <row r="70" spans="3:39" hidden="1" x14ac:dyDescent="0.25">
      <c r="C70" s="669" t="s">
        <v>278</v>
      </c>
      <c r="D70" s="667"/>
      <c r="E70" s="667"/>
      <c r="F70" s="667"/>
      <c r="G70" s="667"/>
      <c r="H70" s="667"/>
      <c r="I70" s="667"/>
      <c r="J70" s="667"/>
      <c r="K70" s="667"/>
      <c r="L70" s="667"/>
      <c r="M70" s="667"/>
      <c r="N70" s="667"/>
      <c r="O70" s="667"/>
      <c r="P70" s="667"/>
      <c r="Q70" s="667"/>
      <c r="R70" s="667"/>
      <c r="S70" s="667"/>
      <c r="T70" s="667"/>
      <c r="U70" s="665">
        <v>2</v>
      </c>
      <c r="V70" s="665"/>
      <c r="W70" s="665"/>
      <c r="X70" s="665"/>
      <c r="Y70" s="665"/>
      <c r="Z70" s="666">
        <v>650</v>
      </c>
      <c r="AA70" s="667"/>
      <c r="AB70" s="667"/>
      <c r="AC70" s="667"/>
      <c r="AD70" s="667"/>
      <c r="AE70" s="667"/>
      <c r="AF70" s="667"/>
      <c r="AG70" s="666">
        <v>1300</v>
      </c>
      <c r="AH70" s="667"/>
      <c r="AI70" s="667"/>
      <c r="AJ70" s="667"/>
      <c r="AK70" s="667"/>
      <c r="AL70" s="667"/>
      <c r="AM70" s="668"/>
    </row>
    <row r="71" spans="3:39" hidden="1" x14ac:dyDescent="0.25">
      <c r="C71" s="683" t="s">
        <v>272</v>
      </c>
      <c r="D71" s="675"/>
      <c r="E71" s="675"/>
      <c r="F71" s="675"/>
      <c r="G71" s="675"/>
      <c r="H71" s="675"/>
      <c r="I71" s="675"/>
      <c r="J71" s="675"/>
      <c r="K71" s="675"/>
      <c r="L71" s="675"/>
      <c r="M71" s="675"/>
      <c r="N71" s="675"/>
      <c r="O71" s="675"/>
      <c r="P71" s="675"/>
      <c r="Q71" s="675"/>
      <c r="R71" s="675"/>
      <c r="S71" s="675"/>
      <c r="T71" s="675"/>
      <c r="U71" s="673">
        <v>1</v>
      </c>
      <c r="V71" s="673"/>
      <c r="W71" s="673"/>
      <c r="X71" s="673"/>
      <c r="Y71" s="673"/>
      <c r="Z71" s="674">
        <v>0</v>
      </c>
      <c r="AA71" s="675"/>
      <c r="AB71" s="675"/>
      <c r="AC71" s="675"/>
      <c r="AD71" s="675"/>
      <c r="AE71" s="675"/>
      <c r="AF71" s="675"/>
      <c r="AG71" s="674">
        <v>0</v>
      </c>
      <c r="AH71" s="675"/>
      <c r="AI71" s="675"/>
      <c r="AJ71" s="675"/>
      <c r="AK71" s="675"/>
      <c r="AL71" s="675"/>
      <c r="AM71" s="676"/>
    </row>
    <row r="72" spans="3:39" hidden="1" x14ac:dyDescent="0.25">
      <c r="C72" s="683" t="s">
        <v>318</v>
      </c>
      <c r="D72" s="675"/>
      <c r="E72" s="675"/>
      <c r="F72" s="675"/>
      <c r="G72" s="675"/>
      <c r="H72" s="675"/>
      <c r="I72" s="675"/>
      <c r="J72" s="675"/>
      <c r="K72" s="675"/>
      <c r="L72" s="675"/>
      <c r="M72" s="675"/>
      <c r="N72" s="675"/>
      <c r="O72" s="675"/>
      <c r="P72" s="675"/>
      <c r="Q72" s="675"/>
      <c r="R72" s="675"/>
      <c r="S72" s="675"/>
      <c r="T72" s="675"/>
      <c r="U72" s="673">
        <v>1</v>
      </c>
      <c r="V72" s="673"/>
      <c r="W72" s="673"/>
      <c r="X72" s="673"/>
      <c r="Y72" s="673"/>
      <c r="Z72" s="674">
        <v>100</v>
      </c>
      <c r="AA72" s="675"/>
      <c r="AB72" s="675"/>
      <c r="AC72" s="675"/>
      <c r="AD72" s="675"/>
      <c r="AE72" s="675"/>
      <c r="AF72" s="675"/>
      <c r="AG72" s="674">
        <v>100</v>
      </c>
      <c r="AH72" s="675"/>
      <c r="AI72" s="675"/>
      <c r="AJ72" s="675"/>
      <c r="AK72" s="675"/>
      <c r="AL72" s="675"/>
      <c r="AM72" s="676"/>
    </row>
    <row r="73" spans="3:39" hidden="1" x14ac:dyDescent="0.25">
      <c r="C73" s="671" t="s">
        <v>265</v>
      </c>
      <c r="D73" s="672"/>
      <c r="E73" s="672"/>
      <c r="F73" s="672"/>
      <c r="G73" s="672"/>
      <c r="H73" s="672"/>
      <c r="I73" s="672"/>
      <c r="J73" s="672"/>
      <c r="K73" s="672"/>
      <c r="L73" s="672"/>
      <c r="M73" s="672"/>
      <c r="N73" s="672"/>
      <c r="O73" s="672"/>
      <c r="P73" s="672"/>
      <c r="Q73" s="672"/>
      <c r="R73" s="672"/>
      <c r="S73" s="672"/>
      <c r="T73" s="672"/>
      <c r="U73" s="673">
        <v>2</v>
      </c>
      <c r="V73" s="673"/>
      <c r="W73" s="673"/>
      <c r="X73" s="673"/>
      <c r="Y73" s="673"/>
      <c r="Z73" s="674">
        <v>700</v>
      </c>
      <c r="AA73" s="675"/>
      <c r="AB73" s="675"/>
      <c r="AC73" s="675"/>
      <c r="AD73" s="675"/>
      <c r="AE73" s="675"/>
      <c r="AF73" s="675"/>
      <c r="AG73" s="674">
        <v>1400</v>
      </c>
      <c r="AH73" s="675"/>
      <c r="AI73" s="675"/>
      <c r="AJ73" s="675"/>
      <c r="AK73" s="675"/>
      <c r="AL73" s="675"/>
      <c r="AM73" s="676"/>
    </row>
    <row r="74" spans="3:39" hidden="1" x14ac:dyDescent="0.25">
      <c r="C74" s="683" t="s">
        <v>267</v>
      </c>
      <c r="D74" s="675"/>
      <c r="E74" s="675"/>
      <c r="F74" s="675"/>
      <c r="G74" s="675"/>
      <c r="H74" s="675"/>
      <c r="I74" s="675"/>
      <c r="J74" s="675"/>
      <c r="K74" s="675"/>
      <c r="L74" s="675"/>
      <c r="M74" s="675"/>
      <c r="N74" s="675"/>
      <c r="O74" s="675"/>
      <c r="P74" s="675"/>
      <c r="Q74" s="675"/>
      <c r="R74" s="675"/>
      <c r="S74" s="675"/>
      <c r="T74" s="675"/>
      <c r="U74" s="673">
        <v>2</v>
      </c>
      <c r="V74" s="673"/>
      <c r="W74" s="673"/>
      <c r="X74" s="673"/>
      <c r="Y74" s="673"/>
      <c r="Z74" s="674">
        <v>700</v>
      </c>
      <c r="AA74" s="675"/>
      <c r="AB74" s="675"/>
      <c r="AC74" s="675"/>
      <c r="AD74" s="675"/>
      <c r="AE74" s="675"/>
      <c r="AF74" s="675"/>
      <c r="AG74" s="674">
        <v>1400</v>
      </c>
      <c r="AH74" s="675"/>
      <c r="AI74" s="675"/>
      <c r="AJ74" s="675"/>
      <c r="AK74" s="675"/>
      <c r="AL74" s="675"/>
      <c r="AM74" s="676"/>
    </row>
    <row r="75" spans="3:39" hidden="1" x14ac:dyDescent="0.25">
      <c r="C75" s="677"/>
      <c r="D75" s="678"/>
      <c r="E75" s="678"/>
      <c r="F75" s="678"/>
      <c r="G75" s="678"/>
      <c r="H75" s="678"/>
      <c r="I75" s="678"/>
      <c r="J75" s="678"/>
      <c r="K75" s="678"/>
      <c r="L75" s="678"/>
      <c r="M75" s="678"/>
      <c r="N75" s="678"/>
      <c r="O75" s="678"/>
      <c r="P75" s="678"/>
      <c r="Q75" s="678"/>
      <c r="R75" s="678"/>
      <c r="S75" s="678"/>
      <c r="T75" s="678"/>
      <c r="U75" s="678"/>
      <c r="V75" s="678"/>
      <c r="W75" s="678"/>
      <c r="X75" s="678"/>
      <c r="Y75" s="678"/>
      <c r="Z75" s="678"/>
      <c r="AA75" s="678"/>
      <c r="AB75" s="678"/>
      <c r="AC75" s="678"/>
      <c r="AD75" s="678"/>
      <c r="AE75" s="678"/>
      <c r="AF75" s="678"/>
      <c r="AG75" s="678"/>
      <c r="AH75" s="678"/>
      <c r="AI75" s="678"/>
      <c r="AJ75" s="678"/>
      <c r="AK75" s="678"/>
      <c r="AL75" s="678"/>
      <c r="AM75" s="679"/>
    </row>
    <row r="76" spans="3:39" hidden="1" x14ac:dyDescent="0.25">
      <c r="C76" s="680" t="s">
        <v>281</v>
      </c>
      <c r="D76" s="681"/>
      <c r="E76" s="681"/>
      <c r="F76" s="681"/>
      <c r="G76" s="681"/>
      <c r="H76" s="681"/>
      <c r="I76" s="681"/>
      <c r="J76" s="681"/>
      <c r="K76" s="681"/>
      <c r="L76" s="681"/>
      <c r="M76" s="681"/>
      <c r="N76" s="681"/>
      <c r="O76" s="681"/>
      <c r="P76" s="681"/>
      <c r="Q76" s="681"/>
      <c r="R76" s="681"/>
      <c r="S76" s="681"/>
      <c r="T76" s="681"/>
      <c r="U76" s="681" t="s">
        <v>260</v>
      </c>
      <c r="V76" s="681"/>
      <c r="W76" s="681"/>
      <c r="X76" s="681"/>
      <c r="Y76" s="681"/>
      <c r="Z76" s="681" t="s">
        <v>236</v>
      </c>
      <c r="AA76" s="681"/>
      <c r="AB76" s="681"/>
      <c r="AC76" s="681"/>
      <c r="AD76" s="681"/>
      <c r="AE76" s="681"/>
      <c r="AF76" s="681"/>
      <c r="AG76" s="681" t="s">
        <v>257</v>
      </c>
      <c r="AH76" s="681"/>
      <c r="AI76" s="681"/>
      <c r="AJ76" s="681"/>
      <c r="AK76" s="681"/>
      <c r="AL76" s="681"/>
      <c r="AM76" s="682"/>
    </row>
    <row r="77" spans="3:39" hidden="1" x14ac:dyDescent="0.25">
      <c r="C77" s="669" t="s">
        <v>281</v>
      </c>
      <c r="D77" s="667"/>
      <c r="E77" s="667"/>
      <c r="F77" s="667"/>
      <c r="G77" s="667"/>
      <c r="H77" s="667"/>
      <c r="I77" s="667"/>
      <c r="J77" s="667"/>
      <c r="K77" s="667"/>
      <c r="L77" s="667"/>
      <c r="M77" s="667"/>
      <c r="N77" s="667"/>
      <c r="O77" s="667"/>
      <c r="P77" s="667"/>
      <c r="Q77" s="667"/>
      <c r="R77" s="667"/>
      <c r="S77" s="667"/>
      <c r="T77" s="667"/>
      <c r="U77" s="665">
        <v>1</v>
      </c>
      <c r="V77" s="665"/>
      <c r="W77" s="665"/>
      <c r="X77" s="665"/>
      <c r="Y77" s="665"/>
      <c r="Z77" s="666">
        <v>1730.33</v>
      </c>
      <c r="AA77" s="667"/>
      <c r="AB77" s="667"/>
      <c r="AC77" s="667"/>
      <c r="AD77" s="667"/>
      <c r="AE77" s="667"/>
      <c r="AF77" s="667"/>
      <c r="AG77" s="666">
        <v>1730.33</v>
      </c>
      <c r="AH77" s="667"/>
      <c r="AI77" s="667"/>
      <c r="AJ77" s="667"/>
      <c r="AK77" s="667"/>
      <c r="AL77" s="667"/>
      <c r="AM77" s="668"/>
    </row>
    <row r="78" spans="3:39" hidden="1" x14ac:dyDescent="0.25">
      <c r="C78" s="670" t="s">
        <v>319</v>
      </c>
      <c r="D78" s="654"/>
      <c r="E78" s="654"/>
      <c r="F78" s="654"/>
      <c r="G78" s="654"/>
      <c r="H78" s="654"/>
      <c r="I78" s="654"/>
      <c r="J78" s="654"/>
      <c r="K78" s="654"/>
      <c r="L78" s="654"/>
      <c r="M78" s="654"/>
      <c r="N78" s="654"/>
      <c r="O78" s="654"/>
      <c r="P78" s="654"/>
      <c r="Q78" s="654"/>
      <c r="R78" s="654"/>
      <c r="S78" s="654"/>
      <c r="T78" s="654"/>
      <c r="U78" s="652">
        <v>1</v>
      </c>
      <c r="V78" s="652"/>
      <c r="W78" s="652"/>
      <c r="X78" s="652"/>
      <c r="Y78" s="652"/>
      <c r="Z78" s="653">
        <v>514</v>
      </c>
      <c r="AA78" s="654"/>
      <c r="AB78" s="654"/>
      <c r="AC78" s="654"/>
      <c r="AD78" s="654"/>
      <c r="AE78" s="654"/>
      <c r="AF78" s="654"/>
      <c r="AG78" s="653">
        <v>514</v>
      </c>
      <c r="AH78" s="654"/>
      <c r="AI78" s="654"/>
      <c r="AJ78" s="654"/>
      <c r="AK78" s="654"/>
      <c r="AL78" s="654"/>
      <c r="AM78" s="655"/>
    </row>
    <row r="79" spans="3:39" hidden="1" x14ac:dyDescent="0.25">
      <c r="C79" s="690" t="s">
        <v>257</v>
      </c>
      <c r="D79" s="691"/>
      <c r="E79" s="691"/>
      <c r="F79" s="691"/>
      <c r="G79" s="691"/>
      <c r="H79" s="691"/>
      <c r="I79" s="691"/>
      <c r="J79" s="691"/>
      <c r="K79" s="691"/>
      <c r="L79" s="691"/>
      <c r="M79" s="691"/>
      <c r="N79" s="691"/>
      <c r="O79" s="691"/>
      <c r="P79" s="691"/>
      <c r="Q79" s="691"/>
      <c r="R79" s="691"/>
      <c r="S79" s="691"/>
      <c r="T79" s="691"/>
      <c r="U79" s="658">
        <v>2</v>
      </c>
      <c r="V79" s="658"/>
      <c r="W79" s="658"/>
      <c r="X79" s="658"/>
      <c r="Y79" s="658"/>
      <c r="Z79" s="659">
        <v>1122.17</v>
      </c>
      <c r="AA79" s="660"/>
      <c r="AB79" s="660"/>
      <c r="AC79" s="660"/>
      <c r="AD79" s="660"/>
      <c r="AE79" s="660"/>
      <c r="AF79" s="660"/>
      <c r="AG79" s="659">
        <v>2244.33</v>
      </c>
      <c r="AH79" s="660"/>
      <c r="AI79" s="660"/>
      <c r="AJ79" s="660"/>
      <c r="AK79" s="660"/>
      <c r="AL79" s="660"/>
      <c r="AM79" s="661"/>
    </row>
    <row r="80" spans="3:39" hidden="1" x14ac:dyDescent="0.25">
      <c r="C80" s="692"/>
      <c r="D80" s="693"/>
      <c r="E80" s="693"/>
      <c r="F80" s="693"/>
      <c r="G80" s="693"/>
      <c r="H80" s="693"/>
      <c r="I80" s="693"/>
      <c r="J80" s="693"/>
      <c r="K80" s="693"/>
      <c r="L80" s="693"/>
      <c r="M80" s="693"/>
      <c r="N80" s="693"/>
      <c r="O80" s="693"/>
      <c r="P80" s="693"/>
      <c r="Q80" s="693"/>
      <c r="R80" s="693"/>
      <c r="S80" s="693"/>
      <c r="T80" s="693"/>
      <c r="U80" s="693"/>
      <c r="V80" s="693"/>
      <c r="W80" s="693"/>
      <c r="X80" s="693"/>
      <c r="Y80" s="693"/>
      <c r="Z80" s="693"/>
      <c r="AA80" s="693"/>
      <c r="AB80" s="693"/>
      <c r="AC80" s="693"/>
      <c r="AD80" s="693"/>
      <c r="AE80" s="693"/>
      <c r="AF80" s="693"/>
      <c r="AG80" s="693"/>
      <c r="AH80" s="693"/>
      <c r="AI80" s="693"/>
      <c r="AJ80" s="693"/>
      <c r="AK80" s="693"/>
      <c r="AL80" s="693"/>
      <c r="AM80" s="694"/>
    </row>
    <row r="81" spans="3:39" hidden="1" x14ac:dyDescent="0.25">
      <c r="C81" s="680" t="s">
        <v>320</v>
      </c>
      <c r="D81" s="681"/>
      <c r="E81" s="681"/>
      <c r="F81" s="681"/>
      <c r="G81" s="681"/>
      <c r="H81" s="681"/>
      <c r="I81" s="681"/>
      <c r="J81" s="681"/>
      <c r="K81" s="681"/>
      <c r="L81" s="681"/>
      <c r="M81" s="681"/>
      <c r="N81" s="681"/>
      <c r="O81" s="681"/>
      <c r="P81" s="681"/>
      <c r="Q81" s="681"/>
      <c r="R81" s="681"/>
      <c r="S81" s="681"/>
      <c r="T81" s="681"/>
      <c r="U81" s="681" t="s">
        <v>260</v>
      </c>
      <c r="V81" s="681"/>
      <c r="W81" s="681"/>
      <c r="X81" s="681"/>
      <c r="Y81" s="681"/>
      <c r="Z81" s="681" t="s">
        <v>236</v>
      </c>
      <c r="AA81" s="681"/>
      <c r="AB81" s="681"/>
      <c r="AC81" s="681"/>
      <c r="AD81" s="681"/>
      <c r="AE81" s="681"/>
      <c r="AF81" s="681"/>
      <c r="AG81" s="681" t="s">
        <v>257</v>
      </c>
      <c r="AH81" s="681"/>
      <c r="AI81" s="681"/>
      <c r="AJ81" s="681"/>
      <c r="AK81" s="681"/>
      <c r="AL81" s="681"/>
      <c r="AM81" s="682"/>
    </row>
    <row r="82" spans="3:39" hidden="1" x14ac:dyDescent="0.25">
      <c r="C82" s="669" t="s">
        <v>288</v>
      </c>
      <c r="D82" s="667"/>
      <c r="E82" s="667"/>
      <c r="F82" s="667"/>
      <c r="G82" s="667"/>
      <c r="H82" s="667"/>
      <c r="I82" s="667"/>
      <c r="J82" s="667"/>
      <c r="K82" s="667"/>
      <c r="L82" s="667"/>
      <c r="M82" s="667"/>
      <c r="N82" s="667"/>
      <c r="O82" s="667"/>
      <c r="P82" s="667"/>
      <c r="Q82" s="667"/>
      <c r="R82" s="667"/>
      <c r="S82" s="667"/>
      <c r="T82" s="667"/>
      <c r="U82" s="665">
        <v>2</v>
      </c>
      <c r="V82" s="665"/>
      <c r="W82" s="665"/>
      <c r="X82" s="665"/>
      <c r="Y82" s="665"/>
      <c r="Z82" s="666">
        <v>0</v>
      </c>
      <c r="AA82" s="667"/>
      <c r="AB82" s="667"/>
      <c r="AC82" s="667"/>
      <c r="AD82" s="667"/>
      <c r="AE82" s="667"/>
      <c r="AF82" s="667"/>
      <c r="AG82" s="666">
        <v>0</v>
      </c>
      <c r="AH82" s="667"/>
      <c r="AI82" s="667"/>
      <c r="AJ82" s="667"/>
      <c r="AK82" s="667"/>
      <c r="AL82" s="667"/>
      <c r="AM82" s="668"/>
    </row>
    <row r="83" spans="3:39" hidden="1" x14ac:dyDescent="0.25">
      <c r="C83" s="670" t="s">
        <v>287</v>
      </c>
      <c r="D83" s="654"/>
      <c r="E83" s="654"/>
      <c r="F83" s="654"/>
      <c r="G83" s="654"/>
      <c r="H83" s="654"/>
      <c r="I83" s="654"/>
      <c r="J83" s="654"/>
      <c r="K83" s="654"/>
      <c r="L83" s="654"/>
      <c r="M83" s="654"/>
      <c r="N83" s="654"/>
      <c r="O83" s="654"/>
      <c r="P83" s="654"/>
      <c r="Q83" s="654"/>
      <c r="R83" s="654"/>
      <c r="S83" s="654"/>
      <c r="T83" s="654"/>
      <c r="U83" s="652">
        <v>0</v>
      </c>
      <c r="V83" s="652"/>
      <c r="W83" s="652"/>
      <c r="X83" s="652"/>
      <c r="Y83" s="652"/>
      <c r="Z83" s="653">
        <v>0</v>
      </c>
      <c r="AA83" s="654"/>
      <c r="AB83" s="654"/>
      <c r="AC83" s="654"/>
      <c r="AD83" s="654"/>
      <c r="AE83" s="654"/>
      <c r="AF83" s="654"/>
      <c r="AG83" s="653">
        <v>0</v>
      </c>
      <c r="AH83" s="654"/>
      <c r="AI83" s="654"/>
      <c r="AJ83" s="654"/>
      <c r="AK83" s="654"/>
      <c r="AL83" s="654"/>
      <c r="AM83" s="655"/>
    </row>
    <row r="84" spans="3:39" hidden="1" x14ac:dyDescent="0.25">
      <c r="C84" s="662" t="s">
        <v>257</v>
      </c>
      <c r="D84" s="658"/>
      <c r="E84" s="658"/>
      <c r="F84" s="658"/>
      <c r="G84" s="658"/>
      <c r="H84" s="658"/>
      <c r="I84" s="658"/>
      <c r="J84" s="658"/>
      <c r="K84" s="658"/>
      <c r="L84" s="658"/>
      <c r="M84" s="658"/>
      <c r="N84" s="658"/>
      <c r="O84" s="658"/>
      <c r="P84" s="658"/>
      <c r="Q84" s="658"/>
      <c r="R84" s="658"/>
      <c r="S84" s="658"/>
      <c r="T84" s="658"/>
      <c r="U84" s="658"/>
      <c r="V84" s="658"/>
      <c r="W84" s="658"/>
      <c r="X84" s="658"/>
      <c r="Y84" s="658"/>
      <c r="Z84" s="660"/>
      <c r="AA84" s="660"/>
      <c r="AB84" s="660"/>
      <c r="AC84" s="660"/>
      <c r="AD84" s="660"/>
      <c r="AE84" s="660"/>
      <c r="AF84" s="660"/>
      <c r="AG84" s="659">
        <v>0</v>
      </c>
      <c r="AH84" s="660"/>
      <c r="AI84" s="660"/>
      <c r="AJ84" s="660"/>
      <c r="AK84" s="660"/>
      <c r="AL84" s="660"/>
      <c r="AM84" s="661"/>
    </row>
    <row r="85" spans="3:39" hidden="1" x14ac:dyDescent="0.25">
      <c r="C85" s="663" t="s">
        <v>265</v>
      </c>
      <c r="D85" s="664"/>
      <c r="E85" s="664"/>
      <c r="F85" s="664"/>
      <c r="G85" s="664"/>
      <c r="H85" s="664"/>
      <c r="I85" s="664"/>
      <c r="J85" s="664"/>
      <c r="K85" s="664"/>
      <c r="L85" s="664"/>
      <c r="M85" s="664"/>
      <c r="N85" s="664"/>
      <c r="O85" s="664"/>
      <c r="P85" s="664"/>
      <c r="Q85" s="664"/>
      <c r="R85" s="664"/>
      <c r="S85" s="664"/>
      <c r="T85" s="664"/>
      <c r="U85" s="665">
        <v>1</v>
      </c>
      <c r="V85" s="665"/>
      <c r="W85" s="665"/>
      <c r="X85" s="665"/>
      <c r="Y85" s="665"/>
      <c r="Z85" s="666">
        <v>7485.8</v>
      </c>
      <c r="AA85" s="667"/>
      <c r="AB85" s="667"/>
      <c r="AC85" s="667"/>
      <c r="AD85" s="667"/>
      <c r="AE85" s="667"/>
      <c r="AF85" s="667"/>
      <c r="AG85" s="666">
        <v>7485.8</v>
      </c>
      <c r="AH85" s="667"/>
      <c r="AI85" s="667"/>
      <c r="AJ85" s="667"/>
      <c r="AK85" s="667"/>
      <c r="AL85" s="667"/>
      <c r="AM85" s="668"/>
    </row>
    <row r="86" spans="3:39" ht="15" hidden="1" customHeight="1" x14ac:dyDescent="0.25">
      <c r="C86" s="650" t="s">
        <v>325</v>
      </c>
      <c r="D86" s="651"/>
      <c r="E86" s="651"/>
      <c r="F86" s="651"/>
      <c r="G86" s="651"/>
      <c r="H86" s="651"/>
      <c r="I86" s="651"/>
      <c r="J86" s="651"/>
      <c r="K86" s="651"/>
      <c r="L86" s="651"/>
      <c r="M86" s="651"/>
      <c r="N86" s="651"/>
      <c r="O86" s="651"/>
      <c r="P86" s="651"/>
      <c r="Q86" s="651"/>
      <c r="R86" s="651"/>
      <c r="S86" s="651"/>
      <c r="T86" s="651"/>
      <c r="U86" s="652">
        <v>1</v>
      </c>
      <c r="V86" s="652"/>
      <c r="W86" s="652"/>
      <c r="X86" s="652"/>
      <c r="Y86" s="652"/>
      <c r="Z86" s="653">
        <v>7087</v>
      </c>
      <c r="AA86" s="654"/>
      <c r="AB86" s="654"/>
      <c r="AC86" s="654"/>
      <c r="AD86" s="654"/>
      <c r="AE86" s="654"/>
      <c r="AF86" s="654"/>
      <c r="AG86" s="653">
        <v>7087</v>
      </c>
      <c r="AH86" s="654"/>
      <c r="AI86" s="654"/>
      <c r="AJ86" s="654"/>
      <c r="AK86" s="654"/>
      <c r="AL86" s="654"/>
      <c r="AM86" s="655"/>
    </row>
    <row r="87" spans="3:39" hidden="1" x14ac:dyDescent="0.25">
      <c r="C87" s="656" t="s">
        <v>236</v>
      </c>
      <c r="D87" s="657"/>
      <c r="E87" s="657"/>
      <c r="F87" s="657"/>
      <c r="G87" s="657"/>
      <c r="H87" s="657"/>
      <c r="I87" s="657"/>
      <c r="J87" s="657"/>
      <c r="K87" s="657"/>
      <c r="L87" s="657"/>
      <c r="M87" s="657"/>
      <c r="N87" s="657"/>
      <c r="O87" s="657"/>
      <c r="P87" s="657"/>
      <c r="Q87" s="657"/>
      <c r="R87" s="657"/>
      <c r="S87" s="657"/>
      <c r="T87" s="657"/>
      <c r="U87" s="658">
        <v>2</v>
      </c>
      <c r="V87" s="658"/>
      <c r="W87" s="658"/>
      <c r="X87" s="658"/>
      <c r="Y87" s="658"/>
      <c r="Z87" s="659">
        <v>3543.51</v>
      </c>
      <c r="AA87" s="660"/>
      <c r="AB87" s="660"/>
      <c r="AC87" s="660"/>
      <c r="AD87" s="660"/>
      <c r="AE87" s="660"/>
      <c r="AF87" s="660"/>
      <c r="AG87" s="659">
        <v>7087.02</v>
      </c>
      <c r="AH87" s="660"/>
      <c r="AI87" s="660"/>
      <c r="AJ87" s="660"/>
      <c r="AK87" s="660"/>
      <c r="AL87" s="660"/>
      <c r="AM87" s="661"/>
    </row>
    <row r="88" spans="3:39" hidden="1" x14ac:dyDescent="0.25"/>
    <row r="89" spans="3:39" hidden="1" x14ac:dyDescent="0.25">
      <c r="C89" s="645" t="s">
        <v>296</v>
      </c>
      <c r="D89" s="646"/>
      <c r="E89" s="646"/>
      <c r="F89" s="646"/>
      <c r="G89" s="646"/>
      <c r="H89" s="646"/>
      <c r="I89" s="646"/>
      <c r="J89" s="646"/>
      <c r="K89" s="646"/>
      <c r="L89" s="646"/>
      <c r="M89" s="646"/>
      <c r="N89" s="646"/>
      <c r="O89" s="646"/>
      <c r="P89" s="646"/>
      <c r="Q89" s="646"/>
      <c r="R89" s="646"/>
      <c r="S89" s="646"/>
      <c r="T89" s="646"/>
      <c r="U89" s="647">
        <v>3644.33</v>
      </c>
      <c r="V89" s="648"/>
      <c r="W89" s="648"/>
      <c r="X89" s="648"/>
      <c r="Y89" s="649"/>
    </row>
    <row r="90" spans="3:39" hidden="1" x14ac:dyDescent="0.25"/>
    <row r="91" spans="3:39" hidden="1" x14ac:dyDescent="0.25"/>
    <row r="92" spans="3:39" hidden="1" x14ac:dyDescent="0.25"/>
    <row r="93" spans="3:39" hidden="1" x14ac:dyDescent="0.25"/>
    <row r="94" spans="3:39" hidden="1" x14ac:dyDescent="0.25"/>
    <row r="95" spans="3:39" hidden="1" x14ac:dyDescent="0.25"/>
    <row r="96" spans="3:39" hidden="1" x14ac:dyDescent="0.25"/>
    <row r="97" spans="1:39" hidden="1" x14ac:dyDescent="0.25"/>
    <row r="98" spans="1:39" hidden="1" x14ac:dyDescent="0.25"/>
    <row r="99" spans="1:39" hidden="1" x14ac:dyDescent="0.25"/>
    <row r="100" spans="1:39" hidden="1" x14ac:dyDescent="0.25"/>
    <row r="101" spans="1:39" hidden="1" x14ac:dyDescent="0.25"/>
    <row r="102" spans="1:39" hidden="1" x14ac:dyDescent="0.25"/>
    <row r="103" spans="1:39" hidden="1" x14ac:dyDescent="0.25"/>
    <row r="104" spans="1:39" hidden="1" x14ac:dyDescent="0.25"/>
    <row r="105" spans="1:39" hidden="1" x14ac:dyDescent="0.25"/>
    <row r="106" spans="1:39" hidden="1" x14ac:dyDescent="0.25"/>
    <row r="107" spans="1:39" hidden="1" x14ac:dyDescent="0.25"/>
    <row r="108" spans="1:39" hidden="1" x14ac:dyDescent="0.25"/>
    <row r="109" spans="1:39" hidden="1" x14ac:dyDescent="0.25">
      <c r="A109" s="428" t="s">
        <v>322</v>
      </c>
    </row>
    <row r="110" spans="1:39" hidden="1" x14ac:dyDescent="0.25">
      <c r="C110" s="684" t="s">
        <v>258</v>
      </c>
      <c r="D110" s="685"/>
      <c r="E110" s="685"/>
      <c r="F110" s="685"/>
      <c r="G110" s="685"/>
      <c r="H110" s="685"/>
      <c r="I110" s="685"/>
      <c r="J110" s="685"/>
      <c r="K110" s="685"/>
      <c r="L110" s="685"/>
      <c r="M110" s="685"/>
      <c r="N110" s="685"/>
      <c r="O110" s="685"/>
      <c r="P110" s="685"/>
      <c r="Q110" s="685"/>
      <c r="R110" s="685"/>
      <c r="S110" s="685"/>
      <c r="T110" s="685"/>
      <c r="U110" s="685"/>
      <c r="V110" s="685"/>
      <c r="W110" s="685"/>
      <c r="X110" s="685"/>
      <c r="Y110" s="685"/>
      <c r="Z110" s="685" t="s">
        <v>458</v>
      </c>
      <c r="AA110" s="685"/>
      <c r="AB110" s="685"/>
      <c r="AC110" s="685"/>
      <c r="AD110" s="685"/>
      <c r="AE110" s="685"/>
      <c r="AF110" s="685"/>
      <c r="AG110" s="685"/>
      <c r="AH110" s="685"/>
      <c r="AI110" s="685"/>
      <c r="AJ110" s="685"/>
      <c r="AK110" s="685"/>
      <c r="AL110" s="685"/>
      <c r="AM110" s="686"/>
    </row>
    <row r="111" spans="1:39" hidden="1" x14ac:dyDescent="0.25">
      <c r="C111" s="687" t="s">
        <v>259</v>
      </c>
      <c r="D111" s="688"/>
      <c r="E111" s="688"/>
      <c r="F111" s="688"/>
      <c r="G111" s="688"/>
      <c r="H111" s="688"/>
      <c r="I111" s="688"/>
      <c r="J111" s="688"/>
      <c r="K111" s="688"/>
      <c r="L111" s="688"/>
      <c r="M111" s="688"/>
      <c r="N111" s="688"/>
      <c r="O111" s="688"/>
      <c r="P111" s="688"/>
      <c r="Q111" s="688"/>
      <c r="R111" s="688"/>
      <c r="S111" s="688"/>
      <c r="T111" s="688"/>
      <c r="U111" s="688" t="s">
        <v>260</v>
      </c>
      <c r="V111" s="688"/>
      <c r="W111" s="688"/>
      <c r="X111" s="688"/>
      <c r="Y111" s="688"/>
      <c r="Z111" s="688" t="s">
        <v>236</v>
      </c>
      <c r="AA111" s="688"/>
      <c r="AB111" s="688"/>
      <c r="AC111" s="688"/>
      <c r="AD111" s="688"/>
      <c r="AE111" s="688"/>
      <c r="AF111" s="688"/>
      <c r="AG111" s="688" t="s">
        <v>257</v>
      </c>
      <c r="AH111" s="688"/>
      <c r="AI111" s="688"/>
      <c r="AJ111" s="688"/>
      <c r="AK111" s="688"/>
      <c r="AL111" s="688"/>
      <c r="AM111" s="689"/>
    </row>
    <row r="112" spans="1:39" hidden="1" x14ac:dyDescent="0.25">
      <c r="C112" s="669" t="s">
        <v>262</v>
      </c>
      <c r="D112" s="667"/>
      <c r="E112" s="667"/>
      <c r="F112" s="667"/>
      <c r="G112" s="667"/>
      <c r="H112" s="667"/>
      <c r="I112" s="667"/>
      <c r="J112" s="667"/>
      <c r="K112" s="667"/>
      <c r="L112" s="667"/>
      <c r="M112" s="667"/>
      <c r="N112" s="667"/>
      <c r="O112" s="667"/>
      <c r="P112" s="667"/>
      <c r="Q112" s="667"/>
      <c r="R112" s="667"/>
      <c r="S112" s="667"/>
      <c r="T112" s="667"/>
      <c r="U112" s="665">
        <v>5</v>
      </c>
      <c r="V112" s="665"/>
      <c r="W112" s="665"/>
      <c r="X112" s="665"/>
      <c r="Y112" s="665"/>
      <c r="Z112" s="666">
        <v>746.85</v>
      </c>
      <c r="AA112" s="667"/>
      <c r="AB112" s="667"/>
      <c r="AC112" s="667"/>
      <c r="AD112" s="667"/>
      <c r="AE112" s="667"/>
      <c r="AF112" s="667"/>
      <c r="AG112" s="666">
        <v>3734.24</v>
      </c>
      <c r="AH112" s="667"/>
      <c r="AI112" s="667"/>
      <c r="AJ112" s="667"/>
      <c r="AK112" s="667"/>
      <c r="AL112" s="667"/>
      <c r="AM112" s="668"/>
    </row>
    <row r="113" spans="3:39" hidden="1" x14ac:dyDescent="0.25">
      <c r="C113" s="683" t="s">
        <v>5</v>
      </c>
      <c r="D113" s="675"/>
      <c r="E113" s="675"/>
      <c r="F113" s="675"/>
      <c r="G113" s="675"/>
      <c r="H113" s="675"/>
      <c r="I113" s="675"/>
      <c r="J113" s="675"/>
      <c r="K113" s="675"/>
      <c r="L113" s="675"/>
      <c r="M113" s="675"/>
      <c r="N113" s="675"/>
      <c r="O113" s="675"/>
      <c r="P113" s="675"/>
      <c r="Q113" s="675"/>
      <c r="R113" s="675"/>
      <c r="S113" s="675"/>
      <c r="T113" s="675"/>
      <c r="U113" s="673" t="s">
        <v>459</v>
      </c>
      <c r="V113" s="673"/>
      <c r="W113" s="673"/>
      <c r="X113" s="673"/>
      <c r="Y113" s="673"/>
      <c r="Z113" s="674">
        <v>398.8</v>
      </c>
      <c r="AA113" s="675"/>
      <c r="AB113" s="675"/>
      <c r="AC113" s="675"/>
      <c r="AD113" s="675"/>
      <c r="AE113" s="675"/>
      <c r="AF113" s="675"/>
      <c r="AG113" s="674">
        <v>398.8</v>
      </c>
      <c r="AH113" s="675"/>
      <c r="AI113" s="675"/>
      <c r="AJ113" s="675"/>
      <c r="AK113" s="675"/>
      <c r="AL113" s="675"/>
      <c r="AM113" s="676"/>
    </row>
    <row r="114" spans="3:39" hidden="1" x14ac:dyDescent="0.25">
      <c r="C114" s="683" t="s">
        <v>252</v>
      </c>
      <c r="D114" s="675"/>
      <c r="E114" s="675"/>
      <c r="F114" s="675"/>
      <c r="G114" s="675"/>
      <c r="H114" s="675"/>
      <c r="I114" s="675"/>
      <c r="J114" s="675"/>
      <c r="K114" s="675"/>
      <c r="L114" s="675"/>
      <c r="M114" s="675"/>
      <c r="N114" s="675"/>
      <c r="O114" s="675"/>
      <c r="P114" s="675"/>
      <c r="Q114" s="675"/>
      <c r="R114" s="675"/>
      <c r="S114" s="675"/>
      <c r="T114" s="675"/>
      <c r="U114" s="673">
        <v>0</v>
      </c>
      <c r="V114" s="673"/>
      <c r="W114" s="673"/>
      <c r="X114" s="673"/>
      <c r="Y114" s="673"/>
      <c r="Z114" s="674">
        <v>0</v>
      </c>
      <c r="AA114" s="675"/>
      <c r="AB114" s="675"/>
      <c r="AC114" s="675"/>
      <c r="AD114" s="675"/>
      <c r="AE114" s="675"/>
      <c r="AF114" s="675"/>
      <c r="AG114" s="674">
        <v>0</v>
      </c>
      <c r="AH114" s="675"/>
      <c r="AI114" s="675"/>
      <c r="AJ114" s="675"/>
      <c r="AK114" s="675"/>
      <c r="AL114" s="675"/>
      <c r="AM114" s="676"/>
    </row>
    <row r="115" spans="3:39" hidden="1" x14ac:dyDescent="0.25">
      <c r="C115" s="671" t="s">
        <v>265</v>
      </c>
      <c r="D115" s="672"/>
      <c r="E115" s="672"/>
      <c r="F115" s="672"/>
      <c r="G115" s="672"/>
      <c r="H115" s="672"/>
      <c r="I115" s="672"/>
      <c r="J115" s="672"/>
      <c r="K115" s="672"/>
      <c r="L115" s="672"/>
      <c r="M115" s="672"/>
      <c r="N115" s="672"/>
      <c r="O115" s="672"/>
      <c r="P115" s="672"/>
      <c r="Q115" s="672"/>
      <c r="R115" s="672"/>
      <c r="S115" s="672"/>
      <c r="T115" s="672"/>
      <c r="U115" s="673">
        <v>5</v>
      </c>
      <c r="V115" s="673"/>
      <c r="W115" s="673"/>
      <c r="X115" s="673"/>
      <c r="Y115" s="673"/>
      <c r="Z115" s="674">
        <v>826.61</v>
      </c>
      <c r="AA115" s="675"/>
      <c r="AB115" s="675"/>
      <c r="AC115" s="675"/>
      <c r="AD115" s="675"/>
      <c r="AE115" s="675"/>
      <c r="AF115" s="675"/>
      <c r="AG115" s="674">
        <v>4133.04</v>
      </c>
      <c r="AH115" s="675"/>
      <c r="AI115" s="675"/>
      <c r="AJ115" s="675"/>
      <c r="AK115" s="675"/>
      <c r="AL115" s="675"/>
      <c r="AM115" s="676"/>
    </row>
    <row r="116" spans="3:39" hidden="1" x14ac:dyDescent="0.25">
      <c r="C116" s="671" t="s">
        <v>267</v>
      </c>
      <c r="D116" s="672"/>
      <c r="E116" s="672"/>
      <c r="F116" s="672"/>
      <c r="G116" s="672"/>
      <c r="H116" s="672"/>
      <c r="I116" s="672"/>
      <c r="J116" s="672"/>
      <c r="K116" s="672"/>
      <c r="L116" s="672"/>
      <c r="M116" s="672"/>
      <c r="N116" s="672"/>
      <c r="O116" s="672"/>
      <c r="P116" s="672"/>
      <c r="Q116" s="672"/>
      <c r="R116" s="672"/>
      <c r="S116" s="672"/>
      <c r="T116" s="672"/>
      <c r="U116" s="673">
        <v>5</v>
      </c>
      <c r="V116" s="673"/>
      <c r="W116" s="673"/>
      <c r="X116" s="673"/>
      <c r="Y116" s="673"/>
      <c r="Z116" s="674">
        <v>746.85</v>
      </c>
      <c r="AA116" s="675"/>
      <c r="AB116" s="675"/>
      <c r="AC116" s="675"/>
      <c r="AD116" s="675"/>
      <c r="AE116" s="675"/>
      <c r="AF116" s="675"/>
      <c r="AG116" s="674">
        <v>3734.24</v>
      </c>
      <c r="AH116" s="675"/>
      <c r="AI116" s="675"/>
      <c r="AJ116" s="675"/>
      <c r="AK116" s="675"/>
      <c r="AL116" s="675"/>
      <c r="AM116" s="676"/>
    </row>
    <row r="117" spans="3:39" hidden="1" x14ac:dyDescent="0.25">
      <c r="C117" s="677"/>
      <c r="D117" s="678"/>
      <c r="E117" s="678"/>
      <c r="F117" s="678"/>
      <c r="G117" s="678"/>
      <c r="H117" s="678"/>
      <c r="I117" s="678"/>
      <c r="J117" s="678"/>
      <c r="K117" s="678"/>
      <c r="L117" s="678"/>
      <c r="M117" s="678"/>
      <c r="N117" s="678"/>
      <c r="O117" s="678"/>
      <c r="P117" s="678"/>
      <c r="Q117" s="678"/>
      <c r="R117" s="678"/>
      <c r="S117" s="678"/>
      <c r="T117" s="678"/>
      <c r="U117" s="678"/>
      <c r="V117" s="678"/>
      <c r="W117" s="678"/>
      <c r="X117" s="678"/>
      <c r="Y117" s="678"/>
      <c r="Z117" s="678"/>
      <c r="AA117" s="678"/>
      <c r="AB117" s="678"/>
      <c r="AC117" s="678"/>
      <c r="AD117" s="678"/>
      <c r="AE117" s="678"/>
      <c r="AF117" s="678"/>
      <c r="AG117" s="678"/>
      <c r="AH117" s="678"/>
      <c r="AI117" s="678"/>
      <c r="AJ117" s="678"/>
      <c r="AK117" s="678"/>
      <c r="AL117" s="678"/>
      <c r="AM117" s="679"/>
    </row>
    <row r="118" spans="3:39" hidden="1" x14ac:dyDescent="0.25">
      <c r="C118" s="680" t="s">
        <v>269</v>
      </c>
      <c r="D118" s="681"/>
      <c r="E118" s="681"/>
      <c r="F118" s="681"/>
      <c r="G118" s="681"/>
      <c r="H118" s="681"/>
      <c r="I118" s="681"/>
      <c r="J118" s="681"/>
      <c r="K118" s="681"/>
      <c r="L118" s="681"/>
      <c r="M118" s="681"/>
      <c r="N118" s="681"/>
      <c r="O118" s="681"/>
      <c r="P118" s="681"/>
      <c r="Q118" s="681"/>
      <c r="R118" s="681"/>
      <c r="S118" s="681"/>
      <c r="T118" s="681"/>
      <c r="U118" s="681" t="s">
        <v>260</v>
      </c>
      <c r="V118" s="681"/>
      <c r="W118" s="681"/>
      <c r="X118" s="681"/>
      <c r="Y118" s="681"/>
      <c r="Z118" s="681" t="s">
        <v>236</v>
      </c>
      <c r="AA118" s="681"/>
      <c r="AB118" s="681"/>
      <c r="AC118" s="681"/>
      <c r="AD118" s="681"/>
      <c r="AE118" s="681"/>
      <c r="AF118" s="681"/>
      <c r="AG118" s="681" t="s">
        <v>257</v>
      </c>
      <c r="AH118" s="681"/>
      <c r="AI118" s="681"/>
      <c r="AJ118" s="681"/>
      <c r="AK118" s="681"/>
      <c r="AL118" s="681"/>
      <c r="AM118" s="682"/>
    </row>
    <row r="119" spans="3:39" hidden="1" x14ac:dyDescent="0.25">
      <c r="C119" s="669" t="s">
        <v>278</v>
      </c>
      <c r="D119" s="667"/>
      <c r="E119" s="667"/>
      <c r="F119" s="667"/>
      <c r="G119" s="667"/>
      <c r="H119" s="667"/>
      <c r="I119" s="667"/>
      <c r="J119" s="667"/>
      <c r="K119" s="667"/>
      <c r="L119" s="667"/>
      <c r="M119" s="667"/>
      <c r="N119" s="667"/>
      <c r="O119" s="667"/>
      <c r="P119" s="667"/>
      <c r="Q119" s="667"/>
      <c r="R119" s="667"/>
      <c r="S119" s="667"/>
      <c r="T119" s="667"/>
      <c r="U119" s="665">
        <v>5</v>
      </c>
      <c r="V119" s="665"/>
      <c r="W119" s="665"/>
      <c r="X119" s="665"/>
      <c r="Y119" s="665"/>
      <c r="Z119" s="666">
        <v>520</v>
      </c>
      <c r="AA119" s="667"/>
      <c r="AB119" s="667"/>
      <c r="AC119" s="667"/>
      <c r="AD119" s="667"/>
      <c r="AE119" s="667"/>
      <c r="AF119" s="667"/>
      <c r="AG119" s="666">
        <v>2600</v>
      </c>
      <c r="AH119" s="667"/>
      <c r="AI119" s="667"/>
      <c r="AJ119" s="667"/>
      <c r="AK119" s="667"/>
      <c r="AL119" s="667"/>
      <c r="AM119" s="668"/>
    </row>
    <row r="120" spans="3:39" hidden="1" x14ac:dyDescent="0.25">
      <c r="C120" s="683" t="s">
        <v>272</v>
      </c>
      <c r="D120" s="675"/>
      <c r="E120" s="675"/>
      <c r="F120" s="675"/>
      <c r="G120" s="675"/>
      <c r="H120" s="675"/>
      <c r="I120" s="675"/>
      <c r="J120" s="675"/>
      <c r="K120" s="675"/>
      <c r="L120" s="675"/>
      <c r="M120" s="675"/>
      <c r="N120" s="675"/>
      <c r="O120" s="675"/>
      <c r="P120" s="675"/>
      <c r="Q120" s="675"/>
      <c r="R120" s="675"/>
      <c r="S120" s="675"/>
      <c r="T120" s="675"/>
      <c r="U120" s="673">
        <v>1</v>
      </c>
      <c r="V120" s="673"/>
      <c r="W120" s="673"/>
      <c r="X120" s="673"/>
      <c r="Y120" s="673"/>
      <c r="Z120" s="674">
        <v>0</v>
      </c>
      <c r="AA120" s="675"/>
      <c r="AB120" s="675"/>
      <c r="AC120" s="675"/>
      <c r="AD120" s="675"/>
      <c r="AE120" s="675"/>
      <c r="AF120" s="675"/>
      <c r="AG120" s="674">
        <v>0</v>
      </c>
      <c r="AH120" s="675"/>
      <c r="AI120" s="675"/>
      <c r="AJ120" s="675"/>
      <c r="AK120" s="675"/>
      <c r="AL120" s="675"/>
      <c r="AM120" s="676"/>
    </row>
    <row r="121" spans="3:39" hidden="1" x14ac:dyDescent="0.25">
      <c r="C121" s="683" t="s">
        <v>318</v>
      </c>
      <c r="D121" s="675"/>
      <c r="E121" s="675"/>
      <c r="F121" s="675"/>
      <c r="G121" s="675"/>
      <c r="H121" s="675"/>
      <c r="I121" s="675"/>
      <c r="J121" s="675"/>
      <c r="K121" s="675"/>
      <c r="L121" s="675"/>
      <c r="M121" s="675"/>
      <c r="N121" s="675"/>
      <c r="O121" s="675"/>
      <c r="P121" s="675"/>
      <c r="Q121" s="675"/>
      <c r="R121" s="675"/>
      <c r="S121" s="675"/>
      <c r="T121" s="675"/>
      <c r="U121" s="673">
        <v>1</v>
      </c>
      <c r="V121" s="673"/>
      <c r="W121" s="673"/>
      <c r="X121" s="673"/>
      <c r="Y121" s="673"/>
      <c r="Z121" s="674">
        <v>100</v>
      </c>
      <c r="AA121" s="675"/>
      <c r="AB121" s="675"/>
      <c r="AC121" s="675"/>
      <c r="AD121" s="675"/>
      <c r="AE121" s="675"/>
      <c r="AF121" s="675"/>
      <c r="AG121" s="674">
        <v>100</v>
      </c>
      <c r="AH121" s="675"/>
      <c r="AI121" s="675"/>
      <c r="AJ121" s="675"/>
      <c r="AK121" s="675"/>
      <c r="AL121" s="675"/>
      <c r="AM121" s="676"/>
    </row>
    <row r="122" spans="3:39" hidden="1" x14ac:dyDescent="0.25">
      <c r="C122" s="671" t="s">
        <v>265</v>
      </c>
      <c r="D122" s="672"/>
      <c r="E122" s="672"/>
      <c r="F122" s="672"/>
      <c r="G122" s="672"/>
      <c r="H122" s="672"/>
      <c r="I122" s="672"/>
      <c r="J122" s="672"/>
      <c r="K122" s="672"/>
      <c r="L122" s="672"/>
      <c r="M122" s="672"/>
      <c r="N122" s="672"/>
      <c r="O122" s="672"/>
      <c r="P122" s="672"/>
      <c r="Q122" s="672"/>
      <c r="R122" s="672"/>
      <c r="S122" s="672"/>
      <c r="T122" s="672"/>
      <c r="U122" s="673">
        <v>5</v>
      </c>
      <c r="V122" s="673"/>
      <c r="W122" s="673"/>
      <c r="X122" s="673"/>
      <c r="Y122" s="673"/>
      <c r="Z122" s="674">
        <v>540</v>
      </c>
      <c r="AA122" s="675"/>
      <c r="AB122" s="675"/>
      <c r="AC122" s="675"/>
      <c r="AD122" s="675"/>
      <c r="AE122" s="675"/>
      <c r="AF122" s="675"/>
      <c r="AG122" s="674">
        <v>2700</v>
      </c>
      <c r="AH122" s="675"/>
      <c r="AI122" s="675"/>
      <c r="AJ122" s="675"/>
      <c r="AK122" s="675"/>
      <c r="AL122" s="675"/>
      <c r="AM122" s="676"/>
    </row>
    <row r="123" spans="3:39" hidden="1" x14ac:dyDescent="0.25">
      <c r="C123" s="683" t="s">
        <v>267</v>
      </c>
      <c r="D123" s="675"/>
      <c r="E123" s="675"/>
      <c r="F123" s="675"/>
      <c r="G123" s="675"/>
      <c r="H123" s="675"/>
      <c r="I123" s="675"/>
      <c r="J123" s="675"/>
      <c r="K123" s="675"/>
      <c r="L123" s="675"/>
      <c r="M123" s="675"/>
      <c r="N123" s="675"/>
      <c r="O123" s="675"/>
      <c r="P123" s="675"/>
      <c r="Q123" s="675"/>
      <c r="R123" s="675"/>
      <c r="S123" s="675"/>
      <c r="T123" s="675"/>
      <c r="U123" s="673">
        <v>5</v>
      </c>
      <c r="V123" s="673"/>
      <c r="W123" s="673"/>
      <c r="X123" s="673"/>
      <c r="Y123" s="673"/>
      <c r="Z123" s="674">
        <v>540</v>
      </c>
      <c r="AA123" s="675"/>
      <c r="AB123" s="675"/>
      <c r="AC123" s="675"/>
      <c r="AD123" s="675"/>
      <c r="AE123" s="675"/>
      <c r="AF123" s="675"/>
      <c r="AG123" s="674">
        <v>2700</v>
      </c>
      <c r="AH123" s="675"/>
      <c r="AI123" s="675"/>
      <c r="AJ123" s="675"/>
      <c r="AK123" s="675"/>
      <c r="AL123" s="675"/>
      <c r="AM123" s="676"/>
    </row>
    <row r="124" spans="3:39" hidden="1" x14ac:dyDescent="0.25">
      <c r="C124" s="677"/>
      <c r="D124" s="678"/>
      <c r="E124" s="678"/>
      <c r="F124" s="678"/>
      <c r="G124" s="678"/>
      <c r="H124" s="678"/>
      <c r="I124" s="678"/>
      <c r="J124" s="678"/>
      <c r="K124" s="678"/>
      <c r="L124" s="678"/>
      <c r="M124" s="678"/>
      <c r="N124" s="678"/>
      <c r="O124" s="678"/>
      <c r="P124" s="678"/>
      <c r="Q124" s="678"/>
      <c r="R124" s="678"/>
      <c r="S124" s="678"/>
      <c r="T124" s="678"/>
      <c r="U124" s="678"/>
      <c r="V124" s="678"/>
      <c r="W124" s="678"/>
      <c r="X124" s="678"/>
      <c r="Y124" s="678"/>
      <c r="Z124" s="678"/>
      <c r="AA124" s="678"/>
      <c r="AB124" s="678"/>
      <c r="AC124" s="678"/>
      <c r="AD124" s="678"/>
      <c r="AE124" s="678"/>
      <c r="AF124" s="678"/>
      <c r="AG124" s="678"/>
      <c r="AH124" s="678"/>
      <c r="AI124" s="678"/>
      <c r="AJ124" s="678"/>
      <c r="AK124" s="678"/>
      <c r="AL124" s="678"/>
      <c r="AM124" s="679"/>
    </row>
    <row r="125" spans="3:39" hidden="1" x14ac:dyDescent="0.25">
      <c r="C125" s="680" t="s">
        <v>281</v>
      </c>
      <c r="D125" s="681"/>
      <c r="E125" s="681"/>
      <c r="F125" s="681"/>
      <c r="G125" s="681"/>
      <c r="H125" s="681"/>
      <c r="I125" s="681"/>
      <c r="J125" s="681"/>
      <c r="K125" s="681"/>
      <c r="L125" s="681"/>
      <c r="M125" s="681"/>
      <c r="N125" s="681"/>
      <c r="O125" s="681"/>
      <c r="P125" s="681"/>
      <c r="Q125" s="681"/>
      <c r="R125" s="681"/>
      <c r="S125" s="681"/>
      <c r="T125" s="681"/>
      <c r="U125" s="681" t="s">
        <v>260</v>
      </c>
      <c r="V125" s="681"/>
      <c r="W125" s="681"/>
      <c r="X125" s="681"/>
      <c r="Y125" s="681"/>
      <c r="Z125" s="681" t="s">
        <v>236</v>
      </c>
      <c r="AA125" s="681"/>
      <c r="AB125" s="681"/>
      <c r="AC125" s="681"/>
      <c r="AD125" s="681"/>
      <c r="AE125" s="681"/>
      <c r="AF125" s="681"/>
      <c r="AG125" s="681" t="s">
        <v>257</v>
      </c>
      <c r="AH125" s="681"/>
      <c r="AI125" s="681"/>
      <c r="AJ125" s="681"/>
      <c r="AK125" s="681"/>
      <c r="AL125" s="681"/>
      <c r="AM125" s="682"/>
    </row>
    <row r="126" spans="3:39" hidden="1" x14ac:dyDescent="0.25">
      <c r="C126" s="669" t="s">
        <v>281</v>
      </c>
      <c r="D126" s="667"/>
      <c r="E126" s="667"/>
      <c r="F126" s="667"/>
      <c r="G126" s="667"/>
      <c r="H126" s="667"/>
      <c r="I126" s="667"/>
      <c r="J126" s="667"/>
      <c r="K126" s="667"/>
      <c r="L126" s="667"/>
      <c r="M126" s="667"/>
      <c r="N126" s="667"/>
      <c r="O126" s="667"/>
      <c r="P126" s="667"/>
      <c r="Q126" s="667"/>
      <c r="R126" s="667"/>
      <c r="S126" s="667"/>
      <c r="T126" s="667"/>
      <c r="U126" s="665">
        <v>1</v>
      </c>
      <c r="V126" s="665"/>
      <c r="W126" s="665"/>
      <c r="X126" s="665"/>
      <c r="Y126" s="665"/>
      <c r="Z126" s="666">
        <v>2732.65</v>
      </c>
      <c r="AA126" s="667"/>
      <c r="AB126" s="667"/>
      <c r="AC126" s="667"/>
      <c r="AD126" s="667"/>
      <c r="AE126" s="667"/>
      <c r="AF126" s="667"/>
      <c r="AG126" s="666">
        <v>2732.65</v>
      </c>
      <c r="AH126" s="667"/>
      <c r="AI126" s="667"/>
      <c r="AJ126" s="667"/>
      <c r="AK126" s="667"/>
      <c r="AL126" s="667"/>
      <c r="AM126" s="668"/>
    </row>
    <row r="127" spans="3:39" hidden="1" x14ac:dyDescent="0.25">
      <c r="C127" s="683" t="s">
        <v>319</v>
      </c>
      <c r="D127" s="675"/>
      <c r="E127" s="675"/>
      <c r="F127" s="675"/>
      <c r="G127" s="675"/>
      <c r="H127" s="675"/>
      <c r="I127" s="675"/>
      <c r="J127" s="675"/>
      <c r="K127" s="675"/>
      <c r="L127" s="675"/>
      <c r="M127" s="675"/>
      <c r="N127" s="675"/>
      <c r="O127" s="675"/>
      <c r="P127" s="675"/>
      <c r="Q127" s="675"/>
      <c r="R127" s="675"/>
      <c r="S127" s="675"/>
      <c r="T127" s="675"/>
      <c r="U127" s="673">
        <v>1</v>
      </c>
      <c r="V127" s="673"/>
      <c r="W127" s="673"/>
      <c r="X127" s="673"/>
      <c r="Y127" s="673"/>
      <c r="Z127" s="674">
        <v>514</v>
      </c>
      <c r="AA127" s="675"/>
      <c r="AB127" s="675"/>
      <c r="AC127" s="675"/>
      <c r="AD127" s="675"/>
      <c r="AE127" s="675"/>
      <c r="AF127" s="675"/>
      <c r="AG127" s="674">
        <v>514</v>
      </c>
      <c r="AH127" s="675"/>
      <c r="AI127" s="675"/>
      <c r="AJ127" s="675"/>
      <c r="AK127" s="675"/>
      <c r="AL127" s="675"/>
      <c r="AM127" s="676"/>
    </row>
    <row r="128" spans="3:39" hidden="1" x14ac:dyDescent="0.25">
      <c r="C128" s="671" t="s">
        <v>257</v>
      </c>
      <c r="D128" s="672"/>
      <c r="E128" s="672"/>
      <c r="F128" s="672"/>
      <c r="G128" s="672"/>
      <c r="H128" s="672"/>
      <c r="I128" s="672"/>
      <c r="J128" s="672"/>
      <c r="K128" s="672"/>
      <c r="L128" s="672"/>
      <c r="M128" s="672"/>
      <c r="N128" s="672"/>
      <c r="O128" s="672"/>
      <c r="P128" s="672"/>
      <c r="Q128" s="672"/>
      <c r="R128" s="672"/>
      <c r="S128" s="672"/>
      <c r="T128" s="672"/>
      <c r="U128" s="673">
        <v>5</v>
      </c>
      <c r="V128" s="673"/>
      <c r="W128" s="673"/>
      <c r="X128" s="673"/>
      <c r="Y128" s="673"/>
      <c r="Z128" s="674">
        <v>649.33000000000004</v>
      </c>
      <c r="AA128" s="675"/>
      <c r="AB128" s="675"/>
      <c r="AC128" s="675"/>
      <c r="AD128" s="675"/>
      <c r="AE128" s="675"/>
      <c r="AF128" s="675"/>
      <c r="AG128" s="674">
        <v>3246.65</v>
      </c>
      <c r="AH128" s="675"/>
      <c r="AI128" s="675"/>
      <c r="AJ128" s="675"/>
      <c r="AK128" s="675"/>
      <c r="AL128" s="675"/>
      <c r="AM128" s="676"/>
    </row>
    <row r="129" spans="3:39" hidden="1" x14ac:dyDescent="0.25">
      <c r="C129" s="677"/>
      <c r="D129" s="678"/>
      <c r="E129" s="678"/>
      <c r="F129" s="678"/>
      <c r="G129" s="678"/>
      <c r="H129" s="678"/>
      <c r="I129" s="678"/>
      <c r="J129" s="678"/>
      <c r="K129" s="678"/>
      <c r="L129" s="678"/>
      <c r="M129" s="678"/>
      <c r="N129" s="678"/>
      <c r="O129" s="678"/>
      <c r="P129" s="678"/>
      <c r="Q129" s="678"/>
      <c r="R129" s="678"/>
      <c r="S129" s="678"/>
      <c r="T129" s="678"/>
      <c r="U129" s="678"/>
      <c r="V129" s="678"/>
      <c r="W129" s="678"/>
      <c r="X129" s="678"/>
      <c r="Y129" s="678"/>
      <c r="Z129" s="678"/>
      <c r="AA129" s="678"/>
      <c r="AB129" s="678"/>
      <c r="AC129" s="678"/>
      <c r="AD129" s="678"/>
      <c r="AE129" s="678"/>
      <c r="AF129" s="678"/>
      <c r="AG129" s="678"/>
      <c r="AH129" s="678"/>
      <c r="AI129" s="678"/>
      <c r="AJ129" s="678"/>
      <c r="AK129" s="678"/>
      <c r="AL129" s="678"/>
      <c r="AM129" s="679"/>
    </row>
    <row r="130" spans="3:39" hidden="1" x14ac:dyDescent="0.25">
      <c r="C130" s="680" t="s">
        <v>320</v>
      </c>
      <c r="D130" s="681"/>
      <c r="E130" s="681"/>
      <c r="F130" s="681"/>
      <c r="G130" s="681"/>
      <c r="H130" s="681"/>
      <c r="I130" s="681"/>
      <c r="J130" s="681"/>
      <c r="K130" s="681"/>
      <c r="L130" s="681"/>
      <c r="M130" s="681"/>
      <c r="N130" s="681"/>
      <c r="O130" s="681"/>
      <c r="P130" s="681"/>
      <c r="Q130" s="681"/>
      <c r="R130" s="681"/>
      <c r="S130" s="681"/>
      <c r="T130" s="681"/>
      <c r="U130" s="681" t="s">
        <v>260</v>
      </c>
      <c r="V130" s="681"/>
      <c r="W130" s="681"/>
      <c r="X130" s="681"/>
      <c r="Y130" s="681"/>
      <c r="Z130" s="681" t="s">
        <v>236</v>
      </c>
      <c r="AA130" s="681"/>
      <c r="AB130" s="681"/>
      <c r="AC130" s="681"/>
      <c r="AD130" s="681"/>
      <c r="AE130" s="681"/>
      <c r="AF130" s="681"/>
      <c r="AG130" s="681" t="s">
        <v>257</v>
      </c>
      <c r="AH130" s="681"/>
      <c r="AI130" s="681"/>
      <c r="AJ130" s="681"/>
      <c r="AK130" s="681"/>
      <c r="AL130" s="681"/>
      <c r="AM130" s="682"/>
    </row>
    <row r="131" spans="3:39" hidden="1" x14ac:dyDescent="0.25">
      <c r="C131" s="669" t="s">
        <v>288</v>
      </c>
      <c r="D131" s="667"/>
      <c r="E131" s="667"/>
      <c r="F131" s="667"/>
      <c r="G131" s="667"/>
      <c r="H131" s="667"/>
      <c r="I131" s="667"/>
      <c r="J131" s="667"/>
      <c r="K131" s="667"/>
      <c r="L131" s="667"/>
      <c r="M131" s="667"/>
      <c r="N131" s="667"/>
      <c r="O131" s="667"/>
      <c r="P131" s="667"/>
      <c r="Q131" s="667"/>
      <c r="R131" s="667"/>
      <c r="S131" s="667"/>
      <c r="T131" s="667"/>
      <c r="U131" s="665">
        <v>5</v>
      </c>
      <c r="V131" s="665"/>
      <c r="W131" s="665"/>
      <c r="X131" s="665"/>
      <c r="Y131" s="665"/>
      <c r="Z131" s="666">
        <v>0</v>
      </c>
      <c r="AA131" s="667"/>
      <c r="AB131" s="667"/>
      <c r="AC131" s="667"/>
      <c r="AD131" s="667"/>
      <c r="AE131" s="667"/>
      <c r="AF131" s="667"/>
      <c r="AG131" s="666">
        <v>0</v>
      </c>
      <c r="AH131" s="667"/>
      <c r="AI131" s="667"/>
      <c r="AJ131" s="667"/>
      <c r="AK131" s="667"/>
      <c r="AL131" s="667"/>
      <c r="AM131" s="668"/>
    </row>
    <row r="132" spans="3:39" hidden="1" x14ac:dyDescent="0.25">
      <c r="C132" s="670" t="s">
        <v>287</v>
      </c>
      <c r="D132" s="654"/>
      <c r="E132" s="654"/>
      <c r="F132" s="654"/>
      <c r="G132" s="654"/>
      <c r="H132" s="654"/>
      <c r="I132" s="654"/>
      <c r="J132" s="654"/>
      <c r="K132" s="654"/>
      <c r="L132" s="654"/>
      <c r="M132" s="654"/>
      <c r="N132" s="654"/>
      <c r="O132" s="654"/>
      <c r="P132" s="654"/>
      <c r="Q132" s="654"/>
      <c r="R132" s="654"/>
      <c r="S132" s="654"/>
      <c r="T132" s="654"/>
      <c r="U132" s="652">
        <v>0</v>
      </c>
      <c r="V132" s="652"/>
      <c r="W132" s="652"/>
      <c r="X132" s="652"/>
      <c r="Y132" s="652"/>
      <c r="Z132" s="653">
        <v>0</v>
      </c>
      <c r="AA132" s="654"/>
      <c r="AB132" s="654"/>
      <c r="AC132" s="654"/>
      <c r="AD132" s="654"/>
      <c r="AE132" s="654"/>
      <c r="AF132" s="654"/>
      <c r="AG132" s="653">
        <v>0</v>
      </c>
      <c r="AH132" s="654"/>
      <c r="AI132" s="654"/>
      <c r="AJ132" s="654"/>
      <c r="AK132" s="654"/>
      <c r="AL132" s="654"/>
      <c r="AM132" s="655"/>
    </row>
    <row r="133" spans="3:39" hidden="1" x14ac:dyDescent="0.25">
      <c r="C133" s="662" t="s">
        <v>257</v>
      </c>
      <c r="D133" s="658"/>
      <c r="E133" s="658"/>
      <c r="F133" s="658"/>
      <c r="G133" s="658"/>
      <c r="H133" s="658"/>
      <c r="I133" s="658"/>
      <c r="J133" s="658"/>
      <c r="K133" s="658"/>
      <c r="L133" s="658"/>
      <c r="M133" s="658"/>
      <c r="N133" s="658"/>
      <c r="O133" s="658"/>
      <c r="P133" s="658"/>
      <c r="Q133" s="658"/>
      <c r="R133" s="658"/>
      <c r="S133" s="658"/>
      <c r="T133" s="658"/>
      <c r="U133" s="658"/>
      <c r="V133" s="658"/>
      <c r="W133" s="658"/>
      <c r="X133" s="658"/>
      <c r="Y133" s="658"/>
      <c r="Z133" s="660"/>
      <c r="AA133" s="660"/>
      <c r="AB133" s="660"/>
      <c r="AC133" s="660"/>
      <c r="AD133" s="660"/>
      <c r="AE133" s="660"/>
      <c r="AF133" s="660"/>
      <c r="AG133" s="659">
        <v>0</v>
      </c>
      <c r="AH133" s="660"/>
      <c r="AI133" s="660"/>
      <c r="AJ133" s="660"/>
      <c r="AK133" s="660"/>
      <c r="AL133" s="660"/>
      <c r="AM133" s="661"/>
    </row>
    <row r="134" spans="3:39" hidden="1" x14ac:dyDescent="0.25">
      <c r="C134" s="663" t="s">
        <v>265</v>
      </c>
      <c r="D134" s="664"/>
      <c r="E134" s="664"/>
      <c r="F134" s="664"/>
      <c r="G134" s="664"/>
      <c r="H134" s="664"/>
      <c r="I134" s="664"/>
      <c r="J134" s="664"/>
      <c r="K134" s="664"/>
      <c r="L134" s="664"/>
      <c r="M134" s="664"/>
      <c r="N134" s="664"/>
      <c r="O134" s="664"/>
      <c r="P134" s="664"/>
      <c r="Q134" s="664"/>
      <c r="R134" s="664"/>
      <c r="S134" s="664"/>
      <c r="T134" s="664"/>
      <c r="U134" s="665">
        <v>1</v>
      </c>
      <c r="V134" s="665"/>
      <c r="W134" s="665"/>
      <c r="X134" s="665"/>
      <c r="Y134" s="665"/>
      <c r="Z134" s="666">
        <v>10079.69</v>
      </c>
      <c r="AA134" s="667"/>
      <c r="AB134" s="667"/>
      <c r="AC134" s="667"/>
      <c r="AD134" s="667"/>
      <c r="AE134" s="667"/>
      <c r="AF134" s="667"/>
      <c r="AG134" s="666">
        <v>10079.69</v>
      </c>
      <c r="AH134" s="667"/>
      <c r="AI134" s="667"/>
      <c r="AJ134" s="667"/>
      <c r="AK134" s="667"/>
      <c r="AL134" s="667"/>
      <c r="AM134" s="668"/>
    </row>
    <row r="135" spans="3:39" ht="15" hidden="1" customHeight="1" x14ac:dyDescent="0.25">
      <c r="C135" s="650" t="s">
        <v>325</v>
      </c>
      <c r="D135" s="651"/>
      <c r="E135" s="651"/>
      <c r="F135" s="651"/>
      <c r="G135" s="651"/>
      <c r="H135" s="651"/>
      <c r="I135" s="651"/>
      <c r="J135" s="651"/>
      <c r="K135" s="651"/>
      <c r="L135" s="651"/>
      <c r="M135" s="651"/>
      <c r="N135" s="651"/>
      <c r="O135" s="651"/>
      <c r="P135" s="651"/>
      <c r="Q135" s="651"/>
      <c r="R135" s="651"/>
      <c r="S135" s="651"/>
      <c r="T135" s="651"/>
      <c r="U135" s="652">
        <v>1</v>
      </c>
      <c r="V135" s="652"/>
      <c r="W135" s="652"/>
      <c r="X135" s="652"/>
      <c r="Y135" s="652"/>
      <c r="Z135" s="653">
        <v>9680.89</v>
      </c>
      <c r="AA135" s="654"/>
      <c r="AB135" s="654"/>
      <c r="AC135" s="654"/>
      <c r="AD135" s="654"/>
      <c r="AE135" s="654"/>
      <c r="AF135" s="654"/>
      <c r="AG135" s="653">
        <v>9680.89</v>
      </c>
      <c r="AH135" s="654"/>
      <c r="AI135" s="654"/>
      <c r="AJ135" s="654"/>
      <c r="AK135" s="654"/>
      <c r="AL135" s="654"/>
      <c r="AM135" s="655"/>
    </row>
    <row r="136" spans="3:39" hidden="1" x14ac:dyDescent="0.25">
      <c r="C136" s="656" t="s">
        <v>236</v>
      </c>
      <c r="D136" s="657"/>
      <c r="E136" s="657"/>
      <c r="F136" s="657"/>
      <c r="G136" s="657"/>
      <c r="H136" s="657"/>
      <c r="I136" s="657"/>
      <c r="J136" s="657"/>
      <c r="K136" s="657"/>
      <c r="L136" s="657"/>
      <c r="M136" s="657"/>
      <c r="N136" s="657"/>
      <c r="O136" s="657"/>
      <c r="P136" s="657"/>
      <c r="Q136" s="657"/>
      <c r="R136" s="657"/>
      <c r="S136" s="657"/>
      <c r="T136" s="657"/>
      <c r="U136" s="658">
        <v>5</v>
      </c>
      <c r="V136" s="658"/>
      <c r="W136" s="658"/>
      <c r="X136" s="658"/>
      <c r="Y136" s="658"/>
      <c r="Z136" s="659">
        <v>1936.18</v>
      </c>
      <c r="AA136" s="660"/>
      <c r="AB136" s="660"/>
      <c r="AC136" s="660"/>
      <c r="AD136" s="660"/>
      <c r="AE136" s="660"/>
      <c r="AF136" s="660"/>
      <c r="AG136" s="659">
        <v>9680.9</v>
      </c>
      <c r="AH136" s="660"/>
      <c r="AI136" s="660"/>
      <c r="AJ136" s="660"/>
      <c r="AK136" s="660"/>
      <c r="AL136" s="660"/>
      <c r="AM136" s="661"/>
    </row>
    <row r="137" spans="3:39" hidden="1" x14ac:dyDescent="0.25"/>
    <row r="138" spans="3:39" hidden="1" x14ac:dyDescent="0.25">
      <c r="C138" s="645" t="s">
        <v>296</v>
      </c>
      <c r="D138" s="646"/>
      <c r="E138" s="646"/>
      <c r="F138" s="646"/>
      <c r="G138" s="646"/>
      <c r="H138" s="646"/>
      <c r="I138" s="646"/>
      <c r="J138" s="646"/>
      <c r="K138" s="646"/>
      <c r="L138" s="646"/>
      <c r="M138" s="646"/>
      <c r="N138" s="646"/>
      <c r="O138" s="646"/>
      <c r="P138" s="646"/>
      <c r="Q138" s="646"/>
      <c r="R138" s="646"/>
      <c r="S138" s="646"/>
      <c r="T138" s="646"/>
      <c r="U138" s="647">
        <v>5946.65</v>
      </c>
      <c r="V138" s="648"/>
      <c r="W138" s="648"/>
      <c r="X138" s="648"/>
      <c r="Y138" s="649"/>
    </row>
    <row r="139" spans="3:39" hidden="1" x14ac:dyDescent="0.25"/>
    <row r="140" spans="3:39" hidden="1" x14ac:dyDescent="0.25"/>
    <row r="141" spans="3:39" hidden="1" x14ac:dyDescent="0.25"/>
    <row r="142" spans="3:39" hidden="1" x14ac:dyDescent="0.25"/>
    <row r="143" spans="3:39" hidden="1" x14ac:dyDescent="0.25"/>
    <row r="144" spans="3:39" hidden="1" x14ac:dyDescent="0.25"/>
    <row r="145" spans="1:39" hidden="1" x14ac:dyDescent="0.25"/>
    <row r="146" spans="1:39" hidden="1" x14ac:dyDescent="0.25"/>
    <row r="147" spans="1:39" hidden="1" x14ac:dyDescent="0.25"/>
    <row r="148" spans="1:39" hidden="1" x14ac:dyDescent="0.25"/>
    <row r="149" spans="1:39" hidden="1" x14ac:dyDescent="0.25"/>
    <row r="150" spans="1:39" hidden="1" x14ac:dyDescent="0.25"/>
    <row r="151" spans="1:39" hidden="1" x14ac:dyDescent="0.25"/>
    <row r="152" spans="1:39" hidden="1" x14ac:dyDescent="0.25"/>
    <row r="153" spans="1:39" hidden="1" x14ac:dyDescent="0.25"/>
    <row r="154" spans="1:39" hidden="1" x14ac:dyDescent="0.25"/>
    <row r="155" spans="1:39" hidden="1" x14ac:dyDescent="0.25"/>
    <row r="156" spans="1:39" hidden="1" x14ac:dyDescent="0.25"/>
    <row r="157" spans="1:39" hidden="1" x14ac:dyDescent="0.25"/>
    <row r="158" spans="1:39" hidden="1" x14ac:dyDescent="0.25">
      <c r="A158" s="428" t="s">
        <v>323</v>
      </c>
    </row>
    <row r="159" spans="1:39" hidden="1" x14ac:dyDescent="0.25">
      <c r="C159" s="684" t="s">
        <v>258</v>
      </c>
      <c r="D159" s="685"/>
      <c r="E159" s="685"/>
      <c r="F159" s="685"/>
      <c r="G159" s="685"/>
      <c r="H159" s="685"/>
      <c r="I159" s="685"/>
      <c r="J159" s="685"/>
      <c r="K159" s="685"/>
      <c r="L159" s="685"/>
      <c r="M159" s="685"/>
      <c r="N159" s="685"/>
      <c r="O159" s="685"/>
      <c r="P159" s="685"/>
      <c r="Q159" s="685"/>
      <c r="R159" s="685"/>
      <c r="S159" s="685"/>
      <c r="T159" s="685"/>
      <c r="U159" s="685"/>
      <c r="V159" s="685"/>
      <c r="W159" s="685"/>
      <c r="X159" s="685"/>
      <c r="Y159" s="685"/>
      <c r="Z159" s="685" t="s">
        <v>458</v>
      </c>
      <c r="AA159" s="685"/>
      <c r="AB159" s="685"/>
      <c r="AC159" s="685"/>
      <c r="AD159" s="685"/>
      <c r="AE159" s="685"/>
      <c r="AF159" s="685"/>
      <c r="AG159" s="685"/>
      <c r="AH159" s="685"/>
      <c r="AI159" s="685"/>
      <c r="AJ159" s="685"/>
      <c r="AK159" s="685"/>
      <c r="AL159" s="685"/>
      <c r="AM159" s="686"/>
    </row>
    <row r="160" spans="1:39" hidden="1" x14ac:dyDescent="0.25">
      <c r="C160" s="687" t="s">
        <v>259</v>
      </c>
      <c r="D160" s="688"/>
      <c r="E160" s="688"/>
      <c r="F160" s="688"/>
      <c r="G160" s="688"/>
      <c r="H160" s="688"/>
      <c r="I160" s="688"/>
      <c r="J160" s="688"/>
      <c r="K160" s="688"/>
      <c r="L160" s="688"/>
      <c r="M160" s="688"/>
      <c r="N160" s="688"/>
      <c r="O160" s="688"/>
      <c r="P160" s="688"/>
      <c r="Q160" s="688"/>
      <c r="R160" s="688"/>
      <c r="S160" s="688"/>
      <c r="T160" s="688"/>
      <c r="U160" s="688" t="s">
        <v>260</v>
      </c>
      <c r="V160" s="688"/>
      <c r="W160" s="688"/>
      <c r="X160" s="688"/>
      <c r="Y160" s="688"/>
      <c r="Z160" s="688" t="s">
        <v>236</v>
      </c>
      <c r="AA160" s="688"/>
      <c r="AB160" s="688"/>
      <c r="AC160" s="688"/>
      <c r="AD160" s="688"/>
      <c r="AE160" s="688"/>
      <c r="AF160" s="688"/>
      <c r="AG160" s="688" t="s">
        <v>257</v>
      </c>
      <c r="AH160" s="688"/>
      <c r="AI160" s="688"/>
      <c r="AJ160" s="688"/>
      <c r="AK160" s="688"/>
      <c r="AL160" s="688"/>
      <c r="AM160" s="689"/>
    </row>
    <row r="161" spans="3:39" hidden="1" x14ac:dyDescent="0.25">
      <c r="C161" s="669" t="s">
        <v>262</v>
      </c>
      <c r="D161" s="667"/>
      <c r="E161" s="667"/>
      <c r="F161" s="667"/>
      <c r="G161" s="667"/>
      <c r="H161" s="667"/>
      <c r="I161" s="667"/>
      <c r="J161" s="667"/>
      <c r="K161" s="667"/>
      <c r="L161" s="667"/>
      <c r="M161" s="667"/>
      <c r="N161" s="667"/>
      <c r="O161" s="667"/>
      <c r="P161" s="667"/>
      <c r="Q161" s="667"/>
      <c r="R161" s="667"/>
      <c r="S161" s="667"/>
      <c r="T161" s="667"/>
      <c r="U161" s="665">
        <v>10</v>
      </c>
      <c r="V161" s="665"/>
      <c r="W161" s="665"/>
      <c r="X161" s="665"/>
      <c r="Y161" s="665"/>
      <c r="Z161" s="666">
        <v>422.02</v>
      </c>
      <c r="AA161" s="667"/>
      <c r="AB161" s="667"/>
      <c r="AC161" s="667"/>
      <c r="AD161" s="667"/>
      <c r="AE161" s="667"/>
      <c r="AF161" s="667"/>
      <c r="AG161" s="666">
        <v>4220.22</v>
      </c>
      <c r="AH161" s="667"/>
      <c r="AI161" s="667"/>
      <c r="AJ161" s="667"/>
      <c r="AK161" s="667"/>
      <c r="AL161" s="667"/>
      <c r="AM161" s="668"/>
    </row>
    <row r="162" spans="3:39" hidden="1" x14ac:dyDescent="0.25">
      <c r="C162" s="683" t="s">
        <v>5</v>
      </c>
      <c r="D162" s="675"/>
      <c r="E162" s="675"/>
      <c r="F162" s="675"/>
      <c r="G162" s="675"/>
      <c r="H162" s="675"/>
      <c r="I162" s="675"/>
      <c r="J162" s="675"/>
      <c r="K162" s="675"/>
      <c r="L162" s="675"/>
      <c r="M162" s="675"/>
      <c r="N162" s="675"/>
      <c r="O162" s="675"/>
      <c r="P162" s="675"/>
      <c r="Q162" s="675"/>
      <c r="R162" s="675"/>
      <c r="S162" s="675"/>
      <c r="T162" s="675"/>
      <c r="U162" s="673" t="s">
        <v>459</v>
      </c>
      <c r="V162" s="673"/>
      <c r="W162" s="673"/>
      <c r="X162" s="673"/>
      <c r="Y162" s="673"/>
      <c r="Z162" s="674">
        <v>398.8</v>
      </c>
      <c r="AA162" s="675"/>
      <c r="AB162" s="675"/>
      <c r="AC162" s="675"/>
      <c r="AD162" s="675"/>
      <c r="AE162" s="675"/>
      <c r="AF162" s="675"/>
      <c r="AG162" s="674">
        <v>398.8</v>
      </c>
      <c r="AH162" s="675"/>
      <c r="AI162" s="675"/>
      <c r="AJ162" s="675"/>
      <c r="AK162" s="675"/>
      <c r="AL162" s="675"/>
      <c r="AM162" s="676"/>
    </row>
    <row r="163" spans="3:39" hidden="1" x14ac:dyDescent="0.25">
      <c r="C163" s="683" t="s">
        <v>252</v>
      </c>
      <c r="D163" s="675"/>
      <c r="E163" s="675"/>
      <c r="F163" s="675"/>
      <c r="G163" s="675"/>
      <c r="H163" s="675"/>
      <c r="I163" s="675"/>
      <c r="J163" s="675"/>
      <c r="K163" s="675"/>
      <c r="L163" s="675"/>
      <c r="M163" s="675"/>
      <c r="N163" s="675"/>
      <c r="O163" s="675"/>
      <c r="P163" s="675"/>
      <c r="Q163" s="675"/>
      <c r="R163" s="675"/>
      <c r="S163" s="675"/>
      <c r="T163" s="675"/>
      <c r="U163" s="673">
        <v>0</v>
      </c>
      <c r="V163" s="673"/>
      <c r="W163" s="673"/>
      <c r="X163" s="673"/>
      <c r="Y163" s="673"/>
      <c r="Z163" s="674">
        <v>0</v>
      </c>
      <c r="AA163" s="675"/>
      <c r="AB163" s="675"/>
      <c r="AC163" s="675"/>
      <c r="AD163" s="675"/>
      <c r="AE163" s="675"/>
      <c r="AF163" s="675"/>
      <c r="AG163" s="674">
        <v>0</v>
      </c>
      <c r="AH163" s="675"/>
      <c r="AI163" s="675"/>
      <c r="AJ163" s="675"/>
      <c r="AK163" s="675"/>
      <c r="AL163" s="675"/>
      <c r="AM163" s="676"/>
    </row>
    <row r="164" spans="3:39" hidden="1" x14ac:dyDescent="0.25">
      <c r="C164" s="671" t="s">
        <v>265</v>
      </c>
      <c r="D164" s="672"/>
      <c r="E164" s="672"/>
      <c r="F164" s="672"/>
      <c r="G164" s="672"/>
      <c r="H164" s="672"/>
      <c r="I164" s="672"/>
      <c r="J164" s="672"/>
      <c r="K164" s="672"/>
      <c r="L164" s="672"/>
      <c r="M164" s="672"/>
      <c r="N164" s="672"/>
      <c r="O164" s="672"/>
      <c r="P164" s="672"/>
      <c r="Q164" s="672"/>
      <c r="R164" s="672"/>
      <c r="S164" s="672"/>
      <c r="T164" s="672"/>
      <c r="U164" s="673">
        <v>10</v>
      </c>
      <c r="V164" s="673"/>
      <c r="W164" s="673"/>
      <c r="X164" s="673"/>
      <c r="Y164" s="673"/>
      <c r="Z164" s="674">
        <v>461.9</v>
      </c>
      <c r="AA164" s="675"/>
      <c r="AB164" s="675"/>
      <c r="AC164" s="675"/>
      <c r="AD164" s="675"/>
      <c r="AE164" s="675"/>
      <c r="AF164" s="675"/>
      <c r="AG164" s="674">
        <v>4619.0200000000004</v>
      </c>
      <c r="AH164" s="675"/>
      <c r="AI164" s="675"/>
      <c r="AJ164" s="675"/>
      <c r="AK164" s="675"/>
      <c r="AL164" s="675"/>
      <c r="AM164" s="676"/>
    </row>
    <row r="165" spans="3:39" hidden="1" x14ac:dyDescent="0.25">
      <c r="C165" s="671" t="s">
        <v>267</v>
      </c>
      <c r="D165" s="672"/>
      <c r="E165" s="672"/>
      <c r="F165" s="672"/>
      <c r="G165" s="672"/>
      <c r="H165" s="672"/>
      <c r="I165" s="672"/>
      <c r="J165" s="672"/>
      <c r="K165" s="672"/>
      <c r="L165" s="672"/>
      <c r="M165" s="672"/>
      <c r="N165" s="672"/>
      <c r="O165" s="672"/>
      <c r="P165" s="672"/>
      <c r="Q165" s="672"/>
      <c r="R165" s="672"/>
      <c r="S165" s="672"/>
      <c r="T165" s="672"/>
      <c r="U165" s="673">
        <v>10</v>
      </c>
      <c r="V165" s="673"/>
      <c r="W165" s="673"/>
      <c r="X165" s="673"/>
      <c r="Y165" s="673"/>
      <c r="Z165" s="674">
        <v>422.02</v>
      </c>
      <c r="AA165" s="675"/>
      <c r="AB165" s="675"/>
      <c r="AC165" s="675"/>
      <c r="AD165" s="675"/>
      <c r="AE165" s="675"/>
      <c r="AF165" s="675"/>
      <c r="AG165" s="674">
        <v>4220.22</v>
      </c>
      <c r="AH165" s="675"/>
      <c r="AI165" s="675"/>
      <c r="AJ165" s="675"/>
      <c r="AK165" s="675"/>
      <c r="AL165" s="675"/>
      <c r="AM165" s="676"/>
    </row>
    <row r="166" spans="3:39" hidden="1" x14ac:dyDescent="0.25">
      <c r="C166" s="677"/>
      <c r="D166" s="678"/>
      <c r="E166" s="678"/>
      <c r="F166" s="678"/>
      <c r="G166" s="678"/>
      <c r="H166" s="678"/>
      <c r="I166" s="678"/>
      <c r="J166" s="678"/>
      <c r="K166" s="678"/>
      <c r="L166" s="678"/>
      <c r="M166" s="678"/>
      <c r="N166" s="678"/>
      <c r="O166" s="678"/>
      <c r="P166" s="678"/>
      <c r="Q166" s="678"/>
      <c r="R166" s="678"/>
      <c r="S166" s="678"/>
      <c r="T166" s="678"/>
      <c r="U166" s="678"/>
      <c r="V166" s="678"/>
      <c r="W166" s="678"/>
      <c r="X166" s="678"/>
      <c r="Y166" s="678"/>
      <c r="Z166" s="678"/>
      <c r="AA166" s="678"/>
      <c r="AB166" s="678"/>
      <c r="AC166" s="678"/>
      <c r="AD166" s="678"/>
      <c r="AE166" s="678"/>
      <c r="AF166" s="678"/>
      <c r="AG166" s="678"/>
      <c r="AH166" s="678"/>
      <c r="AI166" s="678"/>
      <c r="AJ166" s="678"/>
      <c r="AK166" s="678"/>
      <c r="AL166" s="678"/>
      <c r="AM166" s="679"/>
    </row>
    <row r="167" spans="3:39" hidden="1" x14ac:dyDescent="0.25">
      <c r="C167" s="680" t="s">
        <v>269</v>
      </c>
      <c r="D167" s="681"/>
      <c r="E167" s="681"/>
      <c r="F167" s="681"/>
      <c r="G167" s="681"/>
      <c r="H167" s="681"/>
      <c r="I167" s="681"/>
      <c r="J167" s="681"/>
      <c r="K167" s="681"/>
      <c r="L167" s="681"/>
      <c r="M167" s="681"/>
      <c r="N167" s="681"/>
      <c r="O167" s="681"/>
      <c r="P167" s="681"/>
      <c r="Q167" s="681"/>
      <c r="R167" s="681"/>
      <c r="S167" s="681"/>
      <c r="T167" s="681"/>
      <c r="U167" s="681" t="s">
        <v>260</v>
      </c>
      <c r="V167" s="681"/>
      <c r="W167" s="681"/>
      <c r="X167" s="681"/>
      <c r="Y167" s="681"/>
      <c r="Z167" s="681" t="s">
        <v>236</v>
      </c>
      <c r="AA167" s="681"/>
      <c r="AB167" s="681"/>
      <c r="AC167" s="681"/>
      <c r="AD167" s="681"/>
      <c r="AE167" s="681"/>
      <c r="AF167" s="681"/>
      <c r="AG167" s="681" t="s">
        <v>257</v>
      </c>
      <c r="AH167" s="681"/>
      <c r="AI167" s="681"/>
      <c r="AJ167" s="681"/>
      <c r="AK167" s="681"/>
      <c r="AL167" s="681"/>
      <c r="AM167" s="682"/>
    </row>
    <row r="168" spans="3:39" hidden="1" x14ac:dyDescent="0.25">
      <c r="C168" s="669" t="s">
        <v>278</v>
      </c>
      <c r="D168" s="667"/>
      <c r="E168" s="667"/>
      <c r="F168" s="667"/>
      <c r="G168" s="667"/>
      <c r="H168" s="667"/>
      <c r="I168" s="667"/>
      <c r="J168" s="667"/>
      <c r="K168" s="667"/>
      <c r="L168" s="667"/>
      <c r="M168" s="667"/>
      <c r="N168" s="667"/>
      <c r="O168" s="667"/>
      <c r="P168" s="667"/>
      <c r="Q168" s="667"/>
      <c r="R168" s="667"/>
      <c r="S168" s="667"/>
      <c r="T168" s="667"/>
      <c r="U168" s="665">
        <v>10</v>
      </c>
      <c r="V168" s="665"/>
      <c r="W168" s="665"/>
      <c r="X168" s="665"/>
      <c r="Y168" s="665"/>
      <c r="Z168" s="666">
        <v>390</v>
      </c>
      <c r="AA168" s="667"/>
      <c r="AB168" s="667"/>
      <c r="AC168" s="667"/>
      <c r="AD168" s="667"/>
      <c r="AE168" s="667"/>
      <c r="AF168" s="667"/>
      <c r="AG168" s="666">
        <v>3900</v>
      </c>
      <c r="AH168" s="667"/>
      <c r="AI168" s="667"/>
      <c r="AJ168" s="667"/>
      <c r="AK168" s="667"/>
      <c r="AL168" s="667"/>
      <c r="AM168" s="668"/>
    </row>
    <row r="169" spans="3:39" hidden="1" x14ac:dyDescent="0.25">
      <c r="C169" s="683" t="s">
        <v>272</v>
      </c>
      <c r="D169" s="675"/>
      <c r="E169" s="675"/>
      <c r="F169" s="675"/>
      <c r="G169" s="675"/>
      <c r="H169" s="675"/>
      <c r="I169" s="675"/>
      <c r="J169" s="675"/>
      <c r="K169" s="675"/>
      <c r="L169" s="675"/>
      <c r="M169" s="675"/>
      <c r="N169" s="675"/>
      <c r="O169" s="675"/>
      <c r="P169" s="675"/>
      <c r="Q169" s="675"/>
      <c r="R169" s="675"/>
      <c r="S169" s="675"/>
      <c r="T169" s="675"/>
      <c r="U169" s="673">
        <v>1</v>
      </c>
      <c r="V169" s="673"/>
      <c r="W169" s="673"/>
      <c r="X169" s="673"/>
      <c r="Y169" s="673"/>
      <c r="Z169" s="674">
        <v>0</v>
      </c>
      <c r="AA169" s="675"/>
      <c r="AB169" s="675"/>
      <c r="AC169" s="675"/>
      <c r="AD169" s="675"/>
      <c r="AE169" s="675"/>
      <c r="AF169" s="675"/>
      <c r="AG169" s="674">
        <v>0</v>
      </c>
      <c r="AH169" s="675"/>
      <c r="AI169" s="675"/>
      <c r="AJ169" s="675"/>
      <c r="AK169" s="675"/>
      <c r="AL169" s="675"/>
      <c r="AM169" s="676"/>
    </row>
    <row r="170" spans="3:39" hidden="1" x14ac:dyDescent="0.25">
      <c r="C170" s="683" t="s">
        <v>318</v>
      </c>
      <c r="D170" s="675"/>
      <c r="E170" s="675"/>
      <c r="F170" s="675"/>
      <c r="G170" s="675"/>
      <c r="H170" s="675"/>
      <c r="I170" s="675"/>
      <c r="J170" s="675"/>
      <c r="K170" s="675"/>
      <c r="L170" s="675"/>
      <c r="M170" s="675"/>
      <c r="N170" s="675"/>
      <c r="O170" s="675"/>
      <c r="P170" s="675"/>
      <c r="Q170" s="675"/>
      <c r="R170" s="675"/>
      <c r="S170" s="675"/>
      <c r="T170" s="675"/>
      <c r="U170" s="673">
        <v>1</v>
      </c>
      <c r="V170" s="673"/>
      <c r="W170" s="673"/>
      <c r="X170" s="673"/>
      <c r="Y170" s="673"/>
      <c r="Z170" s="674">
        <v>100</v>
      </c>
      <c r="AA170" s="675"/>
      <c r="AB170" s="675"/>
      <c r="AC170" s="675"/>
      <c r="AD170" s="675"/>
      <c r="AE170" s="675"/>
      <c r="AF170" s="675"/>
      <c r="AG170" s="674">
        <v>100</v>
      </c>
      <c r="AH170" s="675"/>
      <c r="AI170" s="675"/>
      <c r="AJ170" s="675"/>
      <c r="AK170" s="675"/>
      <c r="AL170" s="675"/>
      <c r="AM170" s="676"/>
    </row>
    <row r="171" spans="3:39" hidden="1" x14ac:dyDescent="0.25">
      <c r="C171" s="671" t="s">
        <v>265</v>
      </c>
      <c r="D171" s="672"/>
      <c r="E171" s="672"/>
      <c r="F171" s="672"/>
      <c r="G171" s="672"/>
      <c r="H171" s="672"/>
      <c r="I171" s="672"/>
      <c r="J171" s="672"/>
      <c r="K171" s="672"/>
      <c r="L171" s="672"/>
      <c r="M171" s="672"/>
      <c r="N171" s="672"/>
      <c r="O171" s="672"/>
      <c r="P171" s="672"/>
      <c r="Q171" s="672"/>
      <c r="R171" s="672"/>
      <c r="S171" s="672"/>
      <c r="T171" s="672"/>
      <c r="U171" s="673">
        <v>10</v>
      </c>
      <c r="V171" s="673"/>
      <c r="W171" s="673"/>
      <c r="X171" s="673"/>
      <c r="Y171" s="673"/>
      <c r="Z171" s="674">
        <v>400</v>
      </c>
      <c r="AA171" s="675"/>
      <c r="AB171" s="675"/>
      <c r="AC171" s="675"/>
      <c r="AD171" s="675"/>
      <c r="AE171" s="675"/>
      <c r="AF171" s="675"/>
      <c r="AG171" s="674">
        <v>4000</v>
      </c>
      <c r="AH171" s="675"/>
      <c r="AI171" s="675"/>
      <c r="AJ171" s="675"/>
      <c r="AK171" s="675"/>
      <c r="AL171" s="675"/>
      <c r="AM171" s="676"/>
    </row>
    <row r="172" spans="3:39" hidden="1" x14ac:dyDescent="0.25">
      <c r="C172" s="683" t="s">
        <v>267</v>
      </c>
      <c r="D172" s="675"/>
      <c r="E172" s="675"/>
      <c r="F172" s="675"/>
      <c r="G172" s="675"/>
      <c r="H172" s="675"/>
      <c r="I172" s="675"/>
      <c r="J172" s="675"/>
      <c r="K172" s="675"/>
      <c r="L172" s="675"/>
      <c r="M172" s="675"/>
      <c r="N172" s="675"/>
      <c r="O172" s="675"/>
      <c r="P172" s="675"/>
      <c r="Q172" s="675"/>
      <c r="R172" s="675"/>
      <c r="S172" s="675"/>
      <c r="T172" s="675"/>
      <c r="U172" s="673">
        <v>10</v>
      </c>
      <c r="V172" s="673"/>
      <c r="W172" s="673"/>
      <c r="X172" s="673"/>
      <c r="Y172" s="673"/>
      <c r="Z172" s="674">
        <v>400</v>
      </c>
      <c r="AA172" s="675"/>
      <c r="AB172" s="675"/>
      <c r="AC172" s="675"/>
      <c r="AD172" s="675"/>
      <c r="AE172" s="675"/>
      <c r="AF172" s="675"/>
      <c r="AG172" s="674">
        <v>4000</v>
      </c>
      <c r="AH172" s="675"/>
      <c r="AI172" s="675"/>
      <c r="AJ172" s="675"/>
      <c r="AK172" s="675"/>
      <c r="AL172" s="675"/>
      <c r="AM172" s="676"/>
    </row>
    <row r="173" spans="3:39" hidden="1" x14ac:dyDescent="0.25">
      <c r="C173" s="677"/>
      <c r="D173" s="678"/>
      <c r="E173" s="678"/>
      <c r="F173" s="678"/>
      <c r="G173" s="678"/>
      <c r="H173" s="678"/>
      <c r="I173" s="678"/>
      <c r="J173" s="678"/>
      <c r="K173" s="678"/>
      <c r="L173" s="678"/>
      <c r="M173" s="678"/>
      <c r="N173" s="678"/>
      <c r="O173" s="678"/>
      <c r="P173" s="678"/>
      <c r="Q173" s="678"/>
      <c r="R173" s="678"/>
      <c r="S173" s="678"/>
      <c r="T173" s="678"/>
      <c r="U173" s="678"/>
      <c r="V173" s="678"/>
      <c r="W173" s="678"/>
      <c r="X173" s="678"/>
      <c r="Y173" s="678"/>
      <c r="Z173" s="678"/>
      <c r="AA173" s="678"/>
      <c r="AB173" s="678"/>
      <c r="AC173" s="678"/>
      <c r="AD173" s="678"/>
      <c r="AE173" s="678"/>
      <c r="AF173" s="678"/>
      <c r="AG173" s="678"/>
      <c r="AH173" s="678"/>
      <c r="AI173" s="678"/>
      <c r="AJ173" s="678"/>
      <c r="AK173" s="678"/>
      <c r="AL173" s="678"/>
      <c r="AM173" s="679"/>
    </row>
    <row r="174" spans="3:39" hidden="1" x14ac:dyDescent="0.25">
      <c r="C174" s="680" t="s">
        <v>281</v>
      </c>
      <c r="D174" s="681"/>
      <c r="E174" s="681"/>
      <c r="F174" s="681"/>
      <c r="G174" s="681"/>
      <c r="H174" s="681"/>
      <c r="I174" s="681"/>
      <c r="J174" s="681"/>
      <c r="K174" s="681"/>
      <c r="L174" s="681"/>
      <c r="M174" s="681"/>
      <c r="N174" s="681"/>
      <c r="O174" s="681"/>
      <c r="P174" s="681"/>
      <c r="Q174" s="681"/>
      <c r="R174" s="681"/>
      <c r="S174" s="681"/>
      <c r="T174" s="681"/>
      <c r="U174" s="681" t="s">
        <v>260</v>
      </c>
      <c r="V174" s="681"/>
      <c r="W174" s="681"/>
      <c r="X174" s="681"/>
      <c r="Y174" s="681"/>
      <c r="Z174" s="681" t="s">
        <v>236</v>
      </c>
      <c r="AA174" s="681"/>
      <c r="AB174" s="681"/>
      <c r="AC174" s="681"/>
      <c r="AD174" s="681"/>
      <c r="AE174" s="681"/>
      <c r="AF174" s="681"/>
      <c r="AG174" s="681" t="s">
        <v>257</v>
      </c>
      <c r="AH174" s="681"/>
      <c r="AI174" s="681"/>
      <c r="AJ174" s="681"/>
      <c r="AK174" s="681"/>
      <c r="AL174" s="681"/>
      <c r="AM174" s="682"/>
    </row>
    <row r="175" spans="3:39" hidden="1" x14ac:dyDescent="0.25">
      <c r="C175" s="669" t="s">
        <v>281</v>
      </c>
      <c r="D175" s="667"/>
      <c r="E175" s="667"/>
      <c r="F175" s="667"/>
      <c r="G175" s="667"/>
      <c r="H175" s="667"/>
      <c r="I175" s="667"/>
      <c r="J175" s="667"/>
      <c r="K175" s="667"/>
      <c r="L175" s="667"/>
      <c r="M175" s="667"/>
      <c r="N175" s="667"/>
      <c r="O175" s="667"/>
      <c r="P175" s="667"/>
      <c r="Q175" s="667"/>
      <c r="R175" s="667"/>
      <c r="S175" s="667"/>
      <c r="T175" s="667"/>
      <c r="U175" s="665">
        <v>1</v>
      </c>
      <c r="V175" s="665"/>
      <c r="W175" s="665"/>
      <c r="X175" s="665"/>
      <c r="Y175" s="665"/>
      <c r="Z175" s="666">
        <v>4376.2</v>
      </c>
      <c r="AA175" s="667"/>
      <c r="AB175" s="667"/>
      <c r="AC175" s="667"/>
      <c r="AD175" s="667"/>
      <c r="AE175" s="667"/>
      <c r="AF175" s="667"/>
      <c r="AG175" s="666">
        <v>4376.2</v>
      </c>
      <c r="AH175" s="667"/>
      <c r="AI175" s="667"/>
      <c r="AJ175" s="667"/>
      <c r="AK175" s="667"/>
      <c r="AL175" s="667"/>
      <c r="AM175" s="668"/>
    </row>
    <row r="176" spans="3:39" hidden="1" x14ac:dyDescent="0.25">
      <c r="C176" s="683" t="s">
        <v>319</v>
      </c>
      <c r="D176" s="675"/>
      <c r="E176" s="675"/>
      <c r="F176" s="675"/>
      <c r="G176" s="675"/>
      <c r="H176" s="675"/>
      <c r="I176" s="675"/>
      <c r="J176" s="675"/>
      <c r="K176" s="675"/>
      <c r="L176" s="675"/>
      <c r="M176" s="675"/>
      <c r="N176" s="675"/>
      <c r="O176" s="675"/>
      <c r="P176" s="675"/>
      <c r="Q176" s="675"/>
      <c r="R176" s="675"/>
      <c r="S176" s="675"/>
      <c r="T176" s="675"/>
      <c r="U176" s="673">
        <v>1</v>
      </c>
      <c r="V176" s="673"/>
      <c r="W176" s="673"/>
      <c r="X176" s="673"/>
      <c r="Y176" s="673"/>
      <c r="Z176" s="674">
        <v>514</v>
      </c>
      <c r="AA176" s="675"/>
      <c r="AB176" s="675"/>
      <c r="AC176" s="675"/>
      <c r="AD176" s="675"/>
      <c r="AE176" s="675"/>
      <c r="AF176" s="675"/>
      <c r="AG176" s="674">
        <v>514</v>
      </c>
      <c r="AH176" s="675"/>
      <c r="AI176" s="675"/>
      <c r="AJ176" s="675"/>
      <c r="AK176" s="675"/>
      <c r="AL176" s="675"/>
      <c r="AM176" s="676"/>
    </row>
    <row r="177" spans="3:39" hidden="1" x14ac:dyDescent="0.25">
      <c r="C177" s="671" t="s">
        <v>257</v>
      </c>
      <c r="D177" s="672"/>
      <c r="E177" s="672"/>
      <c r="F177" s="672"/>
      <c r="G177" s="672"/>
      <c r="H177" s="672"/>
      <c r="I177" s="672"/>
      <c r="J177" s="672"/>
      <c r="K177" s="672"/>
      <c r="L177" s="672"/>
      <c r="M177" s="672"/>
      <c r="N177" s="672"/>
      <c r="O177" s="672"/>
      <c r="P177" s="672"/>
      <c r="Q177" s="672"/>
      <c r="R177" s="672"/>
      <c r="S177" s="672"/>
      <c r="T177" s="672"/>
      <c r="U177" s="673">
        <v>10</v>
      </c>
      <c r="V177" s="673"/>
      <c r="W177" s="673"/>
      <c r="X177" s="673"/>
      <c r="Y177" s="673"/>
      <c r="Z177" s="674">
        <v>489.02</v>
      </c>
      <c r="AA177" s="675"/>
      <c r="AB177" s="675"/>
      <c r="AC177" s="675"/>
      <c r="AD177" s="675"/>
      <c r="AE177" s="675"/>
      <c r="AF177" s="675"/>
      <c r="AG177" s="674">
        <v>4890.2</v>
      </c>
      <c r="AH177" s="675"/>
      <c r="AI177" s="675"/>
      <c r="AJ177" s="675"/>
      <c r="AK177" s="675"/>
      <c r="AL177" s="675"/>
      <c r="AM177" s="676"/>
    </row>
    <row r="178" spans="3:39" hidden="1" x14ac:dyDescent="0.25">
      <c r="C178" s="677"/>
      <c r="D178" s="678"/>
      <c r="E178" s="678"/>
      <c r="F178" s="678"/>
      <c r="G178" s="678"/>
      <c r="H178" s="678"/>
      <c r="I178" s="678"/>
      <c r="J178" s="678"/>
      <c r="K178" s="678"/>
      <c r="L178" s="678"/>
      <c r="M178" s="678"/>
      <c r="N178" s="678"/>
      <c r="O178" s="678"/>
      <c r="P178" s="678"/>
      <c r="Q178" s="678"/>
      <c r="R178" s="678"/>
      <c r="S178" s="678"/>
      <c r="T178" s="678"/>
      <c r="U178" s="678"/>
      <c r="V178" s="678"/>
      <c r="W178" s="678"/>
      <c r="X178" s="678"/>
      <c r="Y178" s="678"/>
      <c r="Z178" s="678"/>
      <c r="AA178" s="678"/>
      <c r="AB178" s="678"/>
      <c r="AC178" s="678"/>
      <c r="AD178" s="678"/>
      <c r="AE178" s="678"/>
      <c r="AF178" s="678"/>
      <c r="AG178" s="678"/>
      <c r="AH178" s="678"/>
      <c r="AI178" s="678"/>
      <c r="AJ178" s="678"/>
      <c r="AK178" s="678"/>
      <c r="AL178" s="678"/>
      <c r="AM178" s="679"/>
    </row>
    <row r="179" spans="3:39" hidden="1" x14ac:dyDescent="0.25">
      <c r="C179" s="680" t="s">
        <v>320</v>
      </c>
      <c r="D179" s="681"/>
      <c r="E179" s="681"/>
      <c r="F179" s="681"/>
      <c r="G179" s="681"/>
      <c r="H179" s="681"/>
      <c r="I179" s="681"/>
      <c r="J179" s="681"/>
      <c r="K179" s="681"/>
      <c r="L179" s="681"/>
      <c r="M179" s="681"/>
      <c r="N179" s="681"/>
      <c r="O179" s="681"/>
      <c r="P179" s="681"/>
      <c r="Q179" s="681"/>
      <c r="R179" s="681"/>
      <c r="S179" s="681"/>
      <c r="T179" s="681"/>
      <c r="U179" s="681" t="s">
        <v>260</v>
      </c>
      <c r="V179" s="681"/>
      <c r="W179" s="681"/>
      <c r="X179" s="681"/>
      <c r="Y179" s="681"/>
      <c r="Z179" s="681" t="s">
        <v>236</v>
      </c>
      <c r="AA179" s="681"/>
      <c r="AB179" s="681"/>
      <c r="AC179" s="681"/>
      <c r="AD179" s="681"/>
      <c r="AE179" s="681"/>
      <c r="AF179" s="681"/>
      <c r="AG179" s="681" t="s">
        <v>257</v>
      </c>
      <c r="AH179" s="681"/>
      <c r="AI179" s="681"/>
      <c r="AJ179" s="681"/>
      <c r="AK179" s="681"/>
      <c r="AL179" s="681"/>
      <c r="AM179" s="682"/>
    </row>
    <row r="180" spans="3:39" hidden="1" x14ac:dyDescent="0.25">
      <c r="C180" s="669" t="s">
        <v>288</v>
      </c>
      <c r="D180" s="667"/>
      <c r="E180" s="667"/>
      <c r="F180" s="667"/>
      <c r="G180" s="667"/>
      <c r="H180" s="667"/>
      <c r="I180" s="667"/>
      <c r="J180" s="667"/>
      <c r="K180" s="667"/>
      <c r="L180" s="667"/>
      <c r="M180" s="667"/>
      <c r="N180" s="667"/>
      <c r="O180" s="667"/>
      <c r="P180" s="667"/>
      <c r="Q180" s="667"/>
      <c r="R180" s="667"/>
      <c r="S180" s="667"/>
      <c r="T180" s="667"/>
      <c r="U180" s="665">
        <v>10</v>
      </c>
      <c r="V180" s="665"/>
      <c r="W180" s="665"/>
      <c r="X180" s="665"/>
      <c r="Y180" s="665"/>
      <c r="Z180" s="666">
        <v>0</v>
      </c>
      <c r="AA180" s="667"/>
      <c r="AB180" s="667"/>
      <c r="AC180" s="667"/>
      <c r="AD180" s="667"/>
      <c r="AE180" s="667"/>
      <c r="AF180" s="667"/>
      <c r="AG180" s="666">
        <v>0</v>
      </c>
      <c r="AH180" s="667"/>
      <c r="AI180" s="667"/>
      <c r="AJ180" s="667"/>
      <c r="AK180" s="667"/>
      <c r="AL180" s="667"/>
      <c r="AM180" s="668"/>
    </row>
    <row r="181" spans="3:39" hidden="1" x14ac:dyDescent="0.25">
      <c r="C181" s="670" t="s">
        <v>287</v>
      </c>
      <c r="D181" s="654"/>
      <c r="E181" s="654"/>
      <c r="F181" s="654"/>
      <c r="G181" s="654"/>
      <c r="H181" s="654"/>
      <c r="I181" s="654"/>
      <c r="J181" s="654"/>
      <c r="K181" s="654"/>
      <c r="L181" s="654"/>
      <c r="M181" s="654"/>
      <c r="N181" s="654"/>
      <c r="O181" s="654"/>
      <c r="P181" s="654"/>
      <c r="Q181" s="654"/>
      <c r="R181" s="654"/>
      <c r="S181" s="654"/>
      <c r="T181" s="654"/>
      <c r="U181" s="652">
        <v>0</v>
      </c>
      <c r="V181" s="652"/>
      <c r="W181" s="652"/>
      <c r="X181" s="652"/>
      <c r="Y181" s="652"/>
      <c r="Z181" s="653">
        <v>0</v>
      </c>
      <c r="AA181" s="654"/>
      <c r="AB181" s="654"/>
      <c r="AC181" s="654"/>
      <c r="AD181" s="654"/>
      <c r="AE181" s="654"/>
      <c r="AF181" s="654"/>
      <c r="AG181" s="653">
        <v>0</v>
      </c>
      <c r="AH181" s="654"/>
      <c r="AI181" s="654"/>
      <c r="AJ181" s="654"/>
      <c r="AK181" s="654"/>
      <c r="AL181" s="654"/>
      <c r="AM181" s="655"/>
    </row>
    <row r="182" spans="3:39" hidden="1" x14ac:dyDescent="0.25">
      <c r="C182" s="662" t="s">
        <v>257</v>
      </c>
      <c r="D182" s="658"/>
      <c r="E182" s="658"/>
      <c r="F182" s="658"/>
      <c r="G182" s="658"/>
      <c r="H182" s="658"/>
      <c r="I182" s="658"/>
      <c r="J182" s="658"/>
      <c r="K182" s="658"/>
      <c r="L182" s="658"/>
      <c r="M182" s="658"/>
      <c r="N182" s="658"/>
      <c r="O182" s="658"/>
      <c r="P182" s="658"/>
      <c r="Q182" s="658"/>
      <c r="R182" s="658"/>
      <c r="S182" s="658"/>
      <c r="T182" s="658"/>
      <c r="U182" s="658"/>
      <c r="V182" s="658"/>
      <c r="W182" s="658"/>
      <c r="X182" s="658"/>
      <c r="Y182" s="658"/>
      <c r="Z182" s="660"/>
      <c r="AA182" s="660"/>
      <c r="AB182" s="660"/>
      <c r="AC182" s="660"/>
      <c r="AD182" s="660"/>
      <c r="AE182" s="660"/>
      <c r="AF182" s="660"/>
      <c r="AG182" s="659">
        <v>0</v>
      </c>
      <c r="AH182" s="660"/>
      <c r="AI182" s="660"/>
      <c r="AJ182" s="660"/>
      <c r="AK182" s="660"/>
      <c r="AL182" s="660"/>
      <c r="AM182" s="661"/>
    </row>
    <row r="183" spans="3:39" hidden="1" x14ac:dyDescent="0.25">
      <c r="C183" s="663" t="s">
        <v>265</v>
      </c>
      <c r="D183" s="664"/>
      <c r="E183" s="664"/>
      <c r="F183" s="664"/>
      <c r="G183" s="664"/>
      <c r="H183" s="664"/>
      <c r="I183" s="664"/>
      <c r="J183" s="664"/>
      <c r="K183" s="664"/>
      <c r="L183" s="664"/>
      <c r="M183" s="664"/>
      <c r="N183" s="664"/>
      <c r="O183" s="664"/>
      <c r="P183" s="664"/>
      <c r="Q183" s="664"/>
      <c r="R183" s="664"/>
      <c r="S183" s="664"/>
      <c r="T183" s="664"/>
      <c r="U183" s="665">
        <v>1</v>
      </c>
      <c r="V183" s="665"/>
      <c r="W183" s="665"/>
      <c r="X183" s="665"/>
      <c r="Y183" s="665"/>
      <c r="Z183" s="666">
        <v>13509.22</v>
      </c>
      <c r="AA183" s="667"/>
      <c r="AB183" s="667"/>
      <c r="AC183" s="667"/>
      <c r="AD183" s="667"/>
      <c r="AE183" s="667"/>
      <c r="AF183" s="667"/>
      <c r="AG183" s="666">
        <v>13509.22</v>
      </c>
      <c r="AH183" s="667"/>
      <c r="AI183" s="667"/>
      <c r="AJ183" s="667"/>
      <c r="AK183" s="667"/>
      <c r="AL183" s="667"/>
      <c r="AM183" s="668"/>
    </row>
    <row r="184" spans="3:39" ht="15" hidden="1" customHeight="1" x14ac:dyDescent="0.25">
      <c r="C184" s="650" t="s">
        <v>325</v>
      </c>
      <c r="D184" s="651"/>
      <c r="E184" s="651"/>
      <c r="F184" s="651"/>
      <c r="G184" s="651"/>
      <c r="H184" s="651"/>
      <c r="I184" s="651"/>
      <c r="J184" s="651"/>
      <c r="K184" s="651"/>
      <c r="L184" s="651"/>
      <c r="M184" s="651"/>
      <c r="N184" s="651"/>
      <c r="O184" s="651"/>
      <c r="P184" s="651"/>
      <c r="Q184" s="651"/>
      <c r="R184" s="651"/>
      <c r="S184" s="651"/>
      <c r="T184" s="651"/>
      <c r="U184" s="652">
        <v>1</v>
      </c>
      <c r="V184" s="652"/>
      <c r="W184" s="652"/>
      <c r="X184" s="652"/>
      <c r="Y184" s="652"/>
      <c r="Z184" s="653">
        <v>13110.42</v>
      </c>
      <c r="AA184" s="654"/>
      <c r="AB184" s="654"/>
      <c r="AC184" s="654"/>
      <c r="AD184" s="654"/>
      <c r="AE184" s="654"/>
      <c r="AF184" s="654"/>
      <c r="AG184" s="653">
        <v>13110.42</v>
      </c>
      <c r="AH184" s="654"/>
      <c r="AI184" s="654"/>
      <c r="AJ184" s="654"/>
      <c r="AK184" s="654"/>
      <c r="AL184" s="654"/>
      <c r="AM184" s="655"/>
    </row>
    <row r="185" spans="3:39" hidden="1" x14ac:dyDescent="0.25">
      <c r="C185" s="656" t="s">
        <v>236</v>
      </c>
      <c r="D185" s="657"/>
      <c r="E185" s="657"/>
      <c r="F185" s="657"/>
      <c r="G185" s="657"/>
      <c r="H185" s="657"/>
      <c r="I185" s="657"/>
      <c r="J185" s="657"/>
      <c r="K185" s="657"/>
      <c r="L185" s="657"/>
      <c r="M185" s="657"/>
      <c r="N185" s="657"/>
      <c r="O185" s="657"/>
      <c r="P185" s="657"/>
      <c r="Q185" s="657"/>
      <c r="R185" s="657"/>
      <c r="S185" s="657"/>
      <c r="T185" s="657"/>
      <c r="U185" s="658">
        <v>10</v>
      </c>
      <c r="V185" s="658"/>
      <c r="W185" s="658"/>
      <c r="X185" s="658"/>
      <c r="Y185" s="658"/>
      <c r="Z185" s="659">
        <v>1311.04</v>
      </c>
      <c r="AA185" s="660"/>
      <c r="AB185" s="660"/>
      <c r="AC185" s="660"/>
      <c r="AD185" s="660"/>
      <c r="AE185" s="660"/>
      <c r="AF185" s="660"/>
      <c r="AG185" s="659">
        <v>13110.4</v>
      </c>
      <c r="AH185" s="660"/>
      <c r="AI185" s="660"/>
      <c r="AJ185" s="660"/>
      <c r="AK185" s="660"/>
      <c r="AL185" s="660"/>
      <c r="AM185" s="661"/>
    </row>
    <row r="186" spans="3:39" hidden="1" x14ac:dyDescent="0.25"/>
    <row r="187" spans="3:39" hidden="1" x14ac:dyDescent="0.25">
      <c r="C187" s="645" t="s">
        <v>296</v>
      </c>
      <c r="D187" s="646"/>
      <c r="E187" s="646"/>
      <c r="F187" s="646"/>
      <c r="G187" s="646"/>
      <c r="H187" s="646"/>
      <c r="I187" s="646"/>
      <c r="J187" s="646"/>
      <c r="K187" s="646"/>
      <c r="L187" s="646"/>
      <c r="M187" s="646"/>
      <c r="N187" s="646"/>
      <c r="O187" s="646"/>
      <c r="P187" s="646"/>
      <c r="Q187" s="646"/>
      <c r="R187" s="646"/>
      <c r="S187" s="646"/>
      <c r="T187" s="646"/>
      <c r="U187" s="647">
        <v>8890.2000000000007</v>
      </c>
      <c r="V187" s="648"/>
      <c r="W187" s="648"/>
      <c r="X187" s="648"/>
      <c r="Y187" s="649"/>
    </row>
    <row r="188" spans="3:39" hidden="1" x14ac:dyDescent="0.25"/>
    <row r="189" spans="3:39" hidden="1" x14ac:dyDescent="0.25"/>
    <row r="190" spans="3:39" hidden="1" x14ac:dyDescent="0.25"/>
    <row r="191" spans="3:39" hidden="1" x14ac:dyDescent="0.25"/>
    <row r="192" spans="3:39" hidden="1" x14ac:dyDescent="0.25"/>
    <row r="193" spans="1:39" hidden="1" x14ac:dyDescent="0.25"/>
    <row r="194" spans="1:39" hidden="1" x14ac:dyDescent="0.25"/>
    <row r="195" spans="1:39" hidden="1" x14ac:dyDescent="0.25"/>
    <row r="196" spans="1:39" hidden="1" x14ac:dyDescent="0.25"/>
    <row r="197" spans="1:39" hidden="1" x14ac:dyDescent="0.25"/>
    <row r="198" spans="1:39" hidden="1" x14ac:dyDescent="0.25"/>
    <row r="199" spans="1:39" hidden="1" x14ac:dyDescent="0.25"/>
    <row r="200" spans="1:39" hidden="1" x14ac:dyDescent="0.25"/>
    <row r="201" spans="1:39" hidden="1" x14ac:dyDescent="0.25"/>
    <row r="202" spans="1:39" hidden="1" x14ac:dyDescent="0.25"/>
    <row r="203" spans="1:39" hidden="1" x14ac:dyDescent="0.25"/>
    <row r="204" spans="1:39" hidden="1" x14ac:dyDescent="0.25"/>
    <row r="205" spans="1:39" hidden="1" x14ac:dyDescent="0.25"/>
    <row r="206" spans="1:39" hidden="1" x14ac:dyDescent="0.25"/>
    <row r="207" spans="1:39" hidden="1" x14ac:dyDescent="0.25">
      <c r="A207" s="428" t="s">
        <v>324</v>
      </c>
    </row>
    <row r="208" spans="1:39" hidden="1" x14ac:dyDescent="0.25">
      <c r="C208" s="684" t="s">
        <v>258</v>
      </c>
      <c r="D208" s="685"/>
      <c r="E208" s="685"/>
      <c r="F208" s="685"/>
      <c r="G208" s="685"/>
      <c r="H208" s="685"/>
      <c r="I208" s="685"/>
      <c r="J208" s="685"/>
      <c r="K208" s="685"/>
      <c r="L208" s="685"/>
      <c r="M208" s="685"/>
      <c r="N208" s="685"/>
      <c r="O208" s="685"/>
      <c r="P208" s="685"/>
      <c r="Q208" s="685"/>
      <c r="R208" s="685"/>
      <c r="S208" s="685"/>
      <c r="T208" s="685"/>
      <c r="U208" s="685"/>
      <c r="V208" s="685"/>
      <c r="W208" s="685"/>
      <c r="X208" s="685"/>
      <c r="Y208" s="685"/>
      <c r="Z208" s="685" t="s">
        <v>458</v>
      </c>
      <c r="AA208" s="685"/>
      <c r="AB208" s="685"/>
      <c r="AC208" s="685"/>
      <c r="AD208" s="685"/>
      <c r="AE208" s="685"/>
      <c r="AF208" s="685"/>
      <c r="AG208" s="685"/>
      <c r="AH208" s="685"/>
      <c r="AI208" s="685"/>
      <c r="AJ208" s="685"/>
      <c r="AK208" s="685"/>
      <c r="AL208" s="685"/>
      <c r="AM208" s="686"/>
    </row>
    <row r="209" spans="3:39" hidden="1" x14ac:dyDescent="0.25">
      <c r="C209" s="687" t="s">
        <v>259</v>
      </c>
      <c r="D209" s="688"/>
      <c r="E209" s="688"/>
      <c r="F209" s="688"/>
      <c r="G209" s="688"/>
      <c r="H209" s="688"/>
      <c r="I209" s="688"/>
      <c r="J209" s="688"/>
      <c r="K209" s="688"/>
      <c r="L209" s="688"/>
      <c r="M209" s="688"/>
      <c r="N209" s="688"/>
      <c r="O209" s="688"/>
      <c r="P209" s="688"/>
      <c r="Q209" s="688"/>
      <c r="R209" s="688"/>
      <c r="S209" s="688"/>
      <c r="T209" s="688"/>
      <c r="U209" s="688" t="s">
        <v>260</v>
      </c>
      <c r="V209" s="688"/>
      <c r="W209" s="688"/>
      <c r="X209" s="688"/>
      <c r="Y209" s="688"/>
      <c r="Z209" s="688" t="s">
        <v>236</v>
      </c>
      <c r="AA209" s="688"/>
      <c r="AB209" s="688"/>
      <c r="AC209" s="688"/>
      <c r="AD209" s="688"/>
      <c r="AE209" s="688"/>
      <c r="AF209" s="688"/>
      <c r="AG209" s="688" t="s">
        <v>257</v>
      </c>
      <c r="AH209" s="688"/>
      <c r="AI209" s="688"/>
      <c r="AJ209" s="688"/>
      <c r="AK209" s="688"/>
      <c r="AL209" s="688"/>
      <c r="AM209" s="689"/>
    </row>
    <row r="210" spans="3:39" hidden="1" x14ac:dyDescent="0.25">
      <c r="C210" s="669" t="s">
        <v>262</v>
      </c>
      <c r="D210" s="667"/>
      <c r="E210" s="667"/>
      <c r="F210" s="667"/>
      <c r="G210" s="667"/>
      <c r="H210" s="667"/>
      <c r="I210" s="667"/>
      <c r="J210" s="667"/>
      <c r="K210" s="667"/>
      <c r="L210" s="667"/>
      <c r="M210" s="667"/>
      <c r="N210" s="667"/>
      <c r="O210" s="667"/>
      <c r="P210" s="667"/>
      <c r="Q210" s="667"/>
      <c r="R210" s="667"/>
      <c r="S210" s="667"/>
      <c r="T210" s="667"/>
      <c r="U210" s="665">
        <v>25</v>
      </c>
      <c r="V210" s="665"/>
      <c r="W210" s="665"/>
      <c r="X210" s="665"/>
      <c r="Y210" s="665"/>
      <c r="Z210" s="666">
        <v>227.13</v>
      </c>
      <c r="AA210" s="667"/>
      <c r="AB210" s="667"/>
      <c r="AC210" s="667"/>
      <c r="AD210" s="667"/>
      <c r="AE210" s="667"/>
      <c r="AF210" s="667"/>
      <c r="AG210" s="666">
        <v>5678.31</v>
      </c>
      <c r="AH210" s="667"/>
      <c r="AI210" s="667"/>
      <c r="AJ210" s="667"/>
      <c r="AK210" s="667"/>
      <c r="AL210" s="667"/>
      <c r="AM210" s="668"/>
    </row>
    <row r="211" spans="3:39" hidden="1" x14ac:dyDescent="0.25">
      <c r="C211" s="683" t="s">
        <v>5</v>
      </c>
      <c r="D211" s="675"/>
      <c r="E211" s="675"/>
      <c r="F211" s="675"/>
      <c r="G211" s="675"/>
      <c r="H211" s="675"/>
      <c r="I211" s="675"/>
      <c r="J211" s="675"/>
      <c r="K211" s="675"/>
      <c r="L211" s="675"/>
      <c r="M211" s="675"/>
      <c r="N211" s="675"/>
      <c r="O211" s="675"/>
      <c r="P211" s="675"/>
      <c r="Q211" s="675"/>
      <c r="R211" s="675"/>
      <c r="S211" s="675"/>
      <c r="T211" s="675"/>
      <c r="U211" s="673" t="s">
        <v>459</v>
      </c>
      <c r="V211" s="673"/>
      <c r="W211" s="673"/>
      <c r="X211" s="673"/>
      <c r="Y211" s="673"/>
      <c r="Z211" s="674">
        <v>398.8</v>
      </c>
      <c r="AA211" s="675"/>
      <c r="AB211" s="675"/>
      <c r="AC211" s="675"/>
      <c r="AD211" s="675"/>
      <c r="AE211" s="675"/>
      <c r="AF211" s="675"/>
      <c r="AG211" s="674">
        <v>398.8</v>
      </c>
      <c r="AH211" s="675"/>
      <c r="AI211" s="675"/>
      <c r="AJ211" s="675"/>
      <c r="AK211" s="675"/>
      <c r="AL211" s="675"/>
      <c r="AM211" s="676"/>
    </row>
    <row r="212" spans="3:39" hidden="1" x14ac:dyDescent="0.25">
      <c r="C212" s="683" t="s">
        <v>252</v>
      </c>
      <c r="D212" s="675"/>
      <c r="E212" s="675"/>
      <c r="F212" s="675"/>
      <c r="G212" s="675"/>
      <c r="H212" s="675"/>
      <c r="I212" s="675"/>
      <c r="J212" s="675"/>
      <c r="K212" s="675"/>
      <c r="L212" s="675"/>
      <c r="M212" s="675"/>
      <c r="N212" s="675"/>
      <c r="O212" s="675"/>
      <c r="P212" s="675"/>
      <c r="Q212" s="675"/>
      <c r="R212" s="675"/>
      <c r="S212" s="675"/>
      <c r="T212" s="675"/>
      <c r="U212" s="673">
        <v>0</v>
      </c>
      <c r="V212" s="673"/>
      <c r="W212" s="673"/>
      <c r="X212" s="673"/>
      <c r="Y212" s="673"/>
      <c r="Z212" s="674">
        <v>0</v>
      </c>
      <c r="AA212" s="675"/>
      <c r="AB212" s="675"/>
      <c r="AC212" s="675"/>
      <c r="AD212" s="675"/>
      <c r="AE212" s="675"/>
      <c r="AF212" s="675"/>
      <c r="AG212" s="674">
        <v>0</v>
      </c>
      <c r="AH212" s="675"/>
      <c r="AI212" s="675"/>
      <c r="AJ212" s="675"/>
      <c r="AK212" s="675"/>
      <c r="AL212" s="675"/>
      <c r="AM212" s="676"/>
    </row>
    <row r="213" spans="3:39" hidden="1" x14ac:dyDescent="0.25">
      <c r="C213" s="671" t="s">
        <v>265</v>
      </c>
      <c r="D213" s="672"/>
      <c r="E213" s="672"/>
      <c r="F213" s="672"/>
      <c r="G213" s="672"/>
      <c r="H213" s="672"/>
      <c r="I213" s="672"/>
      <c r="J213" s="672"/>
      <c r="K213" s="672"/>
      <c r="L213" s="672"/>
      <c r="M213" s="672"/>
      <c r="N213" s="672"/>
      <c r="O213" s="672"/>
      <c r="P213" s="672"/>
      <c r="Q213" s="672"/>
      <c r="R213" s="672"/>
      <c r="S213" s="672"/>
      <c r="T213" s="672"/>
      <c r="U213" s="673">
        <v>25</v>
      </c>
      <c r="V213" s="673"/>
      <c r="W213" s="673"/>
      <c r="X213" s="673"/>
      <c r="Y213" s="673"/>
      <c r="Z213" s="674">
        <v>243.08</v>
      </c>
      <c r="AA213" s="675"/>
      <c r="AB213" s="675"/>
      <c r="AC213" s="675"/>
      <c r="AD213" s="675"/>
      <c r="AE213" s="675"/>
      <c r="AF213" s="675"/>
      <c r="AG213" s="674">
        <v>6077.11</v>
      </c>
      <c r="AH213" s="675"/>
      <c r="AI213" s="675"/>
      <c r="AJ213" s="675"/>
      <c r="AK213" s="675"/>
      <c r="AL213" s="675"/>
      <c r="AM213" s="676"/>
    </row>
    <row r="214" spans="3:39" hidden="1" x14ac:dyDescent="0.25">
      <c r="C214" s="671" t="s">
        <v>267</v>
      </c>
      <c r="D214" s="672"/>
      <c r="E214" s="672"/>
      <c r="F214" s="672"/>
      <c r="G214" s="672"/>
      <c r="H214" s="672"/>
      <c r="I214" s="672"/>
      <c r="J214" s="672"/>
      <c r="K214" s="672"/>
      <c r="L214" s="672"/>
      <c r="M214" s="672"/>
      <c r="N214" s="672"/>
      <c r="O214" s="672"/>
      <c r="P214" s="672"/>
      <c r="Q214" s="672"/>
      <c r="R214" s="672"/>
      <c r="S214" s="672"/>
      <c r="T214" s="672"/>
      <c r="U214" s="673">
        <v>25</v>
      </c>
      <c r="V214" s="673"/>
      <c r="W214" s="673"/>
      <c r="X214" s="673"/>
      <c r="Y214" s="673"/>
      <c r="Z214" s="674">
        <v>227.13</v>
      </c>
      <c r="AA214" s="675"/>
      <c r="AB214" s="675"/>
      <c r="AC214" s="675"/>
      <c r="AD214" s="675"/>
      <c r="AE214" s="675"/>
      <c r="AF214" s="675"/>
      <c r="AG214" s="674">
        <v>5678.31</v>
      </c>
      <c r="AH214" s="675"/>
      <c r="AI214" s="675"/>
      <c r="AJ214" s="675"/>
      <c r="AK214" s="675"/>
      <c r="AL214" s="675"/>
      <c r="AM214" s="676"/>
    </row>
    <row r="215" spans="3:39" hidden="1" x14ac:dyDescent="0.25">
      <c r="C215" s="677"/>
      <c r="D215" s="678"/>
      <c r="E215" s="678"/>
      <c r="F215" s="678"/>
      <c r="G215" s="678"/>
      <c r="H215" s="678"/>
      <c r="I215" s="678"/>
      <c r="J215" s="678"/>
      <c r="K215" s="678"/>
      <c r="L215" s="678"/>
      <c r="M215" s="678"/>
      <c r="N215" s="678"/>
      <c r="O215" s="678"/>
      <c r="P215" s="678"/>
      <c r="Q215" s="678"/>
      <c r="R215" s="678"/>
      <c r="S215" s="678"/>
      <c r="T215" s="678"/>
      <c r="U215" s="678"/>
      <c r="V215" s="678"/>
      <c r="W215" s="678"/>
      <c r="X215" s="678"/>
      <c r="Y215" s="678"/>
      <c r="Z215" s="678"/>
      <c r="AA215" s="678"/>
      <c r="AB215" s="678"/>
      <c r="AC215" s="678"/>
      <c r="AD215" s="678"/>
      <c r="AE215" s="678"/>
      <c r="AF215" s="678"/>
      <c r="AG215" s="678"/>
      <c r="AH215" s="678"/>
      <c r="AI215" s="678"/>
      <c r="AJ215" s="678"/>
      <c r="AK215" s="678"/>
      <c r="AL215" s="678"/>
      <c r="AM215" s="679"/>
    </row>
    <row r="216" spans="3:39" hidden="1" x14ac:dyDescent="0.25">
      <c r="C216" s="680" t="s">
        <v>269</v>
      </c>
      <c r="D216" s="681"/>
      <c r="E216" s="681"/>
      <c r="F216" s="681"/>
      <c r="G216" s="681"/>
      <c r="H216" s="681"/>
      <c r="I216" s="681"/>
      <c r="J216" s="681"/>
      <c r="K216" s="681"/>
      <c r="L216" s="681"/>
      <c r="M216" s="681"/>
      <c r="N216" s="681"/>
      <c r="O216" s="681"/>
      <c r="P216" s="681"/>
      <c r="Q216" s="681"/>
      <c r="R216" s="681"/>
      <c r="S216" s="681"/>
      <c r="T216" s="681"/>
      <c r="U216" s="681" t="s">
        <v>260</v>
      </c>
      <c r="V216" s="681"/>
      <c r="W216" s="681"/>
      <c r="X216" s="681"/>
      <c r="Y216" s="681"/>
      <c r="Z216" s="681" t="s">
        <v>236</v>
      </c>
      <c r="AA216" s="681"/>
      <c r="AB216" s="681"/>
      <c r="AC216" s="681"/>
      <c r="AD216" s="681"/>
      <c r="AE216" s="681"/>
      <c r="AF216" s="681"/>
      <c r="AG216" s="681" t="s">
        <v>257</v>
      </c>
      <c r="AH216" s="681"/>
      <c r="AI216" s="681"/>
      <c r="AJ216" s="681"/>
      <c r="AK216" s="681"/>
      <c r="AL216" s="681"/>
      <c r="AM216" s="682"/>
    </row>
    <row r="217" spans="3:39" hidden="1" x14ac:dyDescent="0.25">
      <c r="C217" s="669" t="s">
        <v>278</v>
      </c>
      <c r="D217" s="667"/>
      <c r="E217" s="667"/>
      <c r="F217" s="667"/>
      <c r="G217" s="667"/>
      <c r="H217" s="667"/>
      <c r="I217" s="667"/>
      <c r="J217" s="667"/>
      <c r="K217" s="667"/>
      <c r="L217" s="667"/>
      <c r="M217" s="667"/>
      <c r="N217" s="667"/>
      <c r="O217" s="667"/>
      <c r="P217" s="667"/>
      <c r="Q217" s="667"/>
      <c r="R217" s="667"/>
      <c r="S217" s="667"/>
      <c r="T217" s="667"/>
      <c r="U217" s="665">
        <v>25</v>
      </c>
      <c r="V217" s="665"/>
      <c r="W217" s="665"/>
      <c r="X217" s="665"/>
      <c r="Y217" s="665"/>
      <c r="Z217" s="666">
        <v>208</v>
      </c>
      <c r="AA217" s="667"/>
      <c r="AB217" s="667"/>
      <c r="AC217" s="667"/>
      <c r="AD217" s="667"/>
      <c r="AE217" s="667"/>
      <c r="AF217" s="667"/>
      <c r="AG217" s="666">
        <v>5200</v>
      </c>
      <c r="AH217" s="667"/>
      <c r="AI217" s="667"/>
      <c r="AJ217" s="667"/>
      <c r="AK217" s="667"/>
      <c r="AL217" s="667"/>
      <c r="AM217" s="668"/>
    </row>
    <row r="218" spans="3:39" hidden="1" x14ac:dyDescent="0.25">
      <c r="C218" s="683" t="s">
        <v>272</v>
      </c>
      <c r="D218" s="675"/>
      <c r="E218" s="675"/>
      <c r="F218" s="675"/>
      <c r="G218" s="675"/>
      <c r="H218" s="675"/>
      <c r="I218" s="675"/>
      <c r="J218" s="675"/>
      <c r="K218" s="675"/>
      <c r="L218" s="675"/>
      <c r="M218" s="675"/>
      <c r="N218" s="675"/>
      <c r="O218" s="675"/>
      <c r="P218" s="675"/>
      <c r="Q218" s="675"/>
      <c r="R218" s="675"/>
      <c r="S218" s="675"/>
      <c r="T218" s="675"/>
      <c r="U218" s="673">
        <v>1</v>
      </c>
      <c r="V218" s="673"/>
      <c r="W218" s="673"/>
      <c r="X218" s="673"/>
      <c r="Y218" s="673"/>
      <c r="Z218" s="674">
        <v>0</v>
      </c>
      <c r="AA218" s="675"/>
      <c r="AB218" s="675"/>
      <c r="AC218" s="675"/>
      <c r="AD218" s="675"/>
      <c r="AE218" s="675"/>
      <c r="AF218" s="675"/>
      <c r="AG218" s="674">
        <v>0</v>
      </c>
      <c r="AH218" s="675"/>
      <c r="AI218" s="675"/>
      <c r="AJ218" s="675"/>
      <c r="AK218" s="675"/>
      <c r="AL218" s="675"/>
      <c r="AM218" s="676"/>
    </row>
    <row r="219" spans="3:39" hidden="1" x14ac:dyDescent="0.25">
      <c r="C219" s="683" t="s">
        <v>318</v>
      </c>
      <c r="D219" s="675"/>
      <c r="E219" s="675"/>
      <c r="F219" s="675"/>
      <c r="G219" s="675"/>
      <c r="H219" s="675"/>
      <c r="I219" s="675"/>
      <c r="J219" s="675"/>
      <c r="K219" s="675"/>
      <c r="L219" s="675"/>
      <c r="M219" s="675"/>
      <c r="N219" s="675"/>
      <c r="O219" s="675"/>
      <c r="P219" s="675"/>
      <c r="Q219" s="675"/>
      <c r="R219" s="675"/>
      <c r="S219" s="675"/>
      <c r="T219" s="675"/>
      <c r="U219" s="673">
        <v>1</v>
      </c>
      <c r="V219" s="673"/>
      <c r="W219" s="673"/>
      <c r="X219" s="673"/>
      <c r="Y219" s="673"/>
      <c r="Z219" s="674">
        <v>100</v>
      </c>
      <c r="AA219" s="675"/>
      <c r="AB219" s="675"/>
      <c r="AC219" s="675"/>
      <c r="AD219" s="675"/>
      <c r="AE219" s="675"/>
      <c r="AF219" s="675"/>
      <c r="AG219" s="674">
        <v>100</v>
      </c>
      <c r="AH219" s="675"/>
      <c r="AI219" s="675"/>
      <c r="AJ219" s="675"/>
      <c r="AK219" s="675"/>
      <c r="AL219" s="675"/>
      <c r="AM219" s="676"/>
    </row>
    <row r="220" spans="3:39" hidden="1" x14ac:dyDescent="0.25">
      <c r="C220" s="671" t="s">
        <v>265</v>
      </c>
      <c r="D220" s="672"/>
      <c r="E220" s="672"/>
      <c r="F220" s="672"/>
      <c r="G220" s="672"/>
      <c r="H220" s="672"/>
      <c r="I220" s="672"/>
      <c r="J220" s="672"/>
      <c r="K220" s="672"/>
      <c r="L220" s="672"/>
      <c r="M220" s="672"/>
      <c r="N220" s="672"/>
      <c r="O220" s="672"/>
      <c r="P220" s="672"/>
      <c r="Q220" s="672"/>
      <c r="R220" s="672"/>
      <c r="S220" s="672"/>
      <c r="T220" s="672"/>
      <c r="U220" s="673">
        <v>25</v>
      </c>
      <c r="V220" s="673"/>
      <c r="W220" s="673"/>
      <c r="X220" s="673"/>
      <c r="Y220" s="673"/>
      <c r="Z220" s="674">
        <v>212</v>
      </c>
      <c r="AA220" s="675"/>
      <c r="AB220" s="675"/>
      <c r="AC220" s="675"/>
      <c r="AD220" s="675"/>
      <c r="AE220" s="675"/>
      <c r="AF220" s="675"/>
      <c r="AG220" s="674">
        <v>5300</v>
      </c>
      <c r="AH220" s="675"/>
      <c r="AI220" s="675"/>
      <c r="AJ220" s="675"/>
      <c r="AK220" s="675"/>
      <c r="AL220" s="675"/>
      <c r="AM220" s="676"/>
    </row>
    <row r="221" spans="3:39" hidden="1" x14ac:dyDescent="0.25">
      <c r="C221" s="683" t="s">
        <v>267</v>
      </c>
      <c r="D221" s="675"/>
      <c r="E221" s="675"/>
      <c r="F221" s="675"/>
      <c r="G221" s="675"/>
      <c r="H221" s="675"/>
      <c r="I221" s="675"/>
      <c r="J221" s="675"/>
      <c r="K221" s="675"/>
      <c r="L221" s="675"/>
      <c r="M221" s="675"/>
      <c r="N221" s="675"/>
      <c r="O221" s="675"/>
      <c r="P221" s="675"/>
      <c r="Q221" s="675"/>
      <c r="R221" s="675"/>
      <c r="S221" s="675"/>
      <c r="T221" s="675"/>
      <c r="U221" s="673">
        <v>25</v>
      </c>
      <c r="V221" s="673"/>
      <c r="W221" s="673"/>
      <c r="X221" s="673"/>
      <c r="Y221" s="673"/>
      <c r="Z221" s="674">
        <v>212</v>
      </c>
      <c r="AA221" s="675"/>
      <c r="AB221" s="675"/>
      <c r="AC221" s="675"/>
      <c r="AD221" s="675"/>
      <c r="AE221" s="675"/>
      <c r="AF221" s="675"/>
      <c r="AG221" s="674">
        <v>5300</v>
      </c>
      <c r="AH221" s="675"/>
      <c r="AI221" s="675"/>
      <c r="AJ221" s="675"/>
      <c r="AK221" s="675"/>
      <c r="AL221" s="675"/>
      <c r="AM221" s="676"/>
    </row>
    <row r="222" spans="3:39" hidden="1" x14ac:dyDescent="0.25">
      <c r="C222" s="677"/>
      <c r="D222" s="678"/>
      <c r="E222" s="678"/>
      <c r="F222" s="678"/>
      <c r="G222" s="678"/>
      <c r="H222" s="678"/>
      <c r="I222" s="678"/>
      <c r="J222" s="678"/>
      <c r="K222" s="678"/>
      <c r="L222" s="678"/>
      <c r="M222" s="678"/>
      <c r="N222" s="678"/>
      <c r="O222" s="678"/>
      <c r="P222" s="678"/>
      <c r="Q222" s="678"/>
      <c r="R222" s="678"/>
      <c r="S222" s="678"/>
      <c r="T222" s="678"/>
      <c r="U222" s="678"/>
      <c r="V222" s="678"/>
      <c r="W222" s="678"/>
      <c r="X222" s="678"/>
      <c r="Y222" s="678"/>
      <c r="Z222" s="678"/>
      <c r="AA222" s="678"/>
      <c r="AB222" s="678"/>
      <c r="AC222" s="678"/>
      <c r="AD222" s="678"/>
      <c r="AE222" s="678"/>
      <c r="AF222" s="678"/>
      <c r="AG222" s="678"/>
      <c r="AH222" s="678"/>
      <c r="AI222" s="678"/>
      <c r="AJ222" s="678"/>
      <c r="AK222" s="678"/>
      <c r="AL222" s="678"/>
      <c r="AM222" s="679"/>
    </row>
    <row r="223" spans="3:39" hidden="1" x14ac:dyDescent="0.25">
      <c r="C223" s="680" t="s">
        <v>281</v>
      </c>
      <c r="D223" s="681"/>
      <c r="E223" s="681"/>
      <c r="F223" s="681"/>
      <c r="G223" s="681"/>
      <c r="H223" s="681"/>
      <c r="I223" s="681"/>
      <c r="J223" s="681"/>
      <c r="K223" s="681"/>
      <c r="L223" s="681"/>
      <c r="M223" s="681"/>
      <c r="N223" s="681"/>
      <c r="O223" s="681"/>
      <c r="P223" s="681"/>
      <c r="Q223" s="681"/>
      <c r="R223" s="681"/>
      <c r="S223" s="681"/>
      <c r="T223" s="681"/>
      <c r="U223" s="681" t="s">
        <v>260</v>
      </c>
      <c r="V223" s="681"/>
      <c r="W223" s="681"/>
      <c r="X223" s="681"/>
      <c r="Y223" s="681"/>
      <c r="Z223" s="681" t="s">
        <v>236</v>
      </c>
      <c r="AA223" s="681"/>
      <c r="AB223" s="681"/>
      <c r="AC223" s="681"/>
      <c r="AD223" s="681"/>
      <c r="AE223" s="681"/>
      <c r="AF223" s="681"/>
      <c r="AG223" s="681" t="s">
        <v>257</v>
      </c>
      <c r="AH223" s="681"/>
      <c r="AI223" s="681"/>
      <c r="AJ223" s="681"/>
      <c r="AK223" s="681"/>
      <c r="AL223" s="681"/>
      <c r="AM223" s="682"/>
    </row>
    <row r="224" spans="3:39" hidden="1" x14ac:dyDescent="0.25">
      <c r="C224" s="669" t="s">
        <v>281</v>
      </c>
      <c r="D224" s="667"/>
      <c r="E224" s="667"/>
      <c r="F224" s="667"/>
      <c r="G224" s="667"/>
      <c r="H224" s="667"/>
      <c r="I224" s="667"/>
      <c r="J224" s="667"/>
      <c r="K224" s="667"/>
      <c r="L224" s="667"/>
      <c r="M224" s="667"/>
      <c r="N224" s="667"/>
      <c r="O224" s="667"/>
      <c r="P224" s="667"/>
      <c r="Q224" s="667"/>
      <c r="R224" s="667"/>
      <c r="S224" s="667"/>
      <c r="T224" s="667"/>
      <c r="U224" s="665">
        <v>1</v>
      </c>
      <c r="V224" s="665"/>
      <c r="W224" s="665"/>
      <c r="X224" s="665"/>
      <c r="Y224" s="665"/>
      <c r="Z224" s="666">
        <v>9353.41</v>
      </c>
      <c r="AA224" s="667"/>
      <c r="AB224" s="667"/>
      <c r="AC224" s="667"/>
      <c r="AD224" s="667"/>
      <c r="AE224" s="667"/>
      <c r="AF224" s="667"/>
      <c r="AG224" s="666">
        <v>9353.41</v>
      </c>
      <c r="AH224" s="667"/>
      <c r="AI224" s="667"/>
      <c r="AJ224" s="667"/>
      <c r="AK224" s="667"/>
      <c r="AL224" s="667"/>
      <c r="AM224" s="668"/>
    </row>
    <row r="225" spans="3:39" hidden="1" x14ac:dyDescent="0.25">
      <c r="C225" s="683" t="s">
        <v>319</v>
      </c>
      <c r="D225" s="675"/>
      <c r="E225" s="675"/>
      <c r="F225" s="675"/>
      <c r="G225" s="675"/>
      <c r="H225" s="675"/>
      <c r="I225" s="675"/>
      <c r="J225" s="675"/>
      <c r="K225" s="675"/>
      <c r="L225" s="675"/>
      <c r="M225" s="675"/>
      <c r="N225" s="675"/>
      <c r="O225" s="675"/>
      <c r="P225" s="675"/>
      <c r="Q225" s="675"/>
      <c r="R225" s="675"/>
      <c r="S225" s="675"/>
      <c r="T225" s="675"/>
      <c r="U225" s="673">
        <v>1</v>
      </c>
      <c r="V225" s="673"/>
      <c r="W225" s="673"/>
      <c r="X225" s="673"/>
      <c r="Y225" s="673"/>
      <c r="Z225" s="674">
        <v>514</v>
      </c>
      <c r="AA225" s="675"/>
      <c r="AB225" s="675"/>
      <c r="AC225" s="675"/>
      <c r="AD225" s="675"/>
      <c r="AE225" s="675"/>
      <c r="AF225" s="675"/>
      <c r="AG225" s="674">
        <v>514</v>
      </c>
      <c r="AH225" s="675"/>
      <c r="AI225" s="675"/>
      <c r="AJ225" s="675"/>
      <c r="AK225" s="675"/>
      <c r="AL225" s="675"/>
      <c r="AM225" s="676"/>
    </row>
    <row r="226" spans="3:39" hidden="1" x14ac:dyDescent="0.25">
      <c r="C226" s="671" t="s">
        <v>257</v>
      </c>
      <c r="D226" s="672"/>
      <c r="E226" s="672"/>
      <c r="F226" s="672"/>
      <c r="G226" s="672"/>
      <c r="H226" s="672"/>
      <c r="I226" s="672"/>
      <c r="J226" s="672"/>
      <c r="K226" s="672"/>
      <c r="L226" s="672"/>
      <c r="M226" s="672"/>
      <c r="N226" s="672"/>
      <c r="O226" s="672"/>
      <c r="P226" s="672"/>
      <c r="Q226" s="672"/>
      <c r="R226" s="672"/>
      <c r="S226" s="672"/>
      <c r="T226" s="672"/>
      <c r="U226" s="673">
        <v>25</v>
      </c>
      <c r="V226" s="673"/>
      <c r="W226" s="673"/>
      <c r="X226" s="673"/>
      <c r="Y226" s="673"/>
      <c r="Z226" s="674">
        <v>394.7</v>
      </c>
      <c r="AA226" s="675"/>
      <c r="AB226" s="675"/>
      <c r="AC226" s="675"/>
      <c r="AD226" s="675"/>
      <c r="AE226" s="675"/>
      <c r="AF226" s="675"/>
      <c r="AG226" s="674">
        <v>9867.41</v>
      </c>
      <c r="AH226" s="675"/>
      <c r="AI226" s="675"/>
      <c r="AJ226" s="675"/>
      <c r="AK226" s="675"/>
      <c r="AL226" s="675"/>
      <c r="AM226" s="676"/>
    </row>
    <row r="227" spans="3:39" hidden="1" x14ac:dyDescent="0.25">
      <c r="C227" s="677"/>
      <c r="D227" s="678"/>
      <c r="E227" s="678"/>
      <c r="F227" s="678"/>
      <c r="G227" s="678"/>
      <c r="H227" s="678"/>
      <c r="I227" s="678"/>
      <c r="J227" s="678"/>
      <c r="K227" s="678"/>
      <c r="L227" s="678"/>
      <c r="M227" s="678"/>
      <c r="N227" s="678"/>
      <c r="O227" s="678"/>
      <c r="P227" s="678"/>
      <c r="Q227" s="678"/>
      <c r="R227" s="678"/>
      <c r="S227" s="678"/>
      <c r="T227" s="678"/>
      <c r="U227" s="678"/>
      <c r="V227" s="678"/>
      <c r="W227" s="678"/>
      <c r="X227" s="678"/>
      <c r="Y227" s="678"/>
      <c r="Z227" s="678"/>
      <c r="AA227" s="678"/>
      <c r="AB227" s="678"/>
      <c r="AC227" s="678"/>
      <c r="AD227" s="678"/>
      <c r="AE227" s="678"/>
      <c r="AF227" s="678"/>
      <c r="AG227" s="678"/>
      <c r="AH227" s="678"/>
      <c r="AI227" s="678"/>
      <c r="AJ227" s="678"/>
      <c r="AK227" s="678"/>
      <c r="AL227" s="678"/>
      <c r="AM227" s="679"/>
    </row>
    <row r="228" spans="3:39" hidden="1" x14ac:dyDescent="0.25">
      <c r="C228" s="680" t="s">
        <v>320</v>
      </c>
      <c r="D228" s="681"/>
      <c r="E228" s="681"/>
      <c r="F228" s="681"/>
      <c r="G228" s="681"/>
      <c r="H228" s="681"/>
      <c r="I228" s="681"/>
      <c r="J228" s="681"/>
      <c r="K228" s="681"/>
      <c r="L228" s="681"/>
      <c r="M228" s="681"/>
      <c r="N228" s="681"/>
      <c r="O228" s="681"/>
      <c r="P228" s="681"/>
      <c r="Q228" s="681"/>
      <c r="R228" s="681"/>
      <c r="S228" s="681"/>
      <c r="T228" s="681"/>
      <c r="U228" s="681" t="s">
        <v>260</v>
      </c>
      <c r="V228" s="681"/>
      <c r="W228" s="681"/>
      <c r="X228" s="681"/>
      <c r="Y228" s="681"/>
      <c r="Z228" s="681" t="s">
        <v>236</v>
      </c>
      <c r="AA228" s="681"/>
      <c r="AB228" s="681"/>
      <c r="AC228" s="681"/>
      <c r="AD228" s="681"/>
      <c r="AE228" s="681"/>
      <c r="AF228" s="681"/>
      <c r="AG228" s="681" t="s">
        <v>257</v>
      </c>
      <c r="AH228" s="681"/>
      <c r="AI228" s="681"/>
      <c r="AJ228" s="681"/>
      <c r="AK228" s="681"/>
      <c r="AL228" s="681"/>
      <c r="AM228" s="682"/>
    </row>
    <row r="229" spans="3:39" hidden="1" x14ac:dyDescent="0.25">
      <c r="C229" s="669" t="s">
        <v>288</v>
      </c>
      <c r="D229" s="667"/>
      <c r="E229" s="667"/>
      <c r="F229" s="667"/>
      <c r="G229" s="667"/>
      <c r="H229" s="667"/>
      <c r="I229" s="667"/>
      <c r="J229" s="667"/>
      <c r="K229" s="667"/>
      <c r="L229" s="667"/>
      <c r="M229" s="667"/>
      <c r="N229" s="667"/>
      <c r="O229" s="667"/>
      <c r="P229" s="667"/>
      <c r="Q229" s="667"/>
      <c r="R229" s="667"/>
      <c r="S229" s="667"/>
      <c r="T229" s="667"/>
      <c r="U229" s="665">
        <v>25</v>
      </c>
      <c r="V229" s="665"/>
      <c r="W229" s="665"/>
      <c r="X229" s="665"/>
      <c r="Y229" s="665"/>
      <c r="Z229" s="666">
        <v>0</v>
      </c>
      <c r="AA229" s="667"/>
      <c r="AB229" s="667"/>
      <c r="AC229" s="667"/>
      <c r="AD229" s="667"/>
      <c r="AE229" s="667"/>
      <c r="AF229" s="667"/>
      <c r="AG229" s="666">
        <v>0</v>
      </c>
      <c r="AH229" s="667"/>
      <c r="AI229" s="667"/>
      <c r="AJ229" s="667"/>
      <c r="AK229" s="667"/>
      <c r="AL229" s="667"/>
      <c r="AM229" s="668"/>
    </row>
    <row r="230" spans="3:39" hidden="1" x14ac:dyDescent="0.25">
      <c r="C230" s="670" t="s">
        <v>287</v>
      </c>
      <c r="D230" s="654"/>
      <c r="E230" s="654"/>
      <c r="F230" s="654"/>
      <c r="G230" s="654"/>
      <c r="H230" s="654"/>
      <c r="I230" s="654"/>
      <c r="J230" s="654"/>
      <c r="K230" s="654"/>
      <c r="L230" s="654"/>
      <c r="M230" s="654"/>
      <c r="N230" s="654"/>
      <c r="O230" s="654"/>
      <c r="P230" s="654"/>
      <c r="Q230" s="654"/>
      <c r="R230" s="654"/>
      <c r="S230" s="654"/>
      <c r="T230" s="654"/>
      <c r="U230" s="652">
        <v>0</v>
      </c>
      <c r="V230" s="652"/>
      <c r="W230" s="652"/>
      <c r="X230" s="652"/>
      <c r="Y230" s="652"/>
      <c r="Z230" s="653">
        <v>0</v>
      </c>
      <c r="AA230" s="654"/>
      <c r="AB230" s="654"/>
      <c r="AC230" s="654"/>
      <c r="AD230" s="654"/>
      <c r="AE230" s="654"/>
      <c r="AF230" s="654"/>
      <c r="AG230" s="653">
        <v>0</v>
      </c>
      <c r="AH230" s="654"/>
      <c r="AI230" s="654"/>
      <c r="AJ230" s="654"/>
      <c r="AK230" s="654"/>
      <c r="AL230" s="654"/>
      <c r="AM230" s="655"/>
    </row>
    <row r="231" spans="3:39" hidden="1" x14ac:dyDescent="0.25">
      <c r="C231" s="662" t="s">
        <v>257</v>
      </c>
      <c r="D231" s="658"/>
      <c r="E231" s="658"/>
      <c r="F231" s="658"/>
      <c r="G231" s="658"/>
      <c r="H231" s="658"/>
      <c r="I231" s="658"/>
      <c r="J231" s="658"/>
      <c r="K231" s="658"/>
      <c r="L231" s="658"/>
      <c r="M231" s="658"/>
      <c r="N231" s="658"/>
      <c r="O231" s="658"/>
      <c r="P231" s="658"/>
      <c r="Q231" s="658"/>
      <c r="R231" s="658"/>
      <c r="S231" s="658"/>
      <c r="T231" s="658"/>
      <c r="U231" s="658"/>
      <c r="V231" s="658"/>
      <c r="W231" s="658"/>
      <c r="X231" s="658"/>
      <c r="Y231" s="658"/>
      <c r="Z231" s="660"/>
      <c r="AA231" s="660"/>
      <c r="AB231" s="660"/>
      <c r="AC231" s="660"/>
      <c r="AD231" s="660"/>
      <c r="AE231" s="660"/>
      <c r="AF231" s="660"/>
      <c r="AG231" s="659">
        <v>0</v>
      </c>
      <c r="AH231" s="660"/>
      <c r="AI231" s="660"/>
      <c r="AJ231" s="660"/>
      <c r="AK231" s="660"/>
      <c r="AL231" s="660"/>
      <c r="AM231" s="661"/>
    </row>
    <row r="232" spans="3:39" hidden="1" x14ac:dyDescent="0.25">
      <c r="C232" s="663" t="s">
        <v>265</v>
      </c>
      <c r="D232" s="664"/>
      <c r="E232" s="664"/>
      <c r="F232" s="664"/>
      <c r="G232" s="664"/>
      <c r="H232" s="664"/>
      <c r="I232" s="664"/>
      <c r="J232" s="664"/>
      <c r="K232" s="664"/>
      <c r="L232" s="664"/>
      <c r="M232" s="664"/>
      <c r="N232" s="664"/>
      <c r="O232" s="664"/>
      <c r="P232" s="664"/>
      <c r="Q232" s="664"/>
      <c r="R232" s="664"/>
      <c r="S232" s="664"/>
      <c r="T232" s="664"/>
      <c r="U232" s="665">
        <v>1</v>
      </c>
      <c r="V232" s="665"/>
      <c r="W232" s="665"/>
      <c r="X232" s="665"/>
      <c r="Y232" s="665"/>
      <c r="Z232" s="666">
        <v>21244.52</v>
      </c>
      <c r="AA232" s="667"/>
      <c r="AB232" s="667"/>
      <c r="AC232" s="667"/>
      <c r="AD232" s="667"/>
      <c r="AE232" s="667"/>
      <c r="AF232" s="667"/>
      <c r="AG232" s="666">
        <v>21244.52</v>
      </c>
      <c r="AH232" s="667"/>
      <c r="AI232" s="667"/>
      <c r="AJ232" s="667"/>
      <c r="AK232" s="667"/>
      <c r="AL232" s="667"/>
      <c r="AM232" s="668"/>
    </row>
    <row r="233" spans="3:39" ht="15" hidden="1" customHeight="1" x14ac:dyDescent="0.25">
      <c r="C233" s="650" t="s">
        <v>325</v>
      </c>
      <c r="D233" s="651"/>
      <c r="E233" s="651"/>
      <c r="F233" s="651"/>
      <c r="G233" s="651"/>
      <c r="H233" s="651"/>
      <c r="I233" s="651"/>
      <c r="J233" s="651"/>
      <c r="K233" s="651"/>
      <c r="L233" s="651"/>
      <c r="M233" s="651"/>
      <c r="N233" s="651"/>
      <c r="O233" s="651"/>
      <c r="P233" s="651"/>
      <c r="Q233" s="651"/>
      <c r="R233" s="651"/>
      <c r="S233" s="651"/>
      <c r="T233" s="651"/>
      <c r="U233" s="652">
        <v>1</v>
      </c>
      <c r="V233" s="652"/>
      <c r="W233" s="652"/>
      <c r="X233" s="652"/>
      <c r="Y233" s="652"/>
      <c r="Z233" s="653">
        <v>20845.72</v>
      </c>
      <c r="AA233" s="654"/>
      <c r="AB233" s="654"/>
      <c r="AC233" s="654"/>
      <c r="AD233" s="654"/>
      <c r="AE233" s="654"/>
      <c r="AF233" s="654"/>
      <c r="AG233" s="653">
        <v>20845.72</v>
      </c>
      <c r="AH233" s="654"/>
      <c r="AI233" s="654"/>
      <c r="AJ233" s="654"/>
      <c r="AK233" s="654"/>
      <c r="AL233" s="654"/>
      <c r="AM233" s="655"/>
    </row>
    <row r="234" spans="3:39" hidden="1" x14ac:dyDescent="0.25">
      <c r="C234" s="656" t="s">
        <v>236</v>
      </c>
      <c r="D234" s="657"/>
      <c r="E234" s="657"/>
      <c r="F234" s="657"/>
      <c r="G234" s="657"/>
      <c r="H234" s="657"/>
      <c r="I234" s="657"/>
      <c r="J234" s="657"/>
      <c r="K234" s="657"/>
      <c r="L234" s="657"/>
      <c r="M234" s="657"/>
      <c r="N234" s="657"/>
      <c r="O234" s="657"/>
      <c r="P234" s="657"/>
      <c r="Q234" s="657"/>
      <c r="R234" s="657"/>
      <c r="S234" s="657"/>
      <c r="T234" s="657"/>
      <c r="U234" s="658">
        <v>25</v>
      </c>
      <c r="V234" s="658"/>
      <c r="W234" s="658"/>
      <c r="X234" s="658"/>
      <c r="Y234" s="658"/>
      <c r="Z234" s="659">
        <v>833.83</v>
      </c>
      <c r="AA234" s="660"/>
      <c r="AB234" s="660"/>
      <c r="AC234" s="660"/>
      <c r="AD234" s="660"/>
      <c r="AE234" s="660"/>
      <c r="AF234" s="660"/>
      <c r="AG234" s="659">
        <v>20845.75</v>
      </c>
      <c r="AH234" s="660"/>
      <c r="AI234" s="660"/>
      <c r="AJ234" s="660"/>
      <c r="AK234" s="660"/>
      <c r="AL234" s="660"/>
      <c r="AM234" s="661"/>
    </row>
    <row r="235" spans="3:39" hidden="1" x14ac:dyDescent="0.25"/>
    <row r="236" spans="3:39" hidden="1" x14ac:dyDescent="0.25">
      <c r="C236" s="645" t="s">
        <v>296</v>
      </c>
      <c r="D236" s="646"/>
      <c r="E236" s="646"/>
      <c r="F236" s="646"/>
      <c r="G236" s="646"/>
      <c r="H236" s="646"/>
      <c r="I236" s="646"/>
      <c r="J236" s="646"/>
      <c r="K236" s="646"/>
      <c r="L236" s="646"/>
      <c r="M236" s="646"/>
      <c r="N236" s="646"/>
      <c r="O236" s="646"/>
      <c r="P236" s="646"/>
      <c r="Q236" s="646"/>
      <c r="R236" s="646"/>
      <c r="S236" s="646"/>
      <c r="T236" s="646"/>
      <c r="U236" s="647">
        <v>15167.41</v>
      </c>
      <c r="V236" s="648"/>
      <c r="W236" s="648"/>
      <c r="X236" s="648"/>
      <c r="Y236" s="649"/>
    </row>
    <row r="237" spans="3:39" hidden="1" x14ac:dyDescent="0.25"/>
    <row r="238" spans="3:39" hidden="1" x14ac:dyDescent="0.25"/>
    <row r="239" spans="3:39" hidden="1" x14ac:dyDescent="0.25"/>
    <row r="240" spans="3:39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</sheetData>
  <mergeCells count="600">
    <mergeCell ref="J8:S8"/>
    <mergeCell ref="O10:P10"/>
    <mergeCell ref="Q10:U10"/>
    <mergeCell ref="Y10:AI10"/>
    <mergeCell ref="C11:N11"/>
    <mergeCell ref="O11:R11"/>
    <mergeCell ref="S11:V11"/>
    <mergeCell ref="Y11:AM11"/>
    <mergeCell ref="I3:R3"/>
    <mergeCell ref="AI3:AM4"/>
    <mergeCell ref="I4:R4"/>
    <mergeCell ref="I5:R5"/>
    <mergeCell ref="I6:R6"/>
    <mergeCell ref="I7:R7"/>
    <mergeCell ref="AC14:AM14"/>
    <mergeCell ref="C15:N15"/>
    <mergeCell ref="O15:W15"/>
    <mergeCell ref="Y15:Z15"/>
    <mergeCell ref="AA15:AM15"/>
    <mergeCell ref="C12:N12"/>
    <mergeCell ref="O12:R12"/>
    <mergeCell ref="S12:V12"/>
    <mergeCell ref="Y12:AB12"/>
    <mergeCell ref="AC12:AM12"/>
    <mergeCell ref="C13:N13"/>
    <mergeCell ref="O13:S13"/>
    <mergeCell ref="Y13:Z13"/>
    <mergeCell ref="AA13:AM13"/>
    <mergeCell ref="C16:N16"/>
    <mergeCell ref="O16:W16"/>
    <mergeCell ref="C18:F18"/>
    <mergeCell ref="G18:M18"/>
    <mergeCell ref="N18:R18"/>
    <mergeCell ref="S18:W18"/>
    <mergeCell ref="C14:N14"/>
    <mergeCell ref="O14:W14"/>
    <mergeCell ref="Y14:AB14"/>
    <mergeCell ref="X18:AB18"/>
    <mergeCell ref="AC18:AJ18"/>
    <mergeCell ref="AK18:AM18"/>
    <mergeCell ref="C19:F19"/>
    <mergeCell ref="G19:M19"/>
    <mergeCell ref="N19:R19"/>
    <mergeCell ref="S19:W19"/>
    <mergeCell ref="X19:AB19"/>
    <mergeCell ref="AC19:AJ19"/>
    <mergeCell ref="AK19:AM19"/>
    <mergeCell ref="C21:N21"/>
    <mergeCell ref="O21:X21"/>
    <mergeCell ref="Y21:AA21"/>
    <mergeCell ref="AB21:AF21"/>
    <mergeCell ref="AG21:AM21"/>
    <mergeCell ref="C22:N22"/>
    <mergeCell ref="O22:X22"/>
    <mergeCell ref="Y22:AA22"/>
    <mergeCell ref="AB22:AF22"/>
    <mergeCell ref="AG22:AM22"/>
    <mergeCell ref="C23:N23"/>
    <mergeCell ref="O23:X23"/>
    <mergeCell ref="Y23:AA23"/>
    <mergeCell ref="AB23:AF23"/>
    <mergeCell ref="AG23:AM23"/>
    <mergeCell ref="C25:N25"/>
    <mergeCell ref="O25:X25"/>
    <mergeCell ref="Y25:AA25"/>
    <mergeCell ref="AB25:AF25"/>
    <mergeCell ref="AG25:AM25"/>
    <mergeCell ref="AG24:AM24"/>
    <mergeCell ref="C24:AF24"/>
    <mergeCell ref="C26:N26"/>
    <mergeCell ref="O26:X26"/>
    <mergeCell ref="Y26:AA26"/>
    <mergeCell ref="AB26:AF26"/>
    <mergeCell ref="AG26:AM26"/>
    <mergeCell ref="C28:N28"/>
    <mergeCell ref="O28:X28"/>
    <mergeCell ref="Y28:AA28"/>
    <mergeCell ref="AB28:AF28"/>
    <mergeCell ref="AG28:AM28"/>
    <mergeCell ref="C27:AF27"/>
    <mergeCell ref="AG27:AM27"/>
    <mergeCell ref="C29:N29"/>
    <mergeCell ref="O29:X29"/>
    <mergeCell ref="Y29:AA29"/>
    <mergeCell ref="AB29:AF29"/>
    <mergeCell ref="AG29:AM29"/>
    <mergeCell ref="C31:N31"/>
    <mergeCell ref="O31:X31"/>
    <mergeCell ref="Y31:AA31"/>
    <mergeCell ref="AB31:AF31"/>
    <mergeCell ref="AG31:AM31"/>
    <mergeCell ref="C30:AF30"/>
    <mergeCell ref="AG30:AM30"/>
    <mergeCell ref="C35:AM35"/>
    <mergeCell ref="C36:N36"/>
    <mergeCell ref="O36:X36"/>
    <mergeCell ref="Y36:AA36"/>
    <mergeCell ref="AB36:AF36"/>
    <mergeCell ref="AG36:AM36"/>
    <mergeCell ref="C32:N32"/>
    <mergeCell ref="O32:X32"/>
    <mergeCell ref="Y32:AA32"/>
    <mergeCell ref="AB32:AF32"/>
    <mergeCell ref="AG32:AM32"/>
    <mergeCell ref="C34:AM34"/>
    <mergeCell ref="C33:AF33"/>
    <mergeCell ref="AG33:AM33"/>
    <mergeCell ref="C39:N39"/>
    <mergeCell ref="O39:X39"/>
    <mergeCell ref="Y39:AA39"/>
    <mergeCell ref="AB39:AF39"/>
    <mergeCell ref="AG39:AM39"/>
    <mergeCell ref="C40:AF40"/>
    <mergeCell ref="AG40:AM40"/>
    <mergeCell ref="C37:N37"/>
    <mergeCell ref="O37:X37"/>
    <mergeCell ref="Y37:AA37"/>
    <mergeCell ref="AB37:AF37"/>
    <mergeCell ref="AG37:AM37"/>
    <mergeCell ref="C38:N38"/>
    <mergeCell ref="O38:X38"/>
    <mergeCell ref="Y38:AA38"/>
    <mergeCell ref="AB38:AF38"/>
    <mergeCell ref="AG38:AM38"/>
    <mergeCell ref="G42:AL42"/>
    <mergeCell ref="G43:AL43"/>
    <mergeCell ref="G44:AL44"/>
    <mergeCell ref="D49:E49"/>
    <mergeCell ref="F49:J49"/>
    <mergeCell ref="K49:W49"/>
    <mergeCell ref="X49:AC49"/>
    <mergeCell ref="AD49:AF49"/>
    <mergeCell ref="AG49:AJ49"/>
    <mergeCell ref="AK49:AL49"/>
    <mergeCell ref="AK50:AL50"/>
    <mergeCell ref="D51:E51"/>
    <mergeCell ref="F51:J51"/>
    <mergeCell ref="K51:W51"/>
    <mergeCell ref="X51:AC51"/>
    <mergeCell ref="AD51:AF51"/>
    <mergeCell ref="AG51:AJ51"/>
    <mergeCell ref="AK51:AL51"/>
    <mergeCell ref="D50:E50"/>
    <mergeCell ref="F50:J50"/>
    <mergeCell ref="K50:W50"/>
    <mergeCell ref="X50:AC50"/>
    <mergeCell ref="AD50:AF50"/>
    <mergeCell ref="AG50:AJ50"/>
    <mergeCell ref="AK52:AL52"/>
    <mergeCell ref="D53:E53"/>
    <mergeCell ref="F53:J53"/>
    <mergeCell ref="K53:W53"/>
    <mergeCell ref="X53:AC53"/>
    <mergeCell ref="AD53:AF53"/>
    <mergeCell ref="AG53:AJ53"/>
    <mergeCell ref="AK53:AL53"/>
    <mergeCell ref="D52:E52"/>
    <mergeCell ref="F52:J52"/>
    <mergeCell ref="K52:W52"/>
    <mergeCell ref="X52:AC52"/>
    <mergeCell ref="AD52:AF52"/>
    <mergeCell ref="AG52:AJ52"/>
    <mergeCell ref="AK54:AL54"/>
    <mergeCell ref="D55:E55"/>
    <mergeCell ref="F55:J55"/>
    <mergeCell ref="K55:W55"/>
    <mergeCell ref="X55:AC55"/>
    <mergeCell ref="AD55:AF55"/>
    <mergeCell ref="AG55:AJ55"/>
    <mergeCell ref="AK55:AL55"/>
    <mergeCell ref="D54:E54"/>
    <mergeCell ref="F54:J54"/>
    <mergeCell ref="K54:W54"/>
    <mergeCell ref="X54:AC54"/>
    <mergeCell ref="AD54:AF54"/>
    <mergeCell ref="AG54:AJ54"/>
    <mergeCell ref="AK56:AL56"/>
    <mergeCell ref="D57:E57"/>
    <mergeCell ref="F57:J57"/>
    <mergeCell ref="K57:W57"/>
    <mergeCell ref="X57:AC57"/>
    <mergeCell ref="AD57:AF57"/>
    <mergeCell ref="AG57:AJ57"/>
    <mergeCell ref="AK57:AL57"/>
    <mergeCell ref="D56:E56"/>
    <mergeCell ref="F56:J56"/>
    <mergeCell ref="K56:W56"/>
    <mergeCell ref="X56:AC56"/>
    <mergeCell ref="AD56:AF56"/>
    <mergeCell ref="AG56:AJ56"/>
    <mergeCell ref="C61:Y61"/>
    <mergeCell ref="Z61:AM61"/>
    <mergeCell ref="C62:T62"/>
    <mergeCell ref="U62:Y62"/>
    <mergeCell ref="Z62:AF62"/>
    <mergeCell ref="AG62:AM62"/>
    <mergeCell ref="AK58:AL58"/>
    <mergeCell ref="D59:E59"/>
    <mergeCell ref="F59:J59"/>
    <mergeCell ref="K59:W59"/>
    <mergeCell ref="X59:AC59"/>
    <mergeCell ref="AD59:AF59"/>
    <mergeCell ref="AG59:AJ59"/>
    <mergeCell ref="AK59:AL59"/>
    <mergeCell ref="D58:E58"/>
    <mergeCell ref="F58:J58"/>
    <mergeCell ref="K58:W58"/>
    <mergeCell ref="X58:AC58"/>
    <mergeCell ref="AD58:AF58"/>
    <mergeCell ref="AG58:AJ58"/>
    <mergeCell ref="C65:T65"/>
    <mergeCell ref="U65:Y65"/>
    <mergeCell ref="Z65:AF65"/>
    <mergeCell ref="AG65:AM65"/>
    <mergeCell ref="C66:T66"/>
    <mergeCell ref="U66:Y66"/>
    <mergeCell ref="Z66:AF66"/>
    <mergeCell ref="AG66:AM66"/>
    <mergeCell ref="C63:T63"/>
    <mergeCell ref="U63:Y63"/>
    <mergeCell ref="Z63:AF63"/>
    <mergeCell ref="AG63:AM63"/>
    <mergeCell ref="C64:T64"/>
    <mergeCell ref="U64:Y64"/>
    <mergeCell ref="Z64:AF64"/>
    <mergeCell ref="AG64:AM64"/>
    <mergeCell ref="C67:T67"/>
    <mergeCell ref="U67:Y67"/>
    <mergeCell ref="Z67:AF67"/>
    <mergeCell ref="AG67:AM67"/>
    <mergeCell ref="C68:AM68"/>
    <mergeCell ref="C69:T69"/>
    <mergeCell ref="U69:Y69"/>
    <mergeCell ref="Z69:AF69"/>
    <mergeCell ref="AG69:AM69"/>
    <mergeCell ref="C72:T72"/>
    <mergeCell ref="U72:Y72"/>
    <mergeCell ref="Z72:AF72"/>
    <mergeCell ref="AG72:AM72"/>
    <mergeCell ref="C73:T73"/>
    <mergeCell ref="U73:Y73"/>
    <mergeCell ref="Z73:AF73"/>
    <mergeCell ref="AG73:AM73"/>
    <mergeCell ref="C70:T70"/>
    <mergeCell ref="U70:Y70"/>
    <mergeCell ref="Z70:AF70"/>
    <mergeCell ref="AG70:AM70"/>
    <mergeCell ref="C71:T71"/>
    <mergeCell ref="U71:Y71"/>
    <mergeCell ref="Z71:AF71"/>
    <mergeCell ref="AG71:AM71"/>
    <mergeCell ref="C77:T77"/>
    <mergeCell ref="U77:Y77"/>
    <mergeCell ref="Z77:AF77"/>
    <mergeCell ref="AG77:AM77"/>
    <mergeCell ref="C78:T78"/>
    <mergeCell ref="U78:Y78"/>
    <mergeCell ref="Z78:AF78"/>
    <mergeCell ref="AG78:AM78"/>
    <mergeCell ref="C74:T74"/>
    <mergeCell ref="U74:Y74"/>
    <mergeCell ref="Z74:AF74"/>
    <mergeCell ref="AG74:AM74"/>
    <mergeCell ref="C75:AM75"/>
    <mergeCell ref="C76:T76"/>
    <mergeCell ref="U76:Y76"/>
    <mergeCell ref="Z76:AF76"/>
    <mergeCell ref="AG76:AM76"/>
    <mergeCell ref="C79:T79"/>
    <mergeCell ref="U79:Y79"/>
    <mergeCell ref="Z79:AF79"/>
    <mergeCell ref="AG79:AM79"/>
    <mergeCell ref="C80:AM80"/>
    <mergeCell ref="C81:T81"/>
    <mergeCell ref="U81:Y81"/>
    <mergeCell ref="Z81:AF81"/>
    <mergeCell ref="AG81:AM81"/>
    <mergeCell ref="C84:T84"/>
    <mergeCell ref="U84:Y84"/>
    <mergeCell ref="Z84:AF84"/>
    <mergeCell ref="AG84:AM84"/>
    <mergeCell ref="C85:T85"/>
    <mergeCell ref="U85:Y85"/>
    <mergeCell ref="Z85:AF85"/>
    <mergeCell ref="AG85:AM85"/>
    <mergeCell ref="C82:T82"/>
    <mergeCell ref="U82:Y82"/>
    <mergeCell ref="Z82:AF82"/>
    <mergeCell ref="AG82:AM82"/>
    <mergeCell ref="C83:T83"/>
    <mergeCell ref="U83:Y83"/>
    <mergeCell ref="Z83:AF83"/>
    <mergeCell ref="AG83:AM83"/>
    <mergeCell ref="C89:T89"/>
    <mergeCell ref="U89:Y89"/>
    <mergeCell ref="C110:Y110"/>
    <mergeCell ref="Z110:AM110"/>
    <mergeCell ref="C111:T111"/>
    <mergeCell ref="U111:Y111"/>
    <mergeCell ref="Z111:AF111"/>
    <mergeCell ref="AG111:AM111"/>
    <mergeCell ref="C86:T86"/>
    <mergeCell ref="U86:Y86"/>
    <mergeCell ref="Z86:AF86"/>
    <mergeCell ref="AG86:AM86"/>
    <mergeCell ref="C87:T87"/>
    <mergeCell ref="U87:Y87"/>
    <mergeCell ref="Z87:AF87"/>
    <mergeCell ref="AG87:AM87"/>
    <mergeCell ref="C114:T114"/>
    <mergeCell ref="U114:Y114"/>
    <mergeCell ref="Z114:AF114"/>
    <mergeCell ref="AG114:AM114"/>
    <mergeCell ref="C115:T115"/>
    <mergeCell ref="U115:Y115"/>
    <mergeCell ref="Z115:AF115"/>
    <mergeCell ref="AG115:AM115"/>
    <mergeCell ref="C112:T112"/>
    <mergeCell ref="U112:Y112"/>
    <mergeCell ref="Z112:AF112"/>
    <mergeCell ref="AG112:AM112"/>
    <mergeCell ref="C113:T113"/>
    <mergeCell ref="U113:Y113"/>
    <mergeCell ref="Z113:AF113"/>
    <mergeCell ref="AG113:AM113"/>
    <mergeCell ref="C116:T116"/>
    <mergeCell ref="U116:Y116"/>
    <mergeCell ref="Z116:AF116"/>
    <mergeCell ref="AG116:AM116"/>
    <mergeCell ref="C117:AM117"/>
    <mergeCell ref="C118:T118"/>
    <mergeCell ref="U118:Y118"/>
    <mergeCell ref="Z118:AF118"/>
    <mergeCell ref="AG118:AM118"/>
    <mergeCell ref="C121:T121"/>
    <mergeCell ref="U121:Y121"/>
    <mergeCell ref="Z121:AF121"/>
    <mergeCell ref="AG121:AM121"/>
    <mergeCell ref="C122:T122"/>
    <mergeCell ref="U122:Y122"/>
    <mergeCell ref="Z122:AF122"/>
    <mergeCell ref="AG122:AM122"/>
    <mergeCell ref="C119:T119"/>
    <mergeCell ref="U119:Y119"/>
    <mergeCell ref="Z119:AF119"/>
    <mergeCell ref="AG119:AM119"/>
    <mergeCell ref="C120:T120"/>
    <mergeCell ref="U120:Y120"/>
    <mergeCell ref="Z120:AF120"/>
    <mergeCell ref="AG120:AM120"/>
    <mergeCell ref="C126:T126"/>
    <mergeCell ref="U126:Y126"/>
    <mergeCell ref="Z126:AF126"/>
    <mergeCell ref="AG126:AM126"/>
    <mergeCell ref="C127:T127"/>
    <mergeCell ref="U127:Y127"/>
    <mergeCell ref="Z127:AF127"/>
    <mergeCell ref="AG127:AM127"/>
    <mergeCell ref="C123:T123"/>
    <mergeCell ref="U123:Y123"/>
    <mergeCell ref="Z123:AF123"/>
    <mergeCell ref="AG123:AM123"/>
    <mergeCell ref="C124:AM124"/>
    <mergeCell ref="C125:T125"/>
    <mergeCell ref="U125:Y125"/>
    <mergeCell ref="Z125:AF125"/>
    <mergeCell ref="AG125:AM125"/>
    <mergeCell ref="C128:T128"/>
    <mergeCell ref="U128:Y128"/>
    <mergeCell ref="Z128:AF128"/>
    <mergeCell ref="AG128:AM128"/>
    <mergeCell ref="C129:AM129"/>
    <mergeCell ref="C130:T130"/>
    <mergeCell ref="U130:Y130"/>
    <mergeCell ref="Z130:AF130"/>
    <mergeCell ref="AG130:AM130"/>
    <mergeCell ref="C133:T133"/>
    <mergeCell ref="U133:Y133"/>
    <mergeCell ref="Z133:AF133"/>
    <mergeCell ref="AG133:AM133"/>
    <mergeCell ref="C134:T134"/>
    <mergeCell ref="U134:Y134"/>
    <mergeCell ref="Z134:AF134"/>
    <mergeCell ref="AG134:AM134"/>
    <mergeCell ref="C131:T131"/>
    <mergeCell ref="U131:Y131"/>
    <mergeCell ref="Z131:AF131"/>
    <mergeCell ref="AG131:AM131"/>
    <mergeCell ref="C132:T132"/>
    <mergeCell ref="U132:Y132"/>
    <mergeCell ref="Z132:AF132"/>
    <mergeCell ref="AG132:AM132"/>
    <mergeCell ref="C138:T138"/>
    <mergeCell ref="U138:Y138"/>
    <mergeCell ref="C159:Y159"/>
    <mergeCell ref="Z159:AM159"/>
    <mergeCell ref="C160:T160"/>
    <mergeCell ref="U160:Y160"/>
    <mergeCell ref="Z160:AF160"/>
    <mergeCell ref="AG160:AM160"/>
    <mergeCell ref="C135:T135"/>
    <mergeCell ref="U135:Y135"/>
    <mergeCell ref="Z135:AF135"/>
    <mergeCell ref="AG135:AM135"/>
    <mergeCell ref="C136:T136"/>
    <mergeCell ref="U136:Y136"/>
    <mergeCell ref="Z136:AF136"/>
    <mergeCell ref="AG136:AM136"/>
    <mergeCell ref="C163:T163"/>
    <mergeCell ref="U163:Y163"/>
    <mergeCell ref="Z163:AF163"/>
    <mergeCell ref="AG163:AM163"/>
    <mergeCell ref="C164:T164"/>
    <mergeCell ref="U164:Y164"/>
    <mergeCell ref="Z164:AF164"/>
    <mergeCell ref="AG164:AM164"/>
    <mergeCell ref="C161:T161"/>
    <mergeCell ref="U161:Y161"/>
    <mergeCell ref="Z161:AF161"/>
    <mergeCell ref="AG161:AM161"/>
    <mergeCell ref="C162:T162"/>
    <mergeCell ref="U162:Y162"/>
    <mergeCell ref="Z162:AF162"/>
    <mergeCell ref="AG162:AM162"/>
    <mergeCell ref="C165:T165"/>
    <mergeCell ref="U165:Y165"/>
    <mergeCell ref="Z165:AF165"/>
    <mergeCell ref="AG165:AM165"/>
    <mergeCell ref="C166:AM166"/>
    <mergeCell ref="C167:T167"/>
    <mergeCell ref="U167:Y167"/>
    <mergeCell ref="Z167:AF167"/>
    <mergeCell ref="AG167:AM167"/>
    <mergeCell ref="C170:T170"/>
    <mergeCell ref="U170:Y170"/>
    <mergeCell ref="Z170:AF170"/>
    <mergeCell ref="AG170:AM170"/>
    <mergeCell ref="C171:T171"/>
    <mergeCell ref="U171:Y171"/>
    <mergeCell ref="Z171:AF171"/>
    <mergeCell ref="AG171:AM171"/>
    <mergeCell ref="C168:T168"/>
    <mergeCell ref="U168:Y168"/>
    <mergeCell ref="Z168:AF168"/>
    <mergeCell ref="AG168:AM168"/>
    <mergeCell ref="C169:T169"/>
    <mergeCell ref="U169:Y169"/>
    <mergeCell ref="Z169:AF169"/>
    <mergeCell ref="AG169:AM169"/>
    <mergeCell ref="C175:T175"/>
    <mergeCell ref="U175:Y175"/>
    <mergeCell ref="Z175:AF175"/>
    <mergeCell ref="AG175:AM175"/>
    <mergeCell ref="C176:T176"/>
    <mergeCell ref="U176:Y176"/>
    <mergeCell ref="Z176:AF176"/>
    <mergeCell ref="AG176:AM176"/>
    <mergeCell ref="C172:T172"/>
    <mergeCell ref="U172:Y172"/>
    <mergeCell ref="Z172:AF172"/>
    <mergeCell ref="AG172:AM172"/>
    <mergeCell ref="C173:AM173"/>
    <mergeCell ref="C174:T174"/>
    <mergeCell ref="U174:Y174"/>
    <mergeCell ref="Z174:AF174"/>
    <mergeCell ref="AG174:AM174"/>
    <mergeCell ref="C177:T177"/>
    <mergeCell ref="U177:Y177"/>
    <mergeCell ref="Z177:AF177"/>
    <mergeCell ref="AG177:AM177"/>
    <mergeCell ref="C178:AM178"/>
    <mergeCell ref="C179:T179"/>
    <mergeCell ref="U179:Y179"/>
    <mergeCell ref="Z179:AF179"/>
    <mergeCell ref="AG179:AM179"/>
    <mergeCell ref="C182:T182"/>
    <mergeCell ref="U182:Y182"/>
    <mergeCell ref="Z182:AF182"/>
    <mergeCell ref="AG182:AM182"/>
    <mergeCell ref="C183:T183"/>
    <mergeCell ref="U183:Y183"/>
    <mergeCell ref="Z183:AF183"/>
    <mergeCell ref="AG183:AM183"/>
    <mergeCell ref="C180:T180"/>
    <mergeCell ref="U180:Y180"/>
    <mergeCell ref="Z180:AF180"/>
    <mergeCell ref="AG180:AM180"/>
    <mergeCell ref="C181:T181"/>
    <mergeCell ref="U181:Y181"/>
    <mergeCell ref="Z181:AF181"/>
    <mergeCell ref="AG181:AM181"/>
    <mergeCell ref="C187:T187"/>
    <mergeCell ref="U187:Y187"/>
    <mergeCell ref="C208:Y208"/>
    <mergeCell ref="Z208:AM208"/>
    <mergeCell ref="C209:T209"/>
    <mergeCell ref="U209:Y209"/>
    <mergeCell ref="Z209:AF209"/>
    <mergeCell ref="AG209:AM209"/>
    <mergeCell ref="C184:T184"/>
    <mergeCell ref="U184:Y184"/>
    <mergeCell ref="Z184:AF184"/>
    <mergeCell ref="AG184:AM184"/>
    <mergeCell ref="C185:T185"/>
    <mergeCell ref="U185:Y185"/>
    <mergeCell ref="Z185:AF185"/>
    <mergeCell ref="AG185:AM185"/>
    <mergeCell ref="C212:T212"/>
    <mergeCell ref="U212:Y212"/>
    <mergeCell ref="Z212:AF212"/>
    <mergeCell ref="AG212:AM212"/>
    <mergeCell ref="C213:T213"/>
    <mergeCell ref="U213:Y213"/>
    <mergeCell ref="Z213:AF213"/>
    <mergeCell ref="AG213:AM213"/>
    <mergeCell ref="C210:T210"/>
    <mergeCell ref="U210:Y210"/>
    <mergeCell ref="Z210:AF210"/>
    <mergeCell ref="AG210:AM210"/>
    <mergeCell ref="C211:T211"/>
    <mergeCell ref="U211:Y211"/>
    <mergeCell ref="Z211:AF211"/>
    <mergeCell ref="AG211:AM211"/>
    <mergeCell ref="C214:T214"/>
    <mergeCell ref="U214:Y214"/>
    <mergeCell ref="Z214:AF214"/>
    <mergeCell ref="AG214:AM214"/>
    <mergeCell ref="C215:AM215"/>
    <mergeCell ref="C216:T216"/>
    <mergeCell ref="U216:Y216"/>
    <mergeCell ref="Z216:AF216"/>
    <mergeCell ref="AG216:AM216"/>
    <mergeCell ref="C219:T219"/>
    <mergeCell ref="U219:Y219"/>
    <mergeCell ref="Z219:AF219"/>
    <mergeCell ref="AG219:AM219"/>
    <mergeCell ref="C220:T220"/>
    <mergeCell ref="U220:Y220"/>
    <mergeCell ref="Z220:AF220"/>
    <mergeCell ref="AG220:AM220"/>
    <mergeCell ref="C217:T217"/>
    <mergeCell ref="U217:Y217"/>
    <mergeCell ref="Z217:AF217"/>
    <mergeCell ref="AG217:AM217"/>
    <mergeCell ref="C218:T218"/>
    <mergeCell ref="U218:Y218"/>
    <mergeCell ref="Z218:AF218"/>
    <mergeCell ref="AG218:AM218"/>
    <mergeCell ref="C224:T224"/>
    <mergeCell ref="U224:Y224"/>
    <mergeCell ref="Z224:AF224"/>
    <mergeCell ref="AG224:AM224"/>
    <mergeCell ref="C225:T225"/>
    <mergeCell ref="U225:Y225"/>
    <mergeCell ref="Z225:AF225"/>
    <mergeCell ref="AG225:AM225"/>
    <mergeCell ref="C221:T221"/>
    <mergeCell ref="U221:Y221"/>
    <mergeCell ref="Z221:AF221"/>
    <mergeCell ref="AG221:AM221"/>
    <mergeCell ref="C222:AM222"/>
    <mergeCell ref="C223:T223"/>
    <mergeCell ref="U223:Y223"/>
    <mergeCell ref="Z223:AF223"/>
    <mergeCell ref="AG223:AM223"/>
    <mergeCell ref="C226:T226"/>
    <mergeCell ref="U226:Y226"/>
    <mergeCell ref="Z226:AF226"/>
    <mergeCell ref="AG226:AM226"/>
    <mergeCell ref="C227:AM227"/>
    <mergeCell ref="C228:T228"/>
    <mergeCell ref="U228:Y228"/>
    <mergeCell ref="Z228:AF228"/>
    <mergeCell ref="AG228:AM228"/>
    <mergeCell ref="C231:T231"/>
    <mergeCell ref="U231:Y231"/>
    <mergeCell ref="Z231:AF231"/>
    <mergeCell ref="AG231:AM231"/>
    <mergeCell ref="C232:T232"/>
    <mergeCell ref="U232:Y232"/>
    <mergeCell ref="Z232:AF232"/>
    <mergeCell ref="AG232:AM232"/>
    <mergeCell ref="C229:T229"/>
    <mergeCell ref="U229:Y229"/>
    <mergeCell ref="Z229:AF229"/>
    <mergeCell ref="AG229:AM229"/>
    <mergeCell ref="C230:T230"/>
    <mergeCell ref="U230:Y230"/>
    <mergeCell ref="Z230:AF230"/>
    <mergeCell ref="AG230:AM230"/>
    <mergeCell ref="C236:T236"/>
    <mergeCell ref="U236:Y236"/>
    <mergeCell ref="C233:T233"/>
    <mergeCell ref="U233:Y233"/>
    <mergeCell ref="Z233:AF233"/>
    <mergeCell ref="AG233:AM233"/>
    <mergeCell ref="C234:T234"/>
    <mergeCell ref="U234:Y234"/>
    <mergeCell ref="Z234:AF234"/>
    <mergeCell ref="AG234:AM234"/>
  </mergeCells>
  <hyperlinks>
    <hyperlink ref="I6" r:id="rId1" xr:uid="{6D994ACC-1AA9-42C7-9309-A28994268C84}"/>
  </hyperlinks>
  <printOptions horizontalCentered="1"/>
  <pageMargins left="0" right="0" top="0.51181102362204722" bottom="0.55118110236220474" header="0" footer="0"/>
  <pageSetup fitToHeight="0" orientation="portrait" r:id="rId2"/>
  <headerFooter scaleWithDoc="0">
    <oddHeader>&amp;L&amp;G</oddHeader>
    <oddFooter>&amp;C&amp;"Century Gothic,Regular"&amp;8Quoted by: Anas Patel
For any questions or assistance, please contact sales@rspcbassembly.com&amp;6
Document name: TIME FILE V5.0
Document made: 2024-03-01</oddFooter>
  </headerFooter>
  <rowBreaks count="4" manualBreakCount="4">
    <brk id="59" max="16383" man="1"/>
    <brk id="108" max="16383" man="1"/>
    <brk id="157" max="16383" man="1"/>
    <brk id="206" max="16383" man="1"/>
  </rowBreaks>
  <drawing r:id="rId3"/>
  <legacyDrawingHF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ECA72-DAE3-4A7A-A4C5-263D8C6C153F}">
  <sheetPr codeName="Sheet7"/>
  <dimension ref="A1:AK4"/>
  <sheetViews>
    <sheetView topLeftCell="A3" workbookViewId="0">
      <selection activeCell="C13" sqref="C13"/>
    </sheetView>
  </sheetViews>
  <sheetFormatPr defaultRowHeight="15" x14ac:dyDescent="0.25"/>
  <cols>
    <col min="1" max="1" width="13.7109375" bestFit="1" customWidth="1"/>
    <col min="2" max="2" width="22.28515625" bestFit="1" customWidth="1"/>
    <col min="3" max="3" width="21.5703125" bestFit="1" customWidth="1"/>
    <col min="4" max="4" width="8.42578125" bestFit="1" customWidth="1"/>
    <col min="5" max="5" width="11.42578125" bestFit="1" customWidth="1"/>
    <col min="6" max="6" width="16.5703125" bestFit="1" customWidth="1"/>
    <col min="7" max="7" width="21.28515625" bestFit="1" customWidth="1"/>
    <col min="8" max="8" width="20.140625" bestFit="1" customWidth="1"/>
    <col min="9" max="9" width="8.7109375" bestFit="1" customWidth="1"/>
    <col min="10" max="10" width="14.28515625" bestFit="1" customWidth="1"/>
    <col min="11" max="11" width="11.85546875" bestFit="1" customWidth="1"/>
    <col min="12" max="12" width="13.28515625" bestFit="1" customWidth="1"/>
    <col min="13" max="13" width="17.140625" bestFit="1" customWidth="1"/>
    <col min="14" max="14" width="24.7109375" bestFit="1" customWidth="1"/>
    <col min="15" max="15" width="8.7109375" bestFit="1" customWidth="1"/>
    <col min="16" max="16" width="14.28515625" bestFit="1" customWidth="1"/>
    <col min="17" max="17" width="11.85546875" bestFit="1" customWidth="1"/>
    <col min="18" max="18" width="13.28515625" bestFit="1" customWidth="1"/>
    <col min="19" max="19" width="17.140625" bestFit="1" customWidth="1"/>
    <col min="20" max="20" width="24.7109375" bestFit="1" customWidth="1"/>
    <col min="21" max="21" width="8.7109375" bestFit="1" customWidth="1"/>
    <col min="22" max="22" width="14.28515625" bestFit="1" customWidth="1"/>
    <col min="23" max="23" width="11.85546875" bestFit="1" customWidth="1"/>
    <col min="24" max="24" width="13.28515625" bestFit="1" customWidth="1"/>
    <col min="25" max="25" width="17.140625" bestFit="1" customWidth="1"/>
    <col min="26" max="26" width="24.7109375" bestFit="1" customWidth="1"/>
    <col min="27" max="27" width="8.7109375" bestFit="1" customWidth="1"/>
    <col min="28" max="28" width="14.28515625" bestFit="1" customWidth="1"/>
    <col min="29" max="29" width="11.85546875" bestFit="1" customWidth="1"/>
    <col min="30" max="30" width="13.28515625" bestFit="1" customWidth="1"/>
    <col min="31" max="31" width="17.140625" bestFit="1" customWidth="1"/>
    <col min="32" max="32" width="24.7109375" bestFit="1" customWidth="1"/>
    <col min="33" max="35" width="8.28515625" bestFit="1" customWidth="1"/>
    <col min="36" max="36" width="13.85546875" bestFit="1" customWidth="1"/>
    <col min="37" max="37" width="44" bestFit="1" customWidth="1"/>
  </cols>
  <sheetData>
    <row r="1" spans="1:37" ht="37.15" hidden="1" customHeight="1" x14ac:dyDescent="0.25"/>
    <row r="2" spans="1:37" s="513" customFormat="1" hidden="1" x14ac:dyDescent="0.25">
      <c r="A2" s="514" t="s">
        <v>407</v>
      </c>
      <c r="B2" s="514" t="s">
        <v>460</v>
      </c>
      <c r="C2" s="514" t="s">
        <v>408</v>
      </c>
      <c r="D2" s="514" t="s">
        <v>409</v>
      </c>
      <c r="E2" s="514" t="s">
        <v>410</v>
      </c>
      <c r="F2" s="514" t="s">
        <v>411</v>
      </c>
      <c r="G2" s="514" t="s">
        <v>412</v>
      </c>
      <c r="H2" s="514" t="s">
        <v>413</v>
      </c>
      <c r="I2" s="514" t="s">
        <v>414</v>
      </c>
      <c r="J2" s="514" t="s">
        <v>415</v>
      </c>
      <c r="K2" s="514" t="s">
        <v>416</v>
      </c>
      <c r="L2" s="514" t="s">
        <v>417</v>
      </c>
      <c r="M2" s="514" t="s">
        <v>418</v>
      </c>
      <c r="N2" s="514" t="s">
        <v>419</v>
      </c>
      <c r="O2" s="514" t="s">
        <v>420</v>
      </c>
      <c r="P2" s="514" t="s">
        <v>421</v>
      </c>
      <c r="Q2" s="514" t="s">
        <v>422</v>
      </c>
      <c r="R2" s="514" t="s">
        <v>423</v>
      </c>
      <c r="S2" s="514" t="s">
        <v>424</v>
      </c>
      <c r="T2" s="514" t="s">
        <v>425</v>
      </c>
      <c r="U2" s="514" t="s">
        <v>426</v>
      </c>
      <c r="V2" s="514" t="s">
        <v>427</v>
      </c>
      <c r="W2" s="514" t="s">
        <v>428</v>
      </c>
      <c r="X2" s="514" t="s">
        <v>429</v>
      </c>
      <c r="Y2" s="514" t="s">
        <v>430</v>
      </c>
      <c r="Z2" s="514" t="s">
        <v>431</v>
      </c>
      <c r="AA2" s="514" t="s">
        <v>432</v>
      </c>
      <c r="AB2" s="514" t="s">
        <v>433</v>
      </c>
      <c r="AC2" s="514" t="s">
        <v>434</v>
      </c>
      <c r="AD2" s="514" t="s">
        <v>435</v>
      </c>
      <c r="AE2" s="514" t="s">
        <v>436</v>
      </c>
      <c r="AF2" s="514" t="s">
        <v>437</v>
      </c>
      <c r="AG2" s="514" t="s">
        <v>438</v>
      </c>
      <c r="AH2" s="514" t="s">
        <v>439</v>
      </c>
      <c r="AI2" s="514" t="s">
        <v>440</v>
      </c>
      <c r="AJ2" s="514" t="s">
        <v>441</v>
      </c>
      <c r="AK2" s="514" t="s">
        <v>442</v>
      </c>
    </row>
    <row r="3" spans="1:37" s="42" customFormat="1" x14ac:dyDescent="0.25">
      <c r="I3" s="787" t="s">
        <v>330</v>
      </c>
      <c r="J3" s="787"/>
      <c r="K3" s="787"/>
      <c r="L3" s="787"/>
      <c r="M3" s="787"/>
      <c r="N3" s="787"/>
      <c r="O3" s="788" t="s">
        <v>331</v>
      </c>
      <c r="P3" s="788"/>
      <c r="Q3" s="788"/>
      <c r="R3" s="788"/>
      <c r="S3" s="788"/>
      <c r="T3" s="788"/>
      <c r="U3" s="789" t="s">
        <v>332</v>
      </c>
      <c r="V3" s="789"/>
      <c r="W3" s="789"/>
      <c r="X3" s="789"/>
      <c r="Y3" s="789"/>
      <c r="Z3" s="789"/>
      <c r="AA3" s="790" t="s">
        <v>333</v>
      </c>
      <c r="AB3" s="790"/>
      <c r="AC3" s="790"/>
      <c r="AD3" s="790"/>
      <c r="AE3" s="790"/>
      <c r="AF3" s="790"/>
    </row>
    <row r="4" spans="1:37" s="42" customFormat="1" x14ac:dyDescent="0.25">
      <c r="A4" s="49" t="s">
        <v>443</v>
      </c>
      <c r="B4" s="49" t="s">
        <v>461</v>
      </c>
      <c r="C4" s="515" t="s">
        <v>444</v>
      </c>
      <c r="D4" s="49" t="s">
        <v>317</v>
      </c>
      <c r="E4" s="49" t="s">
        <v>445</v>
      </c>
      <c r="F4" s="49" t="s">
        <v>446</v>
      </c>
      <c r="G4" s="49" t="s">
        <v>447</v>
      </c>
      <c r="H4" s="49" t="s">
        <v>448</v>
      </c>
      <c r="I4" s="49" t="s">
        <v>358</v>
      </c>
      <c r="J4" s="49" t="s">
        <v>454</v>
      </c>
      <c r="K4" s="49" t="s">
        <v>455</v>
      </c>
      <c r="L4" s="49" t="s">
        <v>236</v>
      </c>
      <c r="M4" s="516" t="s">
        <v>456</v>
      </c>
      <c r="N4" s="516" t="s">
        <v>457</v>
      </c>
      <c r="O4" s="49" t="s">
        <v>358</v>
      </c>
      <c r="P4" s="49" t="s">
        <v>454</v>
      </c>
      <c r="Q4" s="49" t="s">
        <v>455</v>
      </c>
      <c r="R4" s="49" t="s">
        <v>236</v>
      </c>
      <c r="S4" s="516" t="s">
        <v>456</v>
      </c>
      <c r="T4" s="516" t="s">
        <v>457</v>
      </c>
      <c r="U4" s="49" t="s">
        <v>358</v>
      </c>
      <c r="V4" s="49" t="s">
        <v>454</v>
      </c>
      <c r="W4" s="49" t="s">
        <v>455</v>
      </c>
      <c r="X4" s="49" t="s">
        <v>236</v>
      </c>
      <c r="Y4" s="516" t="s">
        <v>456</v>
      </c>
      <c r="Z4" s="516" t="s">
        <v>457</v>
      </c>
      <c r="AA4" s="49" t="s">
        <v>358</v>
      </c>
      <c r="AB4" s="49" t="s">
        <v>454</v>
      </c>
      <c r="AC4" s="49" t="s">
        <v>455</v>
      </c>
      <c r="AD4" s="49" t="s">
        <v>236</v>
      </c>
      <c r="AE4" s="516" t="s">
        <v>456</v>
      </c>
      <c r="AF4" s="516" t="s">
        <v>457</v>
      </c>
      <c r="AG4" s="49" t="s">
        <v>449</v>
      </c>
      <c r="AH4" s="49" t="s">
        <v>450</v>
      </c>
      <c r="AI4" s="49" t="s">
        <v>451</v>
      </c>
      <c r="AJ4" s="49" t="s">
        <v>452</v>
      </c>
      <c r="AK4" s="49" t="s">
        <v>453</v>
      </c>
    </row>
  </sheetData>
  <autoFilter ref="A4:AK4" xr:uid="{744ECA72-DAE3-4A7A-A4C5-263D8C6C153F}"/>
  <mergeCells count="4">
    <mergeCell ref="I3:N3"/>
    <mergeCell ref="O3:T3"/>
    <mergeCell ref="U3:Z3"/>
    <mergeCell ref="AA3:AF3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Settings</vt:lpstr>
      <vt:lpstr>QTY 1</vt:lpstr>
      <vt:lpstr>QTY 2</vt:lpstr>
      <vt:lpstr>QTY 3</vt:lpstr>
      <vt:lpstr>QTY 4</vt:lpstr>
      <vt:lpstr>final</vt:lpstr>
      <vt:lpstr>Quotation Temp</vt:lpstr>
      <vt:lpstr>Summary</vt:lpstr>
      <vt:lpstr>'Quotation Temp'!Print_Area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anasp</dc:creator>
  <cp:lastModifiedBy>Piyush Tayal</cp:lastModifiedBy>
  <cp:lastPrinted>2026-01-06T18:06:01Z</cp:lastPrinted>
  <dcterms:created xsi:type="dcterms:W3CDTF">2020-09-04T10:31:06Z</dcterms:created>
  <dcterms:modified xsi:type="dcterms:W3CDTF">2026-02-18T10:06:51Z</dcterms:modified>
</cp:coreProperties>
</file>