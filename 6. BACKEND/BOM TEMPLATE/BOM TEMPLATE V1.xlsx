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0a20872ddba06d/Desktop one drive/RS Master/6. BACKEND/BOM TEMPLATE/"/>
    </mc:Choice>
  </mc:AlternateContent>
  <xr:revisionPtr revIDLastSave="1" documentId="8_{C55BC98B-51B6-4D10-9AFF-43AD5F4330A2}" xr6:coauthVersionLast="47" xr6:coauthVersionMax="47" xr10:uidLastSave="{5AB1CBE9-4D02-468E-A311-4A072ABC5371}"/>
  <bookViews>
    <workbookView xWindow="-108" yWindow="-108" windowWidth="23256" windowHeight="12456" xr2:uid="{F58EE0B6-F5E9-47D5-84A1-A9AB55ADED34}"/>
  </bookViews>
  <sheets>
    <sheet name="A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" l="1"/>
  <c r="AN6" i="1" s="1"/>
  <c r="AN8" i="1" s="1"/>
  <c r="AI4" i="1"/>
  <c r="AI6" i="1" s="1"/>
  <c r="AI8" i="1" s="1"/>
  <c r="AD4" i="1"/>
  <c r="AD6" i="1" s="1"/>
  <c r="AD8" i="1" s="1"/>
  <c r="Y4" i="1"/>
  <c r="Y6" i="1" s="1"/>
  <c r="Y8" i="1" s="1"/>
</calcChain>
</file>

<file path=xl/sharedStrings.xml><?xml version="1.0" encoding="utf-8"?>
<sst xmlns="http://schemas.openxmlformats.org/spreadsheetml/2006/main" count="89" uniqueCount="44">
  <si>
    <t>QTY #1</t>
  </si>
  <si>
    <t># of TH Pins</t>
  </si>
  <si>
    <t>QTY #2</t>
  </si>
  <si>
    <t>QTY #3</t>
  </si>
  <si>
    <t>QTY #4</t>
  </si>
  <si>
    <t>QTY 1</t>
  </si>
  <si>
    <t>QTY2</t>
  </si>
  <si>
    <t>QTY 3</t>
  </si>
  <si>
    <t>QTY 4</t>
  </si>
  <si>
    <t>Serial NO</t>
  </si>
  <si>
    <t>X Quant</t>
  </si>
  <si>
    <t>Extras</t>
  </si>
  <si>
    <t>Order Qty</t>
  </si>
  <si>
    <t>QTY</t>
  </si>
  <si>
    <t>R DES.</t>
  </si>
  <si>
    <t>CPC #</t>
  </si>
  <si>
    <t>Description</t>
  </si>
  <si>
    <t>Disrtib Part#</t>
  </si>
  <si>
    <t>MFR Name</t>
  </si>
  <si>
    <t>M CODES</t>
  </si>
  <si>
    <t>MFR</t>
  </si>
  <si>
    <t>PN to USE</t>
  </si>
  <si>
    <t>Unit Price</t>
  </si>
  <si>
    <t>Qty Available</t>
  </si>
  <si>
    <t>Distrib 1</t>
  </si>
  <si>
    <t>Distributor Part number</t>
  </si>
  <si>
    <t>Notes</t>
  </si>
  <si>
    <t>Stock Status</t>
  </si>
  <si>
    <t>TH Pins</t>
  </si>
  <si>
    <t>Extra</t>
  </si>
  <si>
    <t>QTY to order</t>
  </si>
  <si>
    <t>Ext price Units</t>
  </si>
  <si>
    <t>LCSC PN</t>
  </si>
  <si>
    <t>LCSC stock</t>
  </si>
  <si>
    <t>LCSC Unit price</t>
  </si>
  <si>
    <t>LCSC Ext Price</t>
  </si>
  <si>
    <t>Preferred Dist Ext Price</t>
  </si>
  <si>
    <t>Best Place to Buy</t>
  </si>
  <si>
    <t>Component Cost</t>
  </si>
  <si>
    <t>shipping</t>
  </si>
  <si>
    <t>Markup Amount</t>
  </si>
  <si>
    <t>Procurement Fee</t>
  </si>
  <si>
    <t>Total Price</t>
  </si>
  <si>
    <t>Next version will get blue cells from time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</si>
</sst>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 #,##0.00\ &quot;$&quot;"/>
    <numFmt numFmtId="165" formatCode="mm/dd/yyyy"/>
    <numFmt numFmtId="167" formatCode="#,##0.00\ &quot;$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63">
    <xf numFmtId="0" fontId="0" fillId="0" borderId="0" xfId="0"/>
    <xf numFmtId="0" fontId="3" fillId="0" borderId="0" xfId="3" applyAlignment="1">
      <alignment horizontal="left"/>
    </xf>
    <xf numFmtId="0" fontId="4" fillId="0" borderId="0" xfId="3" applyFont="1" applyAlignment="1">
      <alignment horizontal="left"/>
    </xf>
    <xf numFmtId="0" fontId="4" fillId="0" borderId="4" xfId="3" applyFont="1" applyBorder="1" applyAlignment="1">
      <alignment horizontal="left"/>
    </xf>
    <xf numFmtId="0" fontId="4" fillId="0" borderId="5" xfId="3" applyFont="1" applyBorder="1" applyAlignment="1">
      <alignment horizontal="left"/>
    </xf>
    <xf numFmtId="0" fontId="4" fillId="0" borderId="0" xfId="3" applyFont="1" applyAlignment="1">
      <alignment horizontal="center"/>
    </xf>
    <xf numFmtId="0" fontId="4" fillId="0" borderId="0" xfId="3" applyFont="1"/>
    <xf numFmtId="0" fontId="4" fillId="0" borderId="6" xfId="3" applyFont="1" applyBorder="1" applyAlignment="1">
      <alignment horizontal="right" vertical="center"/>
    </xf>
    <xf numFmtId="164" fontId="3" fillId="0" borderId="8" xfId="1" applyNumberFormat="1" applyFont="1" applyBorder="1" applyAlignment="1">
      <alignment horizontal="left" vertical="center"/>
    </xf>
    <xf numFmtId="0" fontId="3" fillId="0" borderId="0" xfId="3"/>
    <xf numFmtId="0" fontId="4" fillId="2" borderId="12" xfId="3" applyFont="1" applyFill="1" applyBorder="1" applyAlignment="1">
      <alignment horizontal="left"/>
    </xf>
    <xf numFmtId="0" fontId="3" fillId="0" borderId="13" xfId="3" applyBorder="1" applyAlignment="1">
      <alignment horizontal="left"/>
    </xf>
    <xf numFmtId="0" fontId="3" fillId="0" borderId="0" xfId="3" applyAlignment="1">
      <alignment horizontal="right"/>
    </xf>
    <xf numFmtId="164" fontId="4" fillId="0" borderId="0" xfId="3" applyNumberFormat="1" applyFont="1" applyAlignment="1">
      <alignment horizontal="left"/>
    </xf>
    <xf numFmtId="165" fontId="3" fillId="0" borderId="0" xfId="3" applyNumberFormat="1"/>
    <xf numFmtId="0" fontId="3" fillId="0" borderId="13" xfId="3" applyBorder="1"/>
    <xf numFmtId="0" fontId="4" fillId="3" borderId="20" xfId="3" applyFont="1" applyFill="1" applyBorder="1" applyAlignment="1">
      <alignment horizontal="left" vertical="center"/>
    </xf>
    <xf numFmtId="0" fontId="4" fillId="0" borderId="20" xfId="3" applyFont="1" applyBorder="1" applyAlignment="1">
      <alignment horizontal="left" vertical="center"/>
    </xf>
    <xf numFmtId="0" fontId="4" fillId="2" borderId="20" xfId="3" applyFont="1" applyFill="1" applyBorder="1" applyAlignment="1">
      <alignment horizontal="left" vertical="center"/>
    </xf>
    <xf numFmtId="0" fontId="4" fillId="4" borderId="20" xfId="3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4" fillId="3" borderId="20" xfId="3" applyFont="1" applyFill="1" applyBorder="1" applyAlignment="1">
      <alignment horizontal="left"/>
    </xf>
    <xf numFmtId="0" fontId="4" fillId="2" borderId="20" xfId="3" applyFont="1" applyFill="1" applyBorder="1" applyAlignment="1">
      <alignment horizontal="left"/>
    </xf>
    <xf numFmtId="1" fontId="4" fillId="2" borderId="20" xfId="1" applyNumberFormat="1" applyFont="1" applyFill="1" applyBorder="1" applyAlignment="1">
      <alignment horizontal="left"/>
    </xf>
    <xf numFmtId="0" fontId="4" fillId="5" borderId="20" xfId="3" applyFont="1" applyFill="1" applyBorder="1" applyAlignment="1">
      <alignment horizontal="left"/>
    </xf>
    <xf numFmtId="1" fontId="4" fillId="5" borderId="20" xfId="1" applyNumberFormat="1" applyFont="1" applyFill="1" applyBorder="1" applyAlignment="1">
      <alignment horizontal="left"/>
    </xf>
    <xf numFmtId="0" fontId="4" fillId="6" borderId="20" xfId="3" applyFont="1" applyFill="1" applyBorder="1" applyAlignment="1">
      <alignment horizontal="left"/>
    </xf>
    <xf numFmtId="1" fontId="4" fillId="6" borderId="20" xfId="1" applyNumberFormat="1" applyFont="1" applyFill="1" applyBorder="1" applyAlignment="1">
      <alignment horizontal="left"/>
    </xf>
    <xf numFmtId="0" fontId="4" fillId="7" borderId="20" xfId="3" applyFont="1" applyFill="1" applyBorder="1" applyAlignment="1">
      <alignment horizontal="left"/>
    </xf>
    <xf numFmtId="1" fontId="4" fillId="7" borderId="20" xfId="1" applyNumberFormat="1" applyFont="1" applyFill="1" applyBorder="1" applyAlignment="1">
      <alignment horizontal="left"/>
    </xf>
    <xf numFmtId="0" fontId="4" fillId="0" borderId="20" xfId="3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3" borderId="1" xfId="0" applyFont="1" applyFill="1" applyBorder="1"/>
    <xf numFmtId="167" fontId="2" fillId="0" borderId="3" xfId="0" applyNumberFormat="1" applyFont="1" applyBorder="1"/>
    <xf numFmtId="0" fontId="0" fillId="3" borderId="21" xfId="0" applyFill="1" applyBorder="1"/>
    <xf numFmtId="44" fontId="0" fillId="0" borderId="22" xfId="1" applyFont="1" applyBorder="1"/>
    <xf numFmtId="9" fontId="0" fillId="8" borderId="0" xfId="2" applyFont="1" applyFill="1"/>
    <xf numFmtId="0" fontId="0" fillId="8" borderId="21" xfId="0" applyFill="1" applyBorder="1"/>
    <xf numFmtId="44" fontId="5" fillId="0" borderId="22" xfId="1" applyFont="1" applyBorder="1"/>
    <xf numFmtId="44" fontId="1" fillId="8" borderId="22" xfId="1" applyFill="1" applyBorder="1"/>
    <xf numFmtId="0" fontId="0" fillId="3" borderId="0" xfId="0" applyFill="1"/>
    <xf numFmtId="0" fontId="0" fillId="3" borderId="23" xfId="0" applyFill="1" applyBorder="1"/>
    <xf numFmtId="44" fontId="0" fillId="0" borderId="24" xfId="0" applyNumberFormat="1" applyBorder="1"/>
    <xf numFmtId="0" fontId="0" fillId="8" borderId="0" xfId="0" applyFill="1"/>
    <xf numFmtId="44" fontId="0" fillId="0" borderId="0" xfId="1" applyFont="1"/>
    <xf numFmtId="0" fontId="3" fillId="0" borderId="17" xfId="3" applyBorder="1" applyAlignment="1">
      <alignment horizontal="center"/>
    </xf>
    <xf numFmtId="0" fontId="3" fillId="0" borderId="18" xfId="3" applyBorder="1" applyAlignment="1">
      <alignment horizontal="center"/>
    </xf>
    <xf numFmtId="0" fontId="3" fillId="0" borderId="19" xfId="3" applyBorder="1" applyAlignment="1">
      <alignment horizontal="center"/>
    </xf>
    <xf numFmtId="0" fontId="4" fillId="0" borderId="14" xfId="3" applyFont="1" applyBorder="1" applyAlignment="1">
      <alignment horizontal="center"/>
    </xf>
    <xf numFmtId="0" fontId="4" fillId="0" borderId="15" xfId="3" applyFont="1" applyBorder="1" applyAlignment="1">
      <alignment horizontal="center"/>
    </xf>
    <xf numFmtId="0" fontId="4" fillId="0" borderId="16" xfId="3" applyFont="1" applyBorder="1" applyAlignment="1">
      <alignment horizontal="center"/>
    </xf>
    <xf numFmtId="0" fontId="4" fillId="0" borderId="1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6" xfId="3" applyFont="1" applyBorder="1" applyAlignment="1">
      <alignment horizontal="right" vertical="center"/>
    </xf>
    <xf numFmtId="0" fontId="4" fillId="0" borderId="7" xfId="3" applyFont="1" applyBorder="1" applyAlignment="1">
      <alignment horizontal="right" vertical="center"/>
    </xf>
    <xf numFmtId="0" fontId="3" fillId="0" borderId="9" xfId="3" applyBorder="1" applyAlignment="1">
      <alignment horizontal="center"/>
    </xf>
    <xf numFmtId="0" fontId="3" fillId="0" borderId="10" xfId="3" applyBorder="1" applyAlignment="1">
      <alignment horizontal="center"/>
    </xf>
    <xf numFmtId="0" fontId="3" fillId="0" borderId="11" xfId="3" applyBorder="1" applyAlignment="1">
      <alignment horizontal="center"/>
    </xf>
  </cellXfs>
  <cellStyles count="4">
    <cellStyle name="Currency" xfId="1" builtinId="4"/>
    <cellStyle name="Normal" xfId="0" builtinId="0"/>
    <cellStyle name="Normal 2" xfId="3" xr:uid="{B6996BF5-56E6-4676-ADD0-98F842E9A9EE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DAB2-ADC9-4056-BE72-9952E380DCBA}">
  <sheetPr codeName="Sheet34"/>
  <dimension ref="A1:BF12"/>
  <sheetViews>
    <sheetView tabSelected="1" zoomScale="70" zoomScaleNormal="70" workbookViewId="0">
      <selection activeCell="A3" sqref="A3"/>
    </sheetView>
  </sheetViews>
  <sheetFormatPr defaultRowHeight="14.4" x14ac:dyDescent="0.3"/>
  <cols>
    <col min="1" max="1" width="9.44140625" style="31" customWidth="1"/>
    <col min="2" max="2" width="8.44140625" style="32" bestFit="1" customWidth="1"/>
    <col min="3" max="3" width="7" style="33" bestFit="1" customWidth="1"/>
    <col min="4" max="4" width="9.5546875" style="32" bestFit="1" customWidth="1"/>
    <col min="5" max="5" width="14" style="31" bestFit="1" customWidth="1"/>
    <col min="6" max="6" width="9.44140625" style="31" bestFit="1" customWidth="1"/>
    <col min="7" max="7" width="13.5546875" style="31" bestFit="1" customWidth="1"/>
    <col min="8" max="8" width="37.44140625" style="31" customWidth="1"/>
    <col min="9" max="9" width="52.44140625" style="31" bestFit="1" customWidth="1"/>
    <col min="10" max="10" width="32" style="31" bestFit="1" customWidth="1"/>
    <col min="11" max="11" width="10.5546875" style="31" bestFit="1" customWidth="1"/>
    <col min="12" max="12" width="10.44140625" style="31" bestFit="1" customWidth="1"/>
    <col min="13" max="13" width="26.44140625" style="31" bestFit="1" customWidth="1"/>
    <col min="14" max="14" width="13.44140625" style="34" bestFit="1" customWidth="1"/>
    <col min="15" max="15" width="12.5546875" style="35" bestFit="1" customWidth="1"/>
    <col min="16" max="16" width="14.5546875" style="31" bestFit="1" customWidth="1"/>
    <col min="17" max="17" width="21.44140625" style="31" customWidth="1"/>
    <col min="18" max="19" width="10.44140625" style="31" bestFit="1" customWidth="1"/>
    <col min="20" max="21" width="10.5546875" bestFit="1" customWidth="1"/>
    <col min="22" max="22" width="7.44140625" bestFit="1" customWidth="1"/>
    <col min="23" max="23" width="15.5546875" bestFit="1" customWidth="1"/>
    <col min="24" max="24" width="12.5546875" bestFit="1" customWidth="1"/>
    <col min="25" max="25" width="17.5546875" bestFit="1" customWidth="1"/>
    <col min="26" max="26" width="10.5546875" bestFit="1" customWidth="1"/>
    <col min="27" max="27" width="7.44140625" bestFit="1" customWidth="1"/>
    <col min="28" max="28" width="15.5546875" bestFit="1" customWidth="1"/>
    <col min="29" max="29" width="12.5546875" style="48" bestFit="1" customWidth="1"/>
    <col min="30" max="30" width="17.5546875" bestFit="1" customWidth="1"/>
    <col min="31" max="31" width="10.5546875" bestFit="1" customWidth="1"/>
    <col min="32" max="32" width="7.44140625" bestFit="1" customWidth="1"/>
    <col min="33" max="33" width="15.5546875" bestFit="1" customWidth="1"/>
    <col min="34" max="34" width="12.5546875" bestFit="1" customWidth="1"/>
    <col min="35" max="35" width="17.5546875" style="48" bestFit="1" customWidth="1"/>
    <col min="36" max="36" width="10.5546875" bestFit="1" customWidth="1"/>
    <col min="37" max="37" width="7.44140625" bestFit="1" customWidth="1"/>
    <col min="38" max="38" width="15.5546875" style="48" bestFit="1" customWidth="1"/>
    <col min="39" max="39" width="12.5546875" bestFit="1" customWidth="1"/>
    <col min="40" max="40" width="18.5546875" bestFit="1" customWidth="1"/>
    <col min="42" max="42" width="9.5546875" bestFit="1" customWidth="1"/>
    <col min="43" max="43" width="13.44140625" bestFit="1" customWidth="1"/>
    <col min="44" max="44" width="12.44140625" bestFit="1" customWidth="1"/>
    <col min="45" max="45" width="20.44140625" bestFit="1" customWidth="1"/>
    <col min="46" max="46" width="15.44140625" bestFit="1" customWidth="1"/>
    <col min="47" max="47" width="13.44140625" bestFit="1" customWidth="1"/>
    <col min="48" max="48" width="12.44140625" bestFit="1" customWidth="1"/>
    <col min="49" max="49" width="20.44140625" bestFit="1" customWidth="1"/>
    <col min="50" max="50" width="15.44140625" bestFit="1" customWidth="1"/>
    <col min="51" max="51" width="13.44140625" bestFit="1" customWidth="1"/>
    <col min="52" max="52" width="12.44140625" bestFit="1" customWidth="1"/>
    <col min="53" max="53" width="20.44140625" bestFit="1" customWidth="1"/>
    <col min="54" max="54" width="15.44140625" bestFit="1" customWidth="1"/>
    <col min="55" max="55" width="13.44140625" bestFit="1" customWidth="1"/>
    <col min="56" max="56" width="12.44140625" bestFit="1" customWidth="1"/>
    <col min="57" max="57" width="20.44140625" bestFit="1" customWidth="1"/>
    <col min="58" max="58" width="15.44140625" bestFit="1" customWidth="1"/>
  </cols>
  <sheetData>
    <row r="1" spans="1:58" s="9" customFormat="1" ht="15" thickBot="1" x14ac:dyDescent="0.35">
      <c r="A1" s="1"/>
      <c r="B1" s="55" t="s">
        <v>0</v>
      </c>
      <c r="C1" s="56"/>
      <c r="D1" s="57"/>
      <c r="E1" s="2"/>
      <c r="F1" s="2"/>
      <c r="G1" s="2"/>
      <c r="H1" s="2"/>
      <c r="I1" s="2"/>
      <c r="J1" s="2"/>
      <c r="K1" s="3" t="s">
        <v>1</v>
      </c>
      <c r="L1" s="4"/>
      <c r="M1" s="1"/>
      <c r="N1" s="1"/>
      <c r="O1" s="2"/>
      <c r="P1" s="5"/>
      <c r="Q1" s="5"/>
      <c r="R1" s="5"/>
      <c r="S1" s="5"/>
      <c r="T1" s="6"/>
      <c r="U1" s="58"/>
      <c r="V1" s="59"/>
      <c r="W1" s="8"/>
      <c r="X1" s="7"/>
      <c r="Y1" s="8"/>
      <c r="Z1" s="58"/>
      <c r="AA1" s="59"/>
      <c r="AB1" s="8"/>
      <c r="AC1" s="7"/>
      <c r="AD1" s="8"/>
      <c r="AE1" s="58"/>
      <c r="AF1" s="59"/>
      <c r="AG1" s="8"/>
      <c r="AH1" s="7"/>
      <c r="AI1" s="8"/>
      <c r="AJ1" s="58"/>
      <c r="AK1" s="59"/>
      <c r="AL1" s="8"/>
      <c r="AM1" s="7"/>
      <c r="AN1" s="8"/>
    </row>
    <row r="2" spans="1:58" s="9" customFormat="1" x14ac:dyDescent="0.3">
      <c r="A2" s="1"/>
      <c r="B2" s="60">
        <v>0</v>
      </c>
      <c r="C2" s="61"/>
      <c r="D2" s="62"/>
      <c r="E2" s="1"/>
      <c r="F2" s="1"/>
      <c r="G2" s="1"/>
      <c r="H2" s="1"/>
      <c r="I2" s="1"/>
      <c r="J2" s="1"/>
      <c r="K2" s="10"/>
      <c r="L2" s="11"/>
      <c r="M2" s="6"/>
      <c r="N2" s="6"/>
      <c r="O2" s="12"/>
      <c r="P2" s="13"/>
      <c r="Q2" s="13"/>
      <c r="R2" s="13"/>
      <c r="S2" s="13"/>
      <c r="T2" s="14"/>
      <c r="U2" s="52" t="s">
        <v>0</v>
      </c>
      <c r="V2" s="53"/>
      <c r="W2" s="53"/>
      <c r="X2" s="53"/>
      <c r="Y2" s="54"/>
      <c r="Z2" s="52" t="s">
        <v>2</v>
      </c>
      <c r="AA2" s="53"/>
      <c r="AB2" s="53"/>
      <c r="AC2" s="53"/>
      <c r="AD2" s="54"/>
      <c r="AE2" s="52" t="s">
        <v>3</v>
      </c>
      <c r="AF2" s="53"/>
      <c r="AG2" s="53"/>
      <c r="AH2" s="53"/>
      <c r="AI2" s="54"/>
      <c r="AJ2" s="52" t="s">
        <v>4</v>
      </c>
      <c r="AK2" s="53"/>
      <c r="AL2" s="53"/>
      <c r="AM2" s="53"/>
      <c r="AN2" s="54"/>
      <c r="AO2" s="15"/>
      <c r="AQ2" s="49" t="s">
        <v>5</v>
      </c>
      <c r="AR2" s="50"/>
      <c r="AS2" s="50"/>
      <c r="AT2" s="51"/>
      <c r="AU2" s="49" t="s">
        <v>6</v>
      </c>
      <c r="AV2" s="50"/>
      <c r="AW2" s="50"/>
      <c r="AX2" s="51"/>
      <c r="AY2" s="49" t="s">
        <v>7</v>
      </c>
      <c r="AZ2" s="50"/>
      <c r="BA2" s="50"/>
      <c r="BB2" s="51"/>
      <c r="BC2" s="49" t="s">
        <v>8</v>
      </c>
      <c r="BD2" s="50"/>
      <c r="BE2" s="50"/>
      <c r="BF2" s="51"/>
    </row>
    <row r="3" spans="1:58" s="2" customFormat="1" ht="15" thickBot="1" x14ac:dyDescent="0.35">
      <c r="A3" s="16" t="s">
        <v>9</v>
      </c>
      <c r="B3" s="17" t="s">
        <v>10</v>
      </c>
      <c r="C3" s="17" t="s">
        <v>11</v>
      </c>
      <c r="D3" s="17" t="s">
        <v>12</v>
      </c>
      <c r="E3" s="18" t="s">
        <v>13</v>
      </c>
      <c r="F3" s="18" t="s">
        <v>14</v>
      </c>
      <c r="G3" s="18" t="s">
        <v>15</v>
      </c>
      <c r="H3" s="18" t="s">
        <v>16</v>
      </c>
      <c r="I3" s="18" t="s">
        <v>17</v>
      </c>
      <c r="J3" s="18" t="s">
        <v>18</v>
      </c>
      <c r="K3" s="19" t="s">
        <v>19</v>
      </c>
      <c r="L3" s="19" t="s">
        <v>20</v>
      </c>
      <c r="M3" s="19" t="s">
        <v>21</v>
      </c>
      <c r="N3" s="19" t="s">
        <v>22</v>
      </c>
      <c r="O3" s="19" t="s">
        <v>23</v>
      </c>
      <c r="P3" s="19" t="s">
        <v>24</v>
      </c>
      <c r="Q3" s="20" t="s">
        <v>25</v>
      </c>
      <c r="R3" s="20" t="s">
        <v>26</v>
      </c>
      <c r="S3" s="20" t="s">
        <v>27</v>
      </c>
      <c r="T3" s="21" t="s">
        <v>28</v>
      </c>
      <c r="U3" s="22" t="s">
        <v>10</v>
      </c>
      <c r="V3" s="22" t="s">
        <v>29</v>
      </c>
      <c r="W3" s="23" t="s">
        <v>30</v>
      </c>
      <c r="X3" s="22" t="s">
        <v>22</v>
      </c>
      <c r="Y3" s="22" t="s">
        <v>31</v>
      </c>
      <c r="Z3" s="24" t="s">
        <v>10</v>
      </c>
      <c r="AA3" s="24" t="s">
        <v>29</v>
      </c>
      <c r="AB3" s="25" t="s">
        <v>30</v>
      </c>
      <c r="AC3" s="24" t="s">
        <v>22</v>
      </c>
      <c r="AD3" s="24" t="s">
        <v>31</v>
      </c>
      <c r="AE3" s="26" t="s">
        <v>10</v>
      </c>
      <c r="AF3" s="26" t="s">
        <v>29</v>
      </c>
      <c r="AG3" s="27" t="s">
        <v>30</v>
      </c>
      <c r="AH3" s="26" t="s">
        <v>22</v>
      </c>
      <c r="AI3" s="26" t="s">
        <v>31</v>
      </c>
      <c r="AJ3" s="28" t="s">
        <v>10</v>
      </c>
      <c r="AK3" s="28" t="s">
        <v>29</v>
      </c>
      <c r="AL3" s="29" t="s">
        <v>30</v>
      </c>
      <c r="AM3" s="28" t="s">
        <v>22</v>
      </c>
      <c r="AN3" s="28" t="s">
        <v>31</v>
      </c>
      <c r="AO3" s="30" t="s">
        <v>32</v>
      </c>
      <c r="AP3" s="30" t="s">
        <v>33</v>
      </c>
      <c r="AQ3" s="30" t="s">
        <v>34</v>
      </c>
      <c r="AR3" s="30" t="s">
        <v>35</v>
      </c>
      <c r="AS3" s="30" t="s">
        <v>36</v>
      </c>
      <c r="AT3" s="30" t="s">
        <v>37</v>
      </c>
      <c r="AU3" s="30" t="s">
        <v>34</v>
      </c>
      <c r="AV3" s="30" t="s">
        <v>35</v>
      </c>
      <c r="AW3" s="30" t="s">
        <v>36</v>
      </c>
      <c r="AX3" s="30" t="s">
        <v>37</v>
      </c>
      <c r="AY3" s="30" t="s">
        <v>34</v>
      </c>
      <c r="AZ3" s="30" t="s">
        <v>35</v>
      </c>
      <c r="BA3" s="30" t="s">
        <v>36</v>
      </c>
      <c r="BB3" s="30" t="s">
        <v>37</v>
      </c>
      <c r="BC3" s="30" t="s">
        <v>34</v>
      </c>
      <c r="BD3" s="30" t="s">
        <v>35</v>
      </c>
      <c r="BE3" s="30" t="s">
        <v>36</v>
      </c>
      <c r="BF3" s="30" t="s">
        <v>37</v>
      </c>
    </row>
    <row r="4" spans="1:58" x14ac:dyDescent="0.3">
      <c r="X4" s="36" t="s">
        <v>38</v>
      </c>
      <c r="Y4" s="37" t="e">
        <f>SUM(#REF!)</f>
        <v>#REF!</v>
      </c>
      <c r="AC4" s="36" t="s">
        <v>38</v>
      </c>
      <c r="AD4" s="37" t="e">
        <f>SUM(#REF!)</f>
        <v>#REF!</v>
      </c>
      <c r="AH4" s="36" t="s">
        <v>38</v>
      </c>
      <c r="AI4" s="37" t="e">
        <f>SUM(#REF!)</f>
        <v>#REF!</v>
      </c>
      <c r="AL4"/>
      <c r="AM4" s="36" t="s">
        <v>38</v>
      </c>
      <c r="AN4" s="37" t="e">
        <f>SUM(#REF!)</f>
        <v>#REF!</v>
      </c>
    </row>
    <row r="5" spans="1:58" x14ac:dyDescent="0.3">
      <c r="X5" s="38" t="s">
        <v>39</v>
      </c>
      <c r="Y5" s="39">
        <v>200</v>
      </c>
      <c r="AC5" s="38" t="s">
        <v>39</v>
      </c>
      <c r="AD5" s="39">
        <v>200</v>
      </c>
      <c r="AH5" s="38" t="s">
        <v>39</v>
      </c>
      <c r="AI5" s="39">
        <v>200</v>
      </c>
      <c r="AL5"/>
      <c r="AM5" s="38" t="s">
        <v>39</v>
      </c>
      <c r="AN5" s="39">
        <v>200</v>
      </c>
    </row>
    <row r="6" spans="1:58" x14ac:dyDescent="0.3">
      <c r="W6" s="40">
        <v>0.3</v>
      </c>
      <c r="X6" s="41" t="s">
        <v>40</v>
      </c>
      <c r="Y6" s="42" t="e">
        <f>SUM(Y4:Y5)*W6</f>
        <v>#REF!</v>
      </c>
      <c r="AB6" s="40">
        <v>0.3</v>
      </c>
      <c r="AC6" s="41" t="s">
        <v>40</v>
      </c>
      <c r="AD6" s="42" t="e">
        <f>SUM(AD4:AD5)*AB6</f>
        <v>#REF!</v>
      </c>
      <c r="AG6" s="40">
        <v>0.3</v>
      </c>
      <c r="AH6" s="38" t="s">
        <v>40</v>
      </c>
      <c r="AI6" s="42" t="e">
        <f>SUM(AI4:AI5)*AG6</f>
        <v>#REF!</v>
      </c>
      <c r="AL6" s="40">
        <v>0.3</v>
      </c>
      <c r="AM6" s="38" t="s">
        <v>40</v>
      </c>
      <c r="AN6" s="42" t="e">
        <f>SUM(AN4:AN5)*AL6</f>
        <v>#REF!</v>
      </c>
    </row>
    <row r="7" spans="1:58" x14ac:dyDescent="0.3">
      <c r="X7" s="38" t="s">
        <v>41</v>
      </c>
      <c r="Y7" s="43"/>
      <c r="Z7" s="44"/>
      <c r="AC7" s="38" t="s">
        <v>41</v>
      </c>
      <c r="AD7" s="43"/>
      <c r="AE7" s="44"/>
      <c r="AH7" s="38" t="s">
        <v>41</v>
      </c>
      <c r="AI7" s="43"/>
      <c r="AJ7" s="44"/>
      <c r="AL7"/>
      <c r="AM7" s="38" t="s">
        <v>41</v>
      </c>
      <c r="AN7" s="43"/>
      <c r="AO7" s="44"/>
    </row>
    <row r="8" spans="1:58" ht="15" thickBot="1" x14ac:dyDescent="0.35">
      <c r="X8" s="45" t="s">
        <v>42</v>
      </c>
      <c r="Y8" s="46" t="e">
        <f>Y7+Y6+Y5+Y4</f>
        <v>#REF!</v>
      </c>
      <c r="AC8" s="45" t="s">
        <v>42</v>
      </c>
      <c r="AD8" s="46" t="e">
        <f>AD7+AD6+AD5+AD4</f>
        <v>#REF!</v>
      </c>
      <c r="AH8" s="45" t="s">
        <v>42</v>
      </c>
      <c r="AI8" s="46" t="e">
        <f>AI7+AI6+AI5+AI4</f>
        <v>#REF!</v>
      </c>
      <c r="AL8"/>
      <c r="AM8" s="45" t="s">
        <v>42</v>
      </c>
      <c r="AN8" s="46" t="e">
        <f>AN7+AN6+AN5+AN4</f>
        <v>#REF!</v>
      </c>
    </row>
    <row r="11" spans="1:58" x14ac:dyDescent="0.3">
      <c r="X11" s="47" t="s">
        <v>43</v>
      </c>
    </row>
    <row r="12" spans="1:58" x14ac:dyDescent="0.3">
      <c r="Y12" s="44"/>
    </row>
  </sheetData>
  <mergeCells count="18">
    <mergeCell ref="B2:D2"/>
    <mergeCell ref="U2:W2"/>
    <mergeCell ref="X2:Y2"/>
    <mergeCell ref="Z2:AB2"/>
    <mergeCell ref="AC2:AD2"/>
    <mergeCell ref="B1:D1"/>
    <mergeCell ref="U1:V1"/>
    <mergeCell ref="Z1:AA1"/>
    <mergeCell ref="AE1:AF1"/>
    <mergeCell ref="AJ1:AK1"/>
    <mergeCell ref="AY2:BB2"/>
    <mergeCell ref="BC2:BF2"/>
    <mergeCell ref="AE2:AG2"/>
    <mergeCell ref="AH2:AI2"/>
    <mergeCell ref="AJ2:AL2"/>
    <mergeCell ref="AM2:AN2"/>
    <mergeCell ref="AQ2:AT2"/>
    <mergeCell ref="AU2:AX2"/>
  </mergeCells>
  <conditionalFormatting sqref="I1:I2">
    <cfRule type="duplicateValues" dxfId="2" priority="1"/>
  </conditionalFormatting>
  <conditionalFormatting sqref="I3">
    <cfRule type="duplicateValues" dxfId="1" priority="2"/>
  </conditionalFormatting>
  <conditionalFormatting sqref="I4:I1048576"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Patel</dc:creator>
  <cp:lastModifiedBy>Anas Patel</cp:lastModifiedBy>
  <dcterms:created xsi:type="dcterms:W3CDTF">2024-10-11T13:01:01Z</dcterms:created>
  <dcterms:modified xsi:type="dcterms:W3CDTF">2024-10-11T13:04:25Z</dcterms:modified>
</cp:coreProperties>
</file>