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0a20872ddba06d/Desktop one drive/RS Master/6. BACKEND/BG FEEDERS/"/>
    </mc:Choice>
  </mc:AlternateContent>
  <xr:revisionPtr revIDLastSave="35304" documentId="13_ncr:1_{2176A91F-0922-4632-96C2-22D819F814D8}" xr6:coauthVersionLast="47" xr6:coauthVersionMax="47" xr10:uidLastSave="{57C3C312-8EE7-4C50-A552-260AE49C26CC}"/>
  <bookViews>
    <workbookView xWindow="28680" yWindow="-120" windowWidth="29040" windowHeight="15720" activeTab="4" xr2:uid="{9616390B-98E5-4A7C-BB05-668F6788242F}"/>
  </bookViews>
  <sheets>
    <sheet name="BG Dashboard" sheetId="1" r:id="rId1"/>
    <sheet name="BG Stock Log" sheetId="14" r:id="rId2"/>
    <sheet name="Physical Inventory Log" sheetId="16" state="hidden" r:id="rId3"/>
    <sheet name="affected parts calculation erro" sheetId="15" state="hidden" r:id="rId4"/>
    <sheet name="New BG List" sheetId="3" r:id="rId5"/>
    <sheet name="BG still need to buy" sheetId="4" state="hidden" r:id="rId6"/>
    <sheet name="Print Copy for Prod Poster" sheetId="5" state="hidden" r:id="rId7"/>
    <sheet name="Print Copy Prod Poster Simple" sheetId="9" state="hidden" r:id="rId8"/>
    <sheet name="Sheet2" sheetId="8" state="hidden" r:id="rId9"/>
    <sheet name="For labelling" sheetId="6" state="hidden" r:id="rId10"/>
    <sheet name="for labelling for print" sheetId="7" state="hidden" r:id="rId11"/>
    <sheet name="For verification" sheetId="12" state="hidden" r:id="rId12"/>
    <sheet name="For verification for print" sheetId="13" state="hidden" r:id="rId13"/>
    <sheet name="Sheet4" sheetId="10" state="hidden" r:id="rId14"/>
    <sheet name="Notes" sheetId="2" state="hidden" r:id="rId15"/>
  </sheets>
  <functionGroups builtInGroupCount="19"/>
  <definedNames>
    <definedName name="_xlnm._FilterDatabase" localSheetId="0" hidden="1">'BG Dashboard'!$A$3:$AA$290</definedName>
    <definedName name="_xlnm._FilterDatabase" localSheetId="5" hidden="1">'BG still need to buy'!$A$1:$AZ$46</definedName>
    <definedName name="_xlnm._FilterDatabase" localSheetId="1" hidden="1">'BG Stock Log'!$A$1:$L$3409</definedName>
    <definedName name="_xlnm._FilterDatabase" localSheetId="9" hidden="1">'For labelling'!$A$1:$O$185</definedName>
    <definedName name="_xlnm._FilterDatabase" localSheetId="10" hidden="1">'for labelling for print'!$A$1:$K$185</definedName>
    <definedName name="_xlnm._FilterDatabase" localSheetId="11" hidden="1">'For verification'!$A$1:$K$185</definedName>
    <definedName name="_xlnm._FilterDatabase" localSheetId="12" hidden="1">'For verification for print'!$B$1:$H$185</definedName>
    <definedName name="_xlnm._FilterDatabase" localSheetId="4" hidden="1">'New BG List'!$A$1:$Z$185</definedName>
    <definedName name="_xlnm._FilterDatabase" localSheetId="2" hidden="1">'Physical Inventory Log'!$A$1:$K$16</definedName>
    <definedName name="_xlnm._FilterDatabase" localSheetId="6" hidden="1">'Print Copy for Prod Poster'!$A$1:$H$185</definedName>
    <definedName name="_xlnm._FilterDatabase" localSheetId="7" hidden="1">'Print Copy Prod Poster Simple'!$B$1:$D$185</definedName>
    <definedName name="_xleta.SUM" hidden="1" xlm="1">#NAME?</definedName>
    <definedName name="_xlpm.filtered" hidden="1" xlm="1">#NAME?</definedName>
    <definedName name="_xlpm.partList" hidden="1" xlm="1">#NAME?</definedName>
    <definedName name="_xlpm.rangeC" hidden="1" xlm="1">#NAME?</definedName>
    <definedName name="_xlpm.rangeI" hidden="1" xlm="1">#NAME?</definedName>
    <definedName name="_xlpm.searchPN" hidden="1" xlm="1">#NAME?</definedName>
    <definedName name="_xlpm.supplierList" hidden="1" xlm="1">#NAME?</definedName>
    <definedName name="BG_C_Column">INDEX('BG Stock Log'!$C:$C, 2):INDEX('BG Stock Log'!$C:$C, MATCH("zzzz", 'BG Stock Log'!$C:$C))</definedName>
    <definedName name="BG_I_Column">INDEX('BG Stock Log'!$I:$I, 2):INDEX('BG Stock Log'!$I:$I, MATCH("zzzz", 'BG Stock Log'!$I:$I))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1" i="1" l="1"/>
  <c r="G290" i="1"/>
  <c r="G6" i="1"/>
  <c r="H17" i="16"/>
  <c r="H16" i="16"/>
  <c r="J16" i="16"/>
  <c r="H3" i="16"/>
  <c r="J3" i="16"/>
  <c r="H4" i="16"/>
  <c r="J4" i="16"/>
  <c r="H5" i="16"/>
  <c r="J5" i="16"/>
  <c r="H6" i="16"/>
  <c r="J6" i="16"/>
  <c r="H7" i="16"/>
  <c r="J7" i="16"/>
  <c r="H8" i="16"/>
  <c r="J8" i="16"/>
  <c r="H9" i="16"/>
  <c r="J9" i="16"/>
  <c r="H10" i="16"/>
  <c r="J10" i="16"/>
  <c r="H11" i="16"/>
  <c r="J11" i="16"/>
  <c r="H12" i="16"/>
  <c r="J12" i="16"/>
  <c r="H13" i="16"/>
  <c r="J13" i="16"/>
  <c r="H14" i="16"/>
  <c r="J14" i="16"/>
  <c r="H15" i="16"/>
  <c r="J15" i="16"/>
  <c r="H2" i="16"/>
  <c r="J2" i="16"/>
  <c r="G5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Z153" i="1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Z177" i="1" s="1"/>
  <c r="G178" i="1"/>
  <c r="G179" i="1"/>
  <c r="G180" i="1"/>
  <c r="G181" i="1"/>
  <c r="G182" i="1"/>
  <c r="G183" i="1"/>
  <c r="G184" i="1"/>
  <c r="G185" i="1"/>
  <c r="G186" i="1"/>
  <c r="Z186" i="1" s="1"/>
  <c r="G187" i="1"/>
  <c r="G188" i="1"/>
  <c r="G189" i="1"/>
  <c r="Z189" i="1"/>
  <c r="G190" i="1"/>
  <c r="G191" i="1"/>
  <c r="Z191" i="1" s="1"/>
  <c r="G192" i="1"/>
  <c r="Z192" i="1" s="1"/>
  <c r="G193" i="1"/>
  <c r="Z193" i="1"/>
  <c r="G194" i="1"/>
  <c r="G195" i="1"/>
  <c r="G196" i="1"/>
  <c r="Z196" i="1" s="1"/>
  <c r="G197" i="1"/>
  <c r="G198" i="1"/>
  <c r="G199" i="1"/>
  <c r="Z199" i="1" s="1"/>
  <c r="G200" i="1"/>
  <c r="Z200" i="1"/>
  <c r="G201" i="1"/>
  <c r="Z201" i="1" s="1"/>
  <c r="G202" i="1"/>
  <c r="Z202" i="1" s="1"/>
  <c r="G203" i="1"/>
  <c r="Z203" i="1"/>
  <c r="G204" i="1"/>
  <c r="Z204" i="1"/>
  <c r="G205" i="1"/>
  <c r="Z205" i="1" s="1"/>
  <c r="G206" i="1"/>
  <c r="Z206" i="1" s="1"/>
  <c r="G207" i="1"/>
  <c r="Z207" i="1"/>
  <c r="G208" i="1"/>
  <c r="Z208" i="1" s="1"/>
  <c r="G209" i="1"/>
  <c r="Z209" i="1" s="1"/>
  <c r="G210" i="1"/>
  <c r="Z210" i="1" s="1"/>
  <c r="G211" i="1"/>
  <c r="Z211" i="1"/>
  <c r="G212" i="1"/>
  <c r="Z212" i="1"/>
  <c r="G213" i="1"/>
  <c r="Z213" i="1" s="1"/>
  <c r="G214" i="1"/>
  <c r="Z214" i="1"/>
  <c r="G215" i="1"/>
  <c r="Z215" i="1" s="1"/>
  <c r="G216" i="1"/>
  <c r="Z216" i="1" s="1"/>
  <c r="G217" i="1"/>
  <c r="Z217" i="1" s="1"/>
  <c r="G218" i="1"/>
  <c r="Z218" i="1" s="1"/>
  <c r="G219" i="1"/>
  <c r="Z219" i="1" s="1"/>
  <c r="G220" i="1"/>
  <c r="Z220" i="1" s="1"/>
  <c r="G221" i="1"/>
  <c r="Z221" i="1" s="1"/>
  <c r="G222" i="1"/>
  <c r="Z222" i="1"/>
  <c r="G223" i="1"/>
  <c r="Z223" i="1" s="1"/>
  <c r="G224" i="1"/>
  <c r="Z224" i="1"/>
  <c r="G225" i="1"/>
  <c r="Z225" i="1" s="1"/>
  <c r="G226" i="1"/>
  <c r="Z226" i="1" s="1"/>
  <c r="G227" i="1"/>
  <c r="Z227" i="1" s="1"/>
  <c r="G228" i="1"/>
  <c r="Z228" i="1" s="1"/>
  <c r="G229" i="1"/>
  <c r="Z229" i="1" s="1"/>
  <c r="G230" i="1"/>
  <c r="Z230" i="1" s="1"/>
  <c r="G231" i="1"/>
  <c r="Z231" i="1" s="1"/>
  <c r="G232" i="1"/>
  <c r="Z232" i="1" s="1"/>
  <c r="G233" i="1"/>
  <c r="Z233" i="1" s="1"/>
  <c r="G234" i="1"/>
  <c r="Z234" i="1" s="1"/>
  <c r="G235" i="1"/>
  <c r="Z235" i="1" s="1"/>
  <c r="G236" i="1"/>
  <c r="Z236" i="1" s="1"/>
  <c r="G237" i="1"/>
  <c r="Z237" i="1" s="1"/>
  <c r="G238" i="1"/>
  <c r="Z238" i="1" s="1"/>
  <c r="G239" i="1"/>
  <c r="Z239" i="1" s="1"/>
  <c r="G240" i="1"/>
  <c r="Z240" i="1" s="1"/>
  <c r="G241" i="1"/>
  <c r="Z241" i="1" s="1"/>
  <c r="G242" i="1"/>
  <c r="Z242" i="1" s="1"/>
  <c r="G243" i="1"/>
  <c r="Z243" i="1" s="1"/>
  <c r="G244" i="1"/>
  <c r="Z244" i="1" s="1"/>
  <c r="G245" i="1"/>
  <c r="Z245" i="1" s="1"/>
  <c r="G246" i="1"/>
  <c r="Z246" i="1" s="1"/>
  <c r="G247" i="1"/>
  <c r="Z247" i="1" s="1"/>
  <c r="G248" i="1"/>
  <c r="Z248" i="1" s="1"/>
  <c r="G249" i="1"/>
  <c r="Z249" i="1" s="1"/>
  <c r="G250" i="1"/>
  <c r="Z250" i="1" s="1"/>
  <c r="G251" i="1"/>
  <c r="Z251" i="1" s="1"/>
  <c r="G252" i="1"/>
  <c r="Z252" i="1" s="1"/>
  <c r="G253" i="1"/>
  <c r="Z253" i="1" s="1"/>
  <c r="G254" i="1"/>
  <c r="Z254" i="1" s="1"/>
  <c r="G255" i="1"/>
  <c r="Z255" i="1" s="1"/>
  <c r="G256" i="1"/>
  <c r="Z256" i="1" s="1"/>
  <c r="G257" i="1"/>
  <c r="Z257" i="1" s="1"/>
  <c r="G258" i="1"/>
  <c r="Z258" i="1" s="1"/>
  <c r="G259" i="1"/>
  <c r="Z259" i="1" s="1"/>
  <c r="G260" i="1"/>
  <c r="G261" i="1"/>
  <c r="G262" i="1"/>
  <c r="G263" i="1"/>
  <c r="G264" i="1"/>
  <c r="G265" i="1"/>
  <c r="G266" i="1"/>
  <c r="G267" i="1"/>
  <c r="G268" i="1"/>
  <c r="Z268" i="1" s="1"/>
  <c r="G269" i="1"/>
  <c r="Z269" i="1" s="1"/>
  <c r="G270" i="1"/>
  <c r="G271" i="1"/>
  <c r="G272" i="1"/>
  <c r="G273" i="1"/>
  <c r="G274" i="1"/>
  <c r="G275" i="1"/>
  <c r="G276" i="1"/>
  <c r="G277" i="1"/>
  <c r="G278" i="1"/>
  <c r="G279" i="1"/>
  <c r="G280" i="1"/>
  <c r="Z280" i="1" s="1"/>
  <c r="G281" i="1"/>
  <c r="Z281" i="1" s="1"/>
  <c r="G282" i="1"/>
  <c r="G283" i="1"/>
  <c r="G284" i="1"/>
  <c r="G285" i="1"/>
  <c r="G286" i="1"/>
  <c r="Z286" i="1" s="1"/>
  <c r="G287" i="1"/>
  <c r="G288" i="1"/>
  <c r="G289" i="1"/>
  <c r="Z289" i="1" s="1"/>
  <c r="G4" i="1"/>
  <c r="B289" i="1"/>
  <c r="K278" i="1"/>
  <c r="P278" i="1" a="1"/>
  <c r="P278" i="1" s="1"/>
  <c r="Q278" i="1"/>
  <c r="Y278" i="1"/>
  <c r="Y266" i="1"/>
  <c r="Q266" i="1"/>
  <c r="P266" i="1" a="1"/>
  <c r="P266" i="1" s="1"/>
  <c r="K266" i="1"/>
  <c r="K283" i="1"/>
  <c r="K264" i="1"/>
  <c r="Y269" i="1"/>
  <c r="Y281" i="1"/>
  <c r="Y280" i="1"/>
  <c r="Y289" i="1"/>
  <c r="Y286" i="1"/>
  <c r="Y268" i="1"/>
  <c r="Y283" i="1"/>
  <c r="Y264" i="1"/>
  <c r="Q283" i="1"/>
  <c r="Q264" i="1"/>
  <c r="P264" i="1" a="1"/>
  <c r="P264" i="1" s="1"/>
  <c r="P283" i="1" a="1"/>
  <c r="P283" i="1" s="1"/>
  <c r="Z80" i="1"/>
  <c r="Z91" i="1"/>
  <c r="Z180" i="1"/>
  <c r="Z190" i="1"/>
  <c r="Z197" i="1"/>
  <c r="Z83" i="1"/>
  <c r="Z90" i="1"/>
  <c r="Z138" i="1"/>
  <c r="Z143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9" i="1"/>
  <c r="Z181" i="1"/>
  <c r="Z182" i="1"/>
  <c r="Z183" i="1"/>
  <c r="Z184" i="1"/>
  <c r="Z187" i="1"/>
  <c r="Z79" i="1"/>
  <c r="Z82" i="1"/>
  <c r="Z85" i="1"/>
  <c r="Z89" i="1"/>
  <c r="Z119" i="1"/>
  <c r="Z121" i="1"/>
  <c r="Z125" i="1"/>
  <c r="Z126" i="1"/>
  <c r="Z128" i="1"/>
  <c r="Z130" i="1"/>
  <c r="Z135" i="1"/>
  <c r="Z159" i="1"/>
  <c r="Z160" i="1"/>
  <c r="Z161" i="1"/>
  <c r="Z73" i="1"/>
  <c r="Z81" i="1"/>
  <c r="Z88" i="1"/>
  <c r="Z93" i="1"/>
  <c r="Z94" i="1"/>
  <c r="Z99" i="1"/>
  <c r="Z104" i="1"/>
  <c r="Z105" i="1"/>
  <c r="Z118" i="1"/>
  <c r="Z122" i="1"/>
  <c r="Z124" i="1"/>
  <c r="Z129" i="1"/>
  <c r="Z131" i="1"/>
  <c r="Z132" i="1"/>
  <c r="Z134" i="1"/>
  <c r="Z141" i="1"/>
  <c r="Z142" i="1"/>
  <c r="Z156" i="1"/>
  <c r="Z175" i="1"/>
  <c r="Z176" i="1"/>
  <c r="Z178" i="1"/>
  <c r="Z195" i="1"/>
  <c r="Z198" i="1"/>
  <c r="Z139" i="1"/>
  <c r="Z86" i="1"/>
  <c r="Z116" i="1"/>
  <c r="Z151" i="1"/>
  <c r="Z148" i="1"/>
  <c r="Z146" i="1"/>
  <c r="Z77" i="1"/>
  <c r="Z92" i="1"/>
  <c r="Z150" i="1"/>
  <c r="Z100" i="1"/>
  <c r="Z101" i="1"/>
  <c r="Z110" i="1"/>
  <c r="Z74" i="1"/>
  <c r="Z84" i="1"/>
  <c r="Z117" i="1"/>
  <c r="Z162" i="1"/>
  <c r="Z185" i="1"/>
  <c r="Z137" i="1"/>
  <c r="Z145" i="1"/>
  <c r="Z123" i="1"/>
  <c r="Z154" i="1"/>
  <c r="Z75" i="1"/>
  <c r="Z155" i="1"/>
  <c r="Z140" i="1"/>
  <c r="Z107" i="1"/>
  <c r="Z113" i="1"/>
  <c r="Z78" i="1"/>
  <c r="Z76" i="1"/>
  <c r="Z115" i="1"/>
  <c r="Z149" i="1"/>
  <c r="Z127" i="1"/>
  <c r="Z106" i="1"/>
  <c r="Z108" i="1"/>
  <c r="Z109" i="1"/>
  <c r="Z133" i="1"/>
  <c r="Z114" i="1"/>
  <c r="Z147" i="1"/>
  <c r="Z98" i="1"/>
  <c r="Z111" i="1"/>
  <c r="Z136" i="1"/>
  <c r="Z120" i="1"/>
  <c r="Z97" i="1"/>
  <c r="Z112" i="1"/>
  <c r="Z95" i="1"/>
  <c r="Z103" i="1"/>
  <c r="Z158" i="1"/>
  <c r="Z96" i="1"/>
  <c r="Z102" i="1"/>
  <c r="Z188" i="1"/>
  <c r="Z194" i="1"/>
  <c r="Z87" i="1"/>
  <c r="Q80" i="1"/>
  <c r="Q91" i="1"/>
  <c r="Q180" i="1"/>
  <c r="Q190" i="1"/>
  <c r="Q197" i="1"/>
  <c r="Q83" i="1"/>
  <c r="Q90" i="1"/>
  <c r="Q138" i="1"/>
  <c r="Q143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7" i="1"/>
  <c r="Q179" i="1"/>
  <c r="Q181" i="1"/>
  <c r="Q182" i="1"/>
  <c r="Q183" i="1"/>
  <c r="Q184" i="1"/>
  <c r="Q186" i="1"/>
  <c r="Q187" i="1"/>
  <c r="Q189" i="1"/>
  <c r="Q191" i="1"/>
  <c r="Q196" i="1"/>
  <c r="Q199" i="1"/>
  <c r="Q201" i="1"/>
  <c r="Q202" i="1"/>
  <c r="Q206" i="1"/>
  <c r="Q208" i="1"/>
  <c r="Q209" i="1"/>
  <c r="Q210" i="1"/>
  <c r="Q211" i="1"/>
  <c r="Q212" i="1"/>
  <c r="Q214" i="1"/>
  <c r="Q215" i="1"/>
  <c r="Q216" i="1"/>
  <c r="Q217" i="1"/>
  <c r="Q218" i="1"/>
  <c r="Q220" i="1"/>
  <c r="Q221" i="1"/>
  <c r="Q222" i="1"/>
  <c r="Q223" i="1"/>
  <c r="Q224" i="1"/>
  <c r="Q227" i="1"/>
  <c r="Q235" i="1"/>
  <c r="Q79" i="1"/>
  <c r="Q82" i="1"/>
  <c r="Q85" i="1"/>
  <c r="Q89" i="1"/>
  <c r="Q251" i="1"/>
  <c r="Q119" i="1"/>
  <c r="Q121" i="1"/>
  <c r="Q125" i="1"/>
  <c r="Q126" i="1"/>
  <c r="Q128" i="1"/>
  <c r="Q130" i="1"/>
  <c r="Q135" i="1"/>
  <c r="Q159" i="1"/>
  <c r="Q160" i="1"/>
  <c r="Q161" i="1"/>
  <c r="Q207" i="1"/>
  <c r="Q73" i="1"/>
  <c r="Q81" i="1"/>
  <c r="Q88" i="1"/>
  <c r="Q93" i="1"/>
  <c r="Q94" i="1"/>
  <c r="Q99" i="1"/>
  <c r="Q104" i="1"/>
  <c r="Q105" i="1"/>
  <c r="Q118" i="1"/>
  <c r="Q122" i="1"/>
  <c r="Q124" i="1"/>
  <c r="Q129" i="1"/>
  <c r="Q131" i="1"/>
  <c r="Q132" i="1"/>
  <c r="Q134" i="1"/>
  <c r="Q141" i="1"/>
  <c r="Q142" i="1"/>
  <c r="Q153" i="1"/>
  <c r="Q156" i="1"/>
  <c r="Q175" i="1"/>
  <c r="Q176" i="1"/>
  <c r="Q178" i="1"/>
  <c r="Q192" i="1"/>
  <c r="Q195" i="1"/>
  <c r="Q198" i="1"/>
  <c r="Q200" i="1"/>
  <c r="Q219" i="1"/>
  <c r="Q231" i="1"/>
  <c r="Q232" i="1"/>
  <c r="Q234" i="1"/>
  <c r="Q237" i="1"/>
  <c r="Q238" i="1"/>
  <c r="Q239" i="1"/>
  <c r="Q253" i="1"/>
  <c r="Q139" i="1"/>
  <c r="Q86" i="1"/>
  <c r="Q116" i="1"/>
  <c r="Q241" i="1"/>
  <c r="Q151" i="1"/>
  <c r="Q148" i="1"/>
  <c r="Q146" i="1"/>
  <c r="Q77" i="1"/>
  <c r="Q92" i="1"/>
  <c r="Q250" i="1"/>
  <c r="Q248" i="1"/>
  <c r="Q255" i="1"/>
  <c r="Q150" i="1"/>
  <c r="Q213" i="1"/>
  <c r="Q100" i="1"/>
  <c r="Q205" i="1"/>
  <c r="Q101" i="1"/>
  <c r="Q110" i="1"/>
  <c r="Q74" i="1"/>
  <c r="Q84" i="1"/>
  <c r="Q257" i="1"/>
  <c r="Q117" i="1"/>
  <c r="Q162" i="1"/>
  <c r="Q259" i="1"/>
  <c r="Q249" i="1"/>
  <c r="Q242" i="1"/>
  <c r="Q185" i="1"/>
  <c r="Q137" i="1"/>
  <c r="Q145" i="1"/>
  <c r="Q123" i="1"/>
  <c r="Q154" i="1"/>
  <c r="Q75" i="1"/>
  <c r="Q155" i="1"/>
  <c r="Q254" i="1"/>
  <c r="Q140" i="1"/>
  <c r="Q107" i="1"/>
  <c r="Q113" i="1"/>
  <c r="Q78" i="1"/>
  <c r="Q252" i="1"/>
  <c r="Q244" i="1"/>
  <c r="Q76" i="1"/>
  <c r="Q115" i="1"/>
  <c r="Q149" i="1"/>
  <c r="Q246" i="1"/>
  <c r="Q256" i="1"/>
  <c r="Q258" i="1"/>
  <c r="Q127" i="1"/>
  <c r="Q106" i="1"/>
  <c r="Q108" i="1"/>
  <c r="Q109" i="1"/>
  <c r="Q133" i="1"/>
  <c r="Q114" i="1"/>
  <c r="Q147" i="1"/>
  <c r="Q98" i="1"/>
  <c r="Q111" i="1"/>
  <c r="Q236" i="1"/>
  <c r="Q136" i="1"/>
  <c r="Q245" i="1"/>
  <c r="Q240" i="1"/>
  <c r="Q120" i="1"/>
  <c r="Q97" i="1"/>
  <c r="Q112" i="1"/>
  <c r="Q247" i="1"/>
  <c r="Q95" i="1"/>
  <c r="Q243" i="1"/>
  <c r="Q233" i="1"/>
  <c r="Q103" i="1"/>
  <c r="Q158" i="1"/>
  <c r="Q96" i="1"/>
  <c r="Q102" i="1"/>
  <c r="Q188" i="1"/>
  <c r="Q229" i="1"/>
  <c r="Q228" i="1"/>
  <c r="Q226" i="1"/>
  <c r="Q230" i="1"/>
  <c r="Q225" i="1"/>
  <c r="Q194" i="1"/>
  <c r="Q204" i="1"/>
  <c r="Q193" i="1"/>
  <c r="Q203" i="1"/>
  <c r="Q269" i="1"/>
  <c r="Q281" i="1"/>
  <c r="Q280" i="1"/>
  <c r="Q289" i="1"/>
  <c r="Q286" i="1"/>
  <c r="Q268" i="1"/>
  <c r="Q87" i="1"/>
  <c r="P80" i="1" a="1"/>
  <c r="P80" i="1" s="1"/>
  <c r="P91" i="1" a="1"/>
  <c r="P91" i="1" s="1"/>
  <c r="P180" i="1" a="1"/>
  <c r="P180" i="1" s="1"/>
  <c r="P190" i="1" a="1"/>
  <c r="P190" i="1" s="1"/>
  <c r="P197" i="1" a="1"/>
  <c r="P197" i="1" s="1"/>
  <c r="P83" i="1" a="1"/>
  <c r="P83" i="1" s="1"/>
  <c r="P90" i="1" a="1"/>
  <c r="P90" i="1" s="1"/>
  <c r="P138" i="1" a="1"/>
  <c r="P138" i="1" s="1"/>
  <c r="P143" i="1" a="1"/>
  <c r="P143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7" i="1" a="1"/>
  <c r="P177" i="1" s="1"/>
  <c r="P179" i="1" a="1"/>
  <c r="P179" i="1" s="1"/>
  <c r="P181" i="1" a="1"/>
  <c r="P181" i="1" s="1"/>
  <c r="P182" i="1" a="1"/>
  <c r="P182" i="1" s="1"/>
  <c r="P183" i="1" a="1"/>
  <c r="P183" i="1" s="1"/>
  <c r="P184" i="1" a="1"/>
  <c r="P184" i="1" s="1"/>
  <c r="P186" i="1" a="1"/>
  <c r="P186" i="1" s="1"/>
  <c r="P187" i="1" a="1"/>
  <c r="P187" i="1" s="1"/>
  <c r="P189" i="1" a="1"/>
  <c r="P189" i="1" s="1"/>
  <c r="P191" i="1" a="1"/>
  <c r="P191" i="1" s="1"/>
  <c r="P196" i="1" a="1"/>
  <c r="P196" i="1" s="1"/>
  <c r="P199" i="1" a="1"/>
  <c r="P199" i="1" s="1"/>
  <c r="P201" i="1" a="1"/>
  <c r="P201" i="1" s="1"/>
  <c r="P202" i="1" a="1"/>
  <c r="P202" i="1" s="1"/>
  <c r="P206" i="1" a="1"/>
  <c r="P206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7" i="1" a="1"/>
  <c r="P227" i="1" s="1"/>
  <c r="P235" i="1" a="1"/>
  <c r="P235" i="1" s="1"/>
  <c r="P79" i="1" a="1"/>
  <c r="P79" i="1" s="1"/>
  <c r="P82" i="1" a="1"/>
  <c r="P82" i="1" s="1"/>
  <c r="P85" i="1" a="1"/>
  <c r="P85" i="1" s="1"/>
  <c r="P89" i="1" a="1"/>
  <c r="P89" i="1" s="1"/>
  <c r="P251" i="1" a="1"/>
  <c r="P251" i="1" s="1"/>
  <c r="P119" i="1" a="1"/>
  <c r="P119" i="1" s="1"/>
  <c r="P121" i="1" a="1"/>
  <c r="P121" i="1" s="1"/>
  <c r="P125" i="1" a="1"/>
  <c r="P125" i="1" s="1"/>
  <c r="P126" i="1" a="1"/>
  <c r="P126" i="1" s="1"/>
  <c r="P128" i="1" a="1"/>
  <c r="P128" i="1" s="1"/>
  <c r="P130" i="1" a="1"/>
  <c r="P130" i="1" s="1"/>
  <c r="P135" i="1" a="1"/>
  <c r="P135" i="1" s="1"/>
  <c r="P159" i="1" a="1"/>
  <c r="P159" i="1" s="1"/>
  <c r="P160" i="1" a="1"/>
  <c r="P160" i="1" s="1"/>
  <c r="P161" i="1" a="1"/>
  <c r="P161" i="1" s="1"/>
  <c r="P207" i="1" a="1"/>
  <c r="P207" i="1" s="1"/>
  <c r="P73" i="1" a="1"/>
  <c r="P73" i="1" s="1"/>
  <c r="P81" i="1" a="1"/>
  <c r="P81" i="1" s="1"/>
  <c r="P88" i="1" a="1"/>
  <c r="P88" i="1" s="1"/>
  <c r="P93" i="1" a="1"/>
  <c r="P93" i="1" s="1"/>
  <c r="P94" i="1" a="1"/>
  <c r="P94" i="1" s="1"/>
  <c r="P99" i="1" a="1"/>
  <c r="P99" i="1" s="1"/>
  <c r="P104" i="1" a="1"/>
  <c r="P104" i="1" s="1"/>
  <c r="P105" i="1" a="1"/>
  <c r="P105" i="1" s="1"/>
  <c r="P118" i="1" a="1"/>
  <c r="P118" i="1" s="1"/>
  <c r="P122" i="1" a="1"/>
  <c r="P122" i="1" s="1"/>
  <c r="P124" i="1" a="1"/>
  <c r="P124" i="1" s="1"/>
  <c r="P129" i="1" a="1"/>
  <c r="P129" i="1" s="1"/>
  <c r="P131" i="1" a="1"/>
  <c r="P131" i="1" s="1"/>
  <c r="P132" i="1" a="1"/>
  <c r="P132" i="1" s="1"/>
  <c r="P134" i="1" a="1"/>
  <c r="P134" i="1" s="1"/>
  <c r="P141" i="1" a="1"/>
  <c r="P141" i="1" s="1"/>
  <c r="P142" i="1" a="1"/>
  <c r="P142" i="1" s="1"/>
  <c r="P153" i="1" a="1"/>
  <c r="P153" i="1" s="1"/>
  <c r="P156" i="1" a="1"/>
  <c r="P156" i="1" s="1"/>
  <c r="P175" i="1" a="1"/>
  <c r="P175" i="1" s="1"/>
  <c r="P176" i="1" a="1"/>
  <c r="P176" i="1" s="1"/>
  <c r="P178" i="1" a="1"/>
  <c r="P178" i="1" s="1"/>
  <c r="P192" i="1" a="1"/>
  <c r="P192" i="1" s="1"/>
  <c r="P195" i="1" a="1"/>
  <c r="P195" i="1" s="1"/>
  <c r="P198" i="1" a="1"/>
  <c r="P198" i="1" s="1"/>
  <c r="P200" i="1" a="1"/>
  <c r="P200" i="1" s="1"/>
  <c r="P219" i="1" a="1"/>
  <c r="P219" i="1" s="1"/>
  <c r="P231" i="1" a="1"/>
  <c r="P231" i="1" s="1"/>
  <c r="P232" i="1" a="1"/>
  <c r="P232" i="1" s="1"/>
  <c r="P234" i="1" a="1"/>
  <c r="P234" i="1" s="1"/>
  <c r="P237" i="1" a="1"/>
  <c r="P237" i="1" s="1"/>
  <c r="P238" i="1" a="1"/>
  <c r="P238" i="1" s="1"/>
  <c r="P239" i="1" a="1"/>
  <c r="P239" i="1" s="1"/>
  <c r="P253" i="1" a="1"/>
  <c r="P253" i="1" s="1"/>
  <c r="P139" i="1" a="1"/>
  <c r="P139" i="1" s="1"/>
  <c r="P86" i="1" a="1"/>
  <c r="P86" i="1" s="1"/>
  <c r="P116" i="1" a="1"/>
  <c r="P116" i="1" s="1"/>
  <c r="P241" i="1" a="1"/>
  <c r="P241" i="1" s="1"/>
  <c r="P151" i="1" a="1"/>
  <c r="P151" i="1" s="1"/>
  <c r="P148" i="1" a="1"/>
  <c r="P148" i="1" s="1"/>
  <c r="P146" i="1" a="1"/>
  <c r="P146" i="1" s="1"/>
  <c r="P77" i="1" a="1"/>
  <c r="P77" i="1" s="1"/>
  <c r="P92" i="1" a="1"/>
  <c r="P92" i="1" s="1"/>
  <c r="P250" i="1" a="1"/>
  <c r="P250" i="1" s="1"/>
  <c r="P248" i="1" a="1"/>
  <c r="P248" i="1" s="1"/>
  <c r="P255" i="1" a="1"/>
  <c r="P255" i="1" s="1"/>
  <c r="P150" i="1" a="1"/>
  <c r="P150" i="1" s="1"/>
  <c r="P213" i="1" a="1"/>
  <c r="P213" i="1" s="1"/>
  <c r="P100" i="1" a="1"/>
  <c r="P100" i="1" s="1"/>
  <c r="P205" i="1" a="1"/>
  <c r="P205" i="1" s="1"/>
  <c r="P101" i="1" a="1"/>
  <c r="P101" i="1" s="1"/>
  <c r="P110" i="1" a="1"/>
  <c r="P110" i="1" s="1"/>
  <c r="P74" i="1" a="1"/>
  <c r="P74" i="1" s="1"/>
  <c r="P84" i="1" a="1"/>
  <c r="P84" i="1" s="1"/>
  <c r="P257" i="1" a="1"/>
  <c r="P257" i="1" s="1"/>
  <c r="P117" i="1" a="1"/>
  <c r="P117" i="1" s="1"/>
  <c r="P162" i="1" a="1"/>
  <c r="P162" i="1" s="1"/>
  <c r="P259" i="1" a="1"/>
  <c r="P259" i="1" s="1"/>
  <c r="P249" i="1" a="1"/>
  <c r="P249" i="1" s="1"/>
  <c r="P242" i="1" a="1"/>
  <c r="P242" i="1" s="1"/>
  <c r="P185" i="1" a="1"/>
  <c r="P185" i="1" s="1"/>
  <c r="P137" i="1" a="1"/>
  <c r="P137" i="1" s="1"/>
  <c r="P145" i="1" a="1"/>
  <c r="P145" i="1" s="1"/>
  <c r="P123" i="1" a="1"/>
  <c r="P123" i="1" s="1"/>
  <c r="P154" i="1" a="1"/>
  <c r="P154" i="1" s="1"/>
  <c r="P75" i="1" a="1"/>
  <c r="P75" i="1" s="1"/>
  <c r="P155" i="1" a="1"/>
  <c r="P155" i="1" s="1"/>
  <c r="P254" i="1" a="1"/>
  <c r="P254" i="1" s="1"/>
  <c r="P140" i="1" a="1"/>
  <c r="P140" i="1" s="1"/>
  <c r="P107" i="1" a="1"/>
  <c r="P107" i="1" s="1"/>
  <c r="P113" i="1" a="1"/>
  <c r="P113" i="1" s="1"/>
  <c r="P78" i="1" a="1"/>
  <c r="P78" i="1" s="1"/>
  <c r="P252" i="1" a="1"/>
  <c r="P252" i="1" s="1"/>
  <c r="P244" i="1" a="1"/>
  <c r="P244" i="1" s="1"/>
  <c r="P76" i="1" a="1"/>
  <c r="P76" i="1" s="1"/>
  <c r="P115" i="1" a="1"/>
  <c r="P115" i="1" s="1"/>
  <c r="P149" i="1" a="1"/>
  <c r="P149" i="1" s="1"/>
  <c r="P246" i="1" a="1"/>
  <c r="P246" i="1" s="1"/>
  <c r="P256" i="1" a="1"/>
  <c r="P256" i="1" s="1"/>
  <c r="P258" i="1" a="1"/>
  <c r="P258" i="1" s="1"/>
  <c r="P127" i="1" a="1"/>
  <c r="P127" i="1" s="1"/>
  <c r="P106" i="1" a="1"/>
  <c r="P106" i="1" s="1"/>
  <c r="P108" i="1" a="1"/>
  <c r="P108" i="1" s="1"/>
  <c r="P109" i="1" a="1"/>
  <c r="P109" i="1" s="1"/>
  <c r="P133" i="1" a="1"/>
  <c r="P133" i="1" s="1"/>
  <c r="P114" i="1" a="1"/>
  <c r="P114" i="1" s="1"/>
  <c r="P147" i="1" a="1"/>
  <c r="P147" i="1" s="1"/>
  <c r="P98" i="1" a="1"/>
  <c r="P98" i="1" s="1"/>
  <c r="P111" i="1" a="1"/>
  <c r="P111" i="1" s="1"/>
  <c r="P236" i="1" a="1"/>
  <c r="P236" i="1" s="1"/>
  <c r="P136" i="1" a="1"/>
  <c r="P136" i="1" s="1"/>
  <c r="P245" i="1" a="1"/>
  <c r="P245" i="1" s="1"/>
  <c r="P240" i="1" a="1"/>
  <c r="P240" i="1" s="1"/>
  <c r="P120" i="1" a="1"/>
  <c r="P120" i="1" s="1"/>
  <c r="P97" i="1" a="1"/>
  <c r="P97" i="1" s="1"/>
  <c r="P112" i="1" a="1"/>
  <c r="P112" i="1" s="1"/>
  <c r="P247" i="1" a="1"/>
  <c r="P247" i="1" s="1"/>
  <c r="P95" i="1" a="1"/>
  <c r="P95" i="1" s="1"/>
  <c r="P243" i="1" a="1"/>
  <c r="P243" i="1" s="1"/>
  <c r="P233" i="1" a="1"/>
  <c r="P233" i="1" s="1"/>
  <c r="P103" i="1" a="1"/>
  <c r="P103" i="1" s="1"/>
  <c r="P158" i="1" a="1"/>
  <c r="P158" i="1" s="1"/>
  <c r="P96" i="1" a="1"/>
  <c r="P96" i="1" s="1"/>
  <c r="P102" i="1" a="1"/>
  <c r="P102" i="1" s="1"/>
  <c r="P188" i="1" a="1"/>
  <c r="P188" i="1" s="1"/>
  <c r="P229" i="1" a="1"/>
  <c r="P229" i="1" s="1"/>
  <c r="P228" i="1" a="1"/>
  <c r="P228" i="1" s="1"/>
  <c r="P226" i="1" a="1"/>
  <c r="P226" i="1" s="1"/>
  <c r="P230" i="1" a="1"/>
  <c r="P230" i="1" s="1"/>
  <c r="P225" i="1" a="1"/>
  <c r="P225" i="1" s="1"/>
  <c r="P194" i="1" a="1"/>
  <c r="P194" i="1" s="1"/>
  <c r="P204" i="1" a="1"/>
  <c r="P204" i="1" s="1"/>
  <c r="P193" i="1" a="1"/>
  <c r="P193" i="1" s="1"/>
  <c r="P203" i="1" a="1"/>
  <c r="P203" i="1" s="1"/>
  <c r="P269" i="1" a="1"/>
  <c r="P269" i="1" s="1"/>
  <c r="P281" i="1" a="1"/>
  <c r="P281" i="1" s="1"/>
  <c r="P280" i="1" a="1"/>
  <c r="P280" i="1" s="1"/>
  <c r="P289" i="1" a="1"/>
  <c r="P289" i="1" s="1"/>
  <c r="P286" i="1" a="1"/>
  <c r="P286" i="1" s="1"/>
  <c r="P268" i="1" a="1"/>
  <c r="P268" i="1" s="1"/>
  <c r="P87" i="1" a="1"/>
  <c r="P87" i="1" s="1"/>
  <c r="K80" i="1"/>
  <c r="K91" i="1"/>
  <c r="K180" i="1"/>
  <c r="K190" i="1"/>
  <c r="K197" i="1"/>
  <c r="K83" i="1"/>
  <c r="K90" i="1"/>
  <c r="K138" i="1"/>
  <c r="K143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7" i="1"/>
  <c r="K179" i="1"/>
  <c r="K181" i="1"/>
  <c r="K182" i="1"/>
  <c r="K183" i="1"/>
  <c r="K184" i="1"/>
  <c r="K186" i="1"/>
  <c r="K187" i="1"/>
  <c r="K189" i="1"/>
  <c r="K191" i="1"/>
  <c r="K196" i="1"/>
  <c r="K199" i="1"/>
  <c r="K201" i="1"/>
  <c r="K202" i="1"/>
  <c r="K206" i="1"/>
  <c r="K208" i="1"/>
  <c r="K209" i="1"/>
  <c r="K210" i="1"/>
  <c r="K211" i="1"/>
  <c r="K212" i="1"/>
  <c r="K214" i="1"/>
  <c r="K215" i="1"/>
  <c r="K216" i="1"/>
  <c r="K217" i="1"/>
  <c r="K218" i="1"/>
  <c r="K220" i="1"/>
  <c r="K221" i="1"/>
  <c r="K222" i="1"/>
  <c r="K223" i="1"/>
  <c r="K224" i="1"/>
  <c r="K227" i="1"/>
  <c r="K235" i="1"/>
  <c r="K79" i="1"/>
  <c r="K82" i="1"/>
  <c r="K85" i="1"/>
  <c r="K89" i="1"/>
  <c r="K251" i="1"/>
  <c r="K119" i="1"/>
  <c r="K121" i="1"/>
  <c r="K125" i="1"/>
  <c r="K126" i="1"/>
  <c r="K128" i="1"/>
  <c r="K130" i="1"/>
  <c r="K135" i="1"/>
  <c r="K159" i="1"/>
  <c r="K160" i="1"/>
  <c r="K161" i="1"/>
  <c r="K207" i="1"/>
  <c r="K73" i="1"/>
  <c r="K81" i="1"/>
  <c r="K88" i="1"/>
  <c r="K93" i="1"/>
  <c r="K94" i="1"/>
  <c r="K99" i="1"/>
  <c r="K104" i="1"/>
  <c r="K105" i="1"/>
  <c r="K118" i="1"/>
  <c r="K122" i="1"/>
  <c r="K124" i="1"/>
  <c r="K129" i="1"/>
  <c r="K131" i="1"/>
  <c r="K132" i="1"/>
  <c r="K134" i="1"/>
  <c r="K141" i="1"/>
  <c r="K142" i="1"/>
  <c r="K153" i="1"/>
  <c r="K156" i="1"/>
  <c r="K175" i="1"/>
  <c r="K176" i="1"/>
  <c r="K178" i="1"/>
  <c r="K192" i="1"/>
  <c r="K195" i="1"/>
  <c r="K198" i="1"/>
  <c r="K200" i="1"/>
  <c r="K219" i="1"/>
  <c r="K231" i="1"/>
  <c r="K232" i="1"/>
  <c r="K234" i="1"/>
  <c r="K237" i="1"/>
  <c r="K238" i="1"/>
  <c r="K239" i="1"/>
  <c r="K253" i="1"/>
  <c r="K139" i="1"/>
  <c r="K86" i="1"/>
  <c r="K116" i="1"/>
  <c r="K241" i="1"/>
  <c r="K151" i="1"/>
  <c r="K148" i="1"/>
  <c r="K146" i="1"/>
  <c r="K77" i="1"/>
  <c r="K92" i="1"/>
  <c r="K250" i="1"/>
  <c r="K248" i="1"/>
  <c r="K255" i="1"/>
  <c r="K150" i="1"/>
  <c r="K213" i="1"/>
  <c r="K100" i="1"/>
  <c r="K205" i="1"/>
  <c r="K101" i="1"/>
  <c r="K110" i="1"/>
  <c r="K74" i="1"/>
  <c r="K84" i="1"/>
  <c r="K257" i="1"/>
  <c r="K117" i="1"/>
  <c r="K162" i="1"/>
  <c r="K259" i="1"/>
  <c r="K249" i="1"/>
  <c r="K242" i="1"/>
  <c r="K185" i="1"/>
  <c r="K137" i="1"/>
  <c r="K145" i="1"/>
  <c r="K123" i="1"/>
  <c r="K154" i="1"/>
  <c r="K75" i="1"/>
  <c r="K155" i="1"/>
  <c r="K254" i="1"/>
  <c r="K140" i="1"/>
  <c r="K107" i="1"/>
  <c r="K113" i="1"/>
  <c r="K78" i="1"/>
  <c r="K252" i="1"/>
  <c r="K244" i="1"/>
  <c r="K76" i="1"/>
  <c r="K115" i="1"/>
  <c r="K149" i="1"/>
  <c r="K246" i="1"/>
  <c r="K256" i="1"/>
  <c r="K258" i="1"/>
  <c r="K127" i="1"/>
  <c r="K106" i="1"/>
  <c r="K108" i="1"/>
  <c r="K109" i="1"/>
  <c r="K133" i="1"/>
  <c r="K114" i="1"/>
  <c r="K147" i="1"/>
  <c r="K98" i="1"/>
  <c r="K111" i="1"/>
  <c r="K236" i="1"/>
  <c r="K136" i="1"/>
  <c r="K245" i="1"/>
  <c r="K240" i="1"/>
  <c r="K120" i="1"/>
  <c r="K97" i="1"/>
  <c r="K112" i="1"/>
  <c r="K247" i="1"/>
  <c r="K95" i="1"/>
  <c r="K243" i="1"/>
  <c r="K233" i="1"/>
  <c r="K103" i="1"/>
  <c r="K158" i="1"/>
  <c r="K96" i="1"/>
  <c r="K102" i="1"/>
  <c r="K188" i="1"/>
  <c r="K229" i="1"/>
  <c r="K228" i="1"/>
  <c r="K226" i="1"/>
  <c r="K230" i="1"/>
  <c r="K225" i="1"/>
  <c r="K194" i="1"/>
  <c r="K204" i="1"/>
  <c r="K193" i="1"/>
  <c r="K203" i="1"/>
  <c r="K269" i="1"/>
  <c r="K281" i="1"/>
  <c r="K280" i="1"/>
  <c r="K289" i="1"/>
  <c r="K286" i="1"/>
  <c r="K268" i="1"/>
  <c r="K87" i="1"/>
  <c r="Y80" i="1"/>
  <c r="Y91" i="1"/>
  <c r="Y180" i="1"/>
  <c r="Y190" i="1"/>
  <c r="Y197" i="1"/>
  <c r="Y83" i="1"/>
  <c r="Y90" i="1"/>
  <c r="Y138" i="1"/>
  <c r="Y143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7" i="1"/>
  <c r="Y179" i="1"/>
  <c r="Y181" i="1"/>
  <c r="Y182" i="1"/>
  <c r="Y183" i="1"/>
  <c r="Y184" i="1"/>
  <c r="Y186" i="1"/>
  <c r="Y187" i="1"/>
  <c r="Y189" i="1"/>
  <c r="Y191" i="1"/>
  <c r="Y196" i="1"/>
  <c r="Y199" i="1"/>
  <c r="Y201" i="1"/>
  <c r="Y202" i="1"/>
  <c r="Y206" i="1"/>
  <c r="Y208" i="1"/>
  <c r="Y209" i="1"/>
  <c r="Y210" i="1"/>
  <c r="Y211" i="1"/>
  <c r="Y212" i="1"/>
  <c r="Y214" i="1"/>
  <c r="Y215" i="1"/>
  <c r="Y216" i="1"/>
  <c r="Y217" i="1"/>
  <c r="Y218" i="1"/>
  <c r="Y220" i="1"/>
  <c r="Y221" i="1"/>
  <c r="Y222" i="1"/>
  <c r="Y223" i="1"/>
  <c r="Y224" i="1"/>
  <c r="Y227" i="1"/>
  <c r="Y235" i="1"/>
  <c r="Y79" i="1"/>
  <c r="Y82" i="1"/>
  <c r="Y85" i="1"/>
  <c r="Y89" i="1"/>
  <c r="Y251" i="1"/>
  <c r="Y119" i="1"/>
  <c r="Y121" i="1"/>
  <c r="Y125" i="1"/>
  <c r="Y126" i="1"/>
  <c r="Y128" i="1"/>
  <c r="Y130" i="1"/>
  <c r="Y135" i="1"/>
  <c r="Y159" i="1"/>
  <c r="Y160" i="1"/>
  <c r="Y161" i="1"/>
  <c r="Y207" i="1"/>
  <c r="Y73" i="1"/>
  <c r="Y81" i="1"/>
  <c r="Y88" i="1"/>
  <c r="Y93" i="1"/>
  <c r="Y94" i="1"/>
  <c r="Y99" i="1"/>
  <c r="Y104" i="1"/>
  <c r="Y105" i="1"/>
  <c r="Y118" i="1"/>
  <c r="Y122" i="1"/>
  <c r="Y124" i="1"/>
  <c r="Y129" i="1"/>
  <c r="Y131" i="1"/>
  <c r="Y132" i="1"/>
  <c r="Y134" i="1"/>
  <c r="Y141" i="1"/>
  <c r="Y142" i="1"/>
  <c r="Y153" i="1"/>
  <c r="Y156" i="1"/>
  <c r="Y175" i="1"/>
  <c r="Y176" i="1"/>
  <c r="Y178" i="1"/>
  <c r="Y192" i="1"/>
  <c r="Y195" i="1"/>
  <c r="Y198" i="1"/>
  <c r="Y200" i="1"/>
  <c r="Y219" i="1"/>
  <c r="Y231" i="1"/>
  <c r="Y232" i="1"/>
  <c r="Y234" i="1"/>
  <c r="Y237" i="1"/>
  <c r="Y238" i="1"/>
  <c r="Y239" i="1"/>
  <c r="Y253" i="1"/>
  <c r="Y139" i="1"/>
  <c r="Y86" i="1"/>
  <c r="Y116" i="1"/>
  <c r="Y241" i="1"/>
  <c r="Y151" i="1"/>
  <c r="Y148" i="1"/>
  <c r="Y146" i="1"/>
  <c r="Y77" i="1"/>
  <c r="Y92" i="1"/>
  <c r="Y250" i="1"/>
  <c r="Y248" i="1"/>
  <c r="Y255" i="1"/>
  <c r="Y150" i="1"/>
  <c r="Y213" i="1"/>
  <c r="Y100" i="1"/>
  <c r="Y205" i="1"/>
  <c r="Y101" i="1"/>
  <c r="Y110" i="1"/>
  <c r="Y74" i="1"/>
  <c r="Y84" i="1"/>
  <c r="Y257" i="1"/>
  <c r="Y117" i="1"/>
  <c r="Y162" i="1"/>
  <c r="Y259" i="1"/>
  <c r="Y249" i="1"/>
  <c r="Y242" i="1"/>
  <c r="Y185" i="1"/>
  <c r="Y137" i="1"/>
  <c r="Y145" i="1"/>
  <c r="Y123" i="1"/>
  <c r="Y154" i="1"/>
  <c r="Y75" i="1"/>
  <c r="Y155" i="1"/>
  <c r="Y254" i="1"/>
  <c r="Y140" i="1"/>
  <c r="Y107" i="1"/>
  <c r="Y113" i="1"/>
  <c r="Y78" i="1"/>
  <c r="Y252" i="1"/>
  <c r="Y244" i="1"/>
  <c r="Y76" i="1"/>
  <c r="Y115" i="1"/>
  <c r="Y149" i="1"/>
  <c r="Y246" i="1"/>
  <c r="Y256" i="1"/>
  <c r="Y258" i="1"/>
  <c r="Y127" i="1"/>
  <c r="Y106" i="1"/>
  <c r="Y108" i="1"/>
  <c r="Y109" i="1"/>
  <c r="Y133" i="1"/>
  <c r="Y114" i="1"/>
  <c r="Y147" i="1"/>
  <c r="Y98" i="1"/>
  <c r="Y111" i="1"/>
  <c r="Y236" i="1"/>
  <c r="Y136" i="1"/>
  <c r="Y245" i="1"/>
  <c r="Y240" i="1"/>
  <c r="Y120" i="1"/>
  <c r="Y97" i="1"/>
  <c r="Y112" i="1"/>
  <c r="Y247" i="1"/>
  <c r="Y95" i="1"/>
  <c r="Y243" i="1"/>
  <c r="Y233" i="1"/>
  <c r="Y103" i="1"/>
  <c r="Y158" i="1"/>
  <c r="Y96" i="1"/>
  <c r="Y102" i="1"/>
  <c r="Y188" i="1"/>
  <c r="Y229" i="1"/>
  <c r="Y228" i="1"/>
  <c r="Y226" i="1"/>
  <c r="Y230" i="1"/>
  <c r="Y225" i="1"/>
  <c r="Y194" i="1"/>
  <c r="Y204" i="1"/>
  <c r="Y193" i="1"/>
  <c r="Y203" i="1"/>
  <c r="Y87" i="1"/>
  <c r="L80" i="1"/>
  <c r="M80" i="1"/>
  <c r="L91" i="1"/>
  <c r="M91" i="1"/>
  <c r="L180" i="1"/>
  <c r="M180" i="1"/>
  <c r="L190" i="1"/>
  <c r="M190" i="1"/>
  <c r="L197" i="1"/>
  <c r="M197" i="1"/>
  <c r="L83" i="1"/>
  <c r="M83" i="1"/>
  <c r="L90" i="1"/>
  <c r="M90" i="1"/>
  <c r="L138" i="1"/>
  <c r="M138" i="1"/>
  <c r="L143" i="1"/>
  <c r="M143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7" i="1"/>
  <c r="M177" i="1"/>
  <c r="L179" i="1"/>
  <c r="M179" i="1"/>
  <c r="L181" i="1"/>
  <c r="M181" i="1"/>
  <c r="L182" i="1"/>
  <c r="M182" i="1"/>
  <c r="L183" i="1"/>
  <c r="M183" i="1"/>
  <c r="L184" i="1"/>
  <c r="M184" i="1"/>
  <c r="L186" i="1"/>
  <c r="M186" i="1"/>
  <c r="L187" i="1"/>
  <c r="M187" i="1"/>
  <c r="L189" i="1"/>
  <c r="M189" i="1"/>
  <c r="L191" i="1"/>
  <c r="M191" i="1"/>
  <c r="L196" i="1"/>
  <c r="M196" i="1"/>
  <c r="L199" i="1"/>
  <c r="M199" i="1"/>
  <c r="L201" i="1"/>
  <c r="M201" i="1"/>
  <c r="L202" i="1"/>
  <c r="M202" i="1"/>
  <c r="L206" i="1"/>
  <c r="M206" i="1"/>
  <c r="L208" i="1"/>
  <c r="M208" i="1"/>
  <c r="L209" i="1"/>
  <c r="M209" i="1"/>
  <c r="L210" i="1"/>
  <c r="M210" i="1"/>
  <c r="L211" i="1"/>
  <c r="M211" i="1"/>
  <c r="L212" i="1"/>
  <c r="M212" i="1"/>
  <c r="L214" i="1"/>
  <c r="M214" i="1"/>
  <c r="L215" i="1"/>
  <c r="M215" i="1"/>
  <c r="L216" i="1"/>
  <c r="M216" i="1"/>
  <c r="L217" i="1"/>
  <c r="M217" i="1"/>
  <c r="L218" i="1"/>
  <c r="M218" i="1"/>
  <c r="L220" i="1"/>
  <c r="M220" i="1"/>
  <c r="L221" i="1"/>
  <c r="M221" i="1"/>
  <c r="L222" i="1"/>
  <c r="M222" i="1"/>
  <c r="L223" i="1"/>
  <c r="M223" i="1"/>
  <c r="L224" i="1"/>
  <c r="M224" i="1"/>
  <c r="L227" i="1"/>
  <c r="M227" i="1"/>
  <c r="L235" i="1"/>
  <c r="M235" i="1"/>
  <c r="L79" i="1"/>
  <c r="M79" i="1"/>
  <c r="L82" i="1"/>
  <c r="M82" i="1"/>
  <c r="L85" i="1"/>
  <c r="M85" i="1"/>
  <c r="L89" i="1"/>
  <c r="M89" i="1"/>
  <c r="L251" i="1"/>
  <c r="M251" i="1"/>
  <c r="L119" i="1"/>
  <c r="M119" i="1"/>
  <c r="L121" i="1"/>
  <c r="M121" i="1"/>
  <c r="L125" i="1"/>
  <c r="M125" i="1"/>
  <c r="L126" i="1"/>
  <c r="M126" i="1"/>
  <c r="L128" i="1"/>
  <c r="M128" i="1"/>
  <c r="L130" i="1"/>
  <c r="M130" i="1"/>
  <c r="L135" i="1"/>
  <c r="M135" i="1"/>
  <c r="L159" i="1"/>
  <c r="M159" i="1"/>
  <c r="L160" i="1"/>
  <c r="M160" i="1"/>
  <c r="L161" i="1"/>
  <c r="M161" i="1"/>
  <c r="L207" i="1"/>
  <c r="M207" i="1"/>
  <c r="L73" i="1"/>
  <c r="M73" i="1"/>
  <c r="L81" i="1"/>
  <c r="M81" i="1"/>
  <c r="L88" i="1"/>
  <c r="M88" i="1"/>
  <c r="L93" i="1"/>
  <c r="M93" i="1"/>
  <c r="L94" i="1"/>
  <c r="M94" i="1"/>
  <c r="L99" i="1"/>
  <c r="M99" i="1"/>
  <c r="L104" i="1"/>
  <c r="M104" i="1"/>
  <c r="L105" i="1"/>
  <c r="M105" i="1"/>
  <c r="L118" i="1"/>
  <c r="M118" i="1"/>
  <c r="L122" i="1"/>
  <c r="M122" i="1"/>
  <c r="L124" i="1"/>
  <c r="M124" i="1"/>
  <c r="L129" i="1"/>
  <c r="M129" i="1"/>
  <c r="L131" i="1"/>
  <c r="M131" i="1"/>
  <c r="L132" i="1"/>
  <c r="M132" i="1"/>
  <c r="L134" i="1"/>
  <c r="M134" i="1"/>
  <c r="L141" i="1"/>
  <c r="M141" i="1"/>
  <c r="L142" i="1"/>
  <c r="M142" i="1"/>
  <c r="L153" i="1"/>
  <c r="M153" i="1"/>
  <c r="L156" i="1"/>
  <c r="M156" i="1"/>
  <c r="L175" i="1"/>
  <c r="M175" i="1"/>
  <c r="L176" i="1"/>
  <c r="M176" i="1"/>
  <c r="L178" i="1"/>
  <c r="M178" i="1"/>
  <c r="L192" i="1"/>
  <c r="M192" i="1"/>
  <c r="L195" i="1"/>
  <c r="M195" i="1"/>
  <c r="L198" i="1"/>
  <c r="M198" i="1"/>
  <c r="L200" i="1"/>
  <c r="M200" i="1"/>
  <c r="L219" i="1"/>
  <c r="M219" i="1"/>
  <c r="L231" i="1"/>
  <c r="M231" i="1"/>
  <c r="L232" i="1"/>
  <c r="M232" i="1"/>
  <c r="L234" i="1"/>
  <c r="M234" i="1"/>
  <c r="L237" i="1"/>
  <c r="M237" i="1"/>
  <c r="L238" i="1"/>
  <c r="M238" i="1"/>
  <c r="L239" i="1"/>
  <c r="M239" i="1"/>
  <c r="L253" i="1"/>
  <c r="M253" i="1"/>
  <c r="L139" i="1"/>
  <c r="M139" i="1"/>
  <c r="L86" i="1"/>
  <c r="M86" i="1"/>
  <c r="L116" i="1"/>
  <c r="M116" i="1"/>
  <c r="L241" i="1"/>
  <c r="M241" i="1"/>
  <c r="L151" i="1"/>
  <c r="M151" i="1"/>
  <c r="L148" i="1"/>
  <c r="M148" i="1"/>
  <c r="L146" i="1"/>
  <c r="M146" i="1"/>
  <c r="L77" i="1"/>
  <c r="M77" i="1"/>
  <c r="L92" i="1"/>
  <c r="M92" i="1"/>
  <c r="L250" i="1"/>
  <c r="M250" i="1"/>
  <c r="L248" i="1"/>
  <c r="M248" i="1"/>
  <c r="L255" i="1"/>
  <c r="M255" i="1"/>
  <c r="L150" i="1"/>
  <c r="M150" i="1"/>
  <c r="L213" i="1"/>
  <c r="M213" i="1"/>
  <c r="L100" i="1"/>
  <c r="M100" i="1"/>
  <c r="L205" i="1"/>
  <c r="M205" i="1"/>
  <c r="L101" i="1"/>
  <c r="M101" i="1"/>
  <c r="L110" i="1"/>
  <c r="M110" i="1"/>
  <c r="L74" i="1"/>
  <c r="M74" i="1"/>
  <c r="L84" i="1"/>
  <c r="M84" i="1"/>
  <c r="L257" i="1"/>
  <c r="M257" i="1"/>
  <c r="L117" i="1"/>
  <c r="M117" i="1"/>
  <c r="L162" i="1"/>
  <c r="M162" i="1"/>
  <c r="L259" i="1"/>
  <c r="M259" i="1"/>
  <c r="L249" i="1"/>
  <c r="M249" i="1"/>
  <c r="L242" i="1"/>
  <c r="M242" i="1"/>
  <c r="L185" i="1"/>
  <c r="M185" i="1"/>
  <c r="L137" i="1"/>
  <c r="M137" i="1"/>
  <c r="L145" i="1"/>
  <c r="M145" i="1"/>
  <c r="L123" i="1"/>
  <c r="M123" i="1"/>
  <c r="L154" i="1"/>
  <c r="M154" i="1"/>
  <c r="L75" i="1"/>
  <c r="M75" i="1"/>
  <c r="L155" i="1"/>
  <c r="M155" i="1"/>
  <c r="L254" i="1"/>
  <c r="M254" i="1"/>
  <c r="L140" i="1"/>
  <c r="M140" i="1"/>
  <c r="L107" i="1"/>
  <c r="M107" i="1"/>
  <c r="L113" i="1"/>
  <c r="M113" i="1"/>
  <c r="L78" i="1"/>
  <c r="M78" i="1"/>
  <c r="L252" i="1"/>
  <c r="M252" i="1"/>
  <c r="L244" i="1"/>
  <c r="M244" i="1"/>
  <c r="L76" i="1"/>
  <c r="M76" i="1"/>
  <c r="L115" i="1"/>
  <c r="M115" i="1"/>
  <c r="L149" i="1"/>
  <c r="M149" i="1"/>
  <c r="L246" i="1"/>
  <c r="M246" i="1"/>
  <c r="L256" i="1"/>
  <c r="M256" i="1"/>
  <c r="L258" i="1"/>
  <c r="M258" i="1"/>
  <c r="L127" i="1"/>
  <c r="M127" i="1"/>
  <c r="L106" i="1"/>
  <c r="M106" i="1"/>
  <c r="L108" i="1"/>
  <c r="M108" i="1"/>
  <c r="L109" i="1"/>
  <c r="M109" i="1"/>
  <c r="L133" i="1"/>
  <c r="M133" i="1"/>
  <c r="L114" i="1"/>
  <c r="M114" i="1"/>
  <c r="L147" i="1"/>
  <c r="M147" i="1"/>
  <c r="L98" i="1"/>
  <c r="M98" i="1"/>
  <c r="L111" i="1"/>
  <c r="M111" i="1"/>
  <c r="L236" i="1"/>
  <c r="M236" i="1"/>
  <c r="L136" i="1"/>
  <c r="M136" i="1"/>
  <c r="L245" i="1"/>
  <c r="M245" i="1"/>
  <c r="L240" i="1"/>
  <c r="M240" i="1"/>
  <c r="L120" i="1"/>
  <c r="M120" i="1"/>
  <c r="L97" i="1"/>
  <c r="M97" i="1"/>
  <c r="L112" i="1"/>
  <c r="M112" i="1"/>
  <c r="L247" i="1"/>
  <c r="M247" i="1"/>
  <c r="L95" i="1"/>
  <c r="M95" i="1"/>
  <c r="L243" i="1"/>
  <c r="M243" i="1"/>
  <c r="L233" i="1"/>
  <c r="M233" i="1"/>
  <c r="L103" i="1"/>
  <c r="M103" i="1"/>
  <c r="L158" i="1"/>
  <c r="M158" i="1"/>
  <c r="L96" i="1"/>
  <c r="M96" i="1"/>
  <c r="L102" i="1"/>
  <c r="M102" i="1"/>
  <c r="L188" i="1"/>
  <c r="M188" i="1"/>
  <c r="L229" i="1"/>
  <c r="M229" i="1"/>
  <c r="L228" i="1"/>
  <c r="M228" i="1"/>
  <c r="L226" i="1"/>
  <c r="M226" i="1"/>
  <c r="L230" i="1"/>
  <c r="M230" i="1"/>
  <c r="L225" i="1"/>
  <c r="M225" i="1"/>
  <c r="L194" i="1"/>
  <c r="M194" i="1"/>
  <c r="L204" i="1"/>
  <c r="M204" i="1"/>
  <c r="L193" i="1"/>
  <c r="M193" i="1"/>
  <c r="L203" i="1"/>
  <c r="M203" i="1"/>
  <c r="M87" i="1"/>
  <c r="L87" i="1"/>
  <c r="U21" i="4"/>
  <c r="V21" i="4"/>
  <c r="U25" i="4"/>
  <c r="V25" i="4"/>
  <c r="AW25" i="4"/>
  <c r="AX25" i="4"/>
  <c r="U24" i="4"/>
  <c r="V24" i="4"/>
  <c r="U29" i="4"/>
  <c r="V29" i="4"/>
  <c r="U22" i="4"/>
  <c r="V22" i="4"/>
  <c r="AW22" i="4"/>
  <c r="AX22" i="4"/>
  <c r="U23" i="4"/>
  <c r="V23" i="4"/>
  <c r="AW23" i="4"/>
  <c r="AX23" i="4"/>
  <c r="AF30" i="4"/>
  <c r="AW30" i="4"/>
  <c r="AX30" i="4"/>
  <c r="AF24" i="4"/>
  <c r="AQ8" i="4"/>
  <c r="AR8" i="4"/>
  <c r="AW26" i="4"/>
  <c r="AX26" i="4"/>
  <c r="AW31" i="4"/>
  <c r="AX31" i="4"/>
  <c r="AW33" i="4"/>
  <c r="AX33" i="4"/>
  <c r="AN43" i="4"/>
  <c r="AN20" i="4"/>
  <c r="AN19" i="4"/>
  <c r="AN18" i="4"/>
  <c r="AN17" i="4"/>
  <c r="AN16" i="4"/>
  <c r="AN21" i="4"/>
  <c r="AN13" i="4"/>
  <c r="AN12" i="4"/>
  <c r="AN32" i="4"/>
  <c r="AN11" i="4"/>
  <c r="AW11" i="4"/>
  <c r="AX11" i="4"/>
  <c r="AN10" i="4"/>
  <c r="AN42" i="4"/>
  <c r="AN28" i="4"/>
  <c r="AN27" i="4"/>
  <c r="AN24" i="4"/>
  <c r="AN8" i="4"/>
  <c r="AN34" i="4"/>
  <c r="AN4" i="4"/>
  <c r="AN2" i="4"/>
  <c r="AJ12" i="4"/>
  <c r="AJ32" i="4"/>
  <c r="AJ7" i="4"/>
  <c r="AJ6" i="4"/>
  <c r="AJ19" i="4"/>
  <c r="AJ18" i="4"/>
  <c r="AJ16" i="4"/>
  <c r="AJ15" i="4"/>
  <c r="AJ14" i="4"/>
  <c r="AW14" i="4"/>
  <c r="AX14" i="4"/>
  <c r="AJ13" i="4"/>
  <c r="AJ10" i="4"/>
  <c r="AJ42" i="4"/>
  <c r="AJ28" i="4"/>
  <c r="AJ27" i="4"/>
  <c r="AJ24" i="4"/>
  <c r="AJ8" i="4"/>
  <c r="AJ46" i="4"/>
  <c r="AJ45" i="4"/>
  <c r="AW45" i="4"/>
  <c r="AX45" i="4"/>
  <c r="AV46" i="4"/>
  <c r="AV34" i="4"/>
  <c r="AV6" i="4"/>
  <c r="AV40" i="4"/>
  <c r="AV9" i="4"/>
  <c r="AV28" i="4"/>
  <c r="AV10" i="4"/>
  <c r="AV11" i="4"/>
  <c r="AV15" i="4"/>
  <c r="AV16" i="4"/>
  <c r="AV18" i="4"/>
  <c r="AV20" i="4"/>
  <c r="AR20" i="4"/>
  <c r="AR19" i="4"/>
  <c r="AR16" i="4"/>
  <c r="AR13" i="4"/>
  <c r="AR12" i="4"/>
  <c r="AR7" i="4"/>
  <c r="AR6" i="4"/>
  <c r="AR5" i="4"/>
  <c r="AR4" i="4"/>
  <c r="AR3" i="4"/>
  <c r="AR2" i="4"/>
  <c r="AR9" i="4"/>
  <c r="AR10" i="4"/>
  <c r="AR11" i="4"/>
  <c r="AR14" i="4"/>
  <c r="AR15" i="4"/>
  <c r="AR17" i="4"/>
  <c r="AR18" i="4"/>
  <c r="AW9" i="4"/>
  <c r="AX9" i="4"/>
  <c r="AV42" i="4"/>
  <c r="AV7" i="4"/>
  <c r="AV5" i="4"/>
  <c r="AV4" i="4"/>
  <c r="AF2" i="4"/>
  <c r="AF43" i="4"/>
  <c r="AF20" i="4"/>
  <c r="AF19" i="4"/>
  <c r="AF18" i="4"/>
  <c r="AF17" i="4"/>
  <c r="AF16" i="4"/>
  <c r="AF13" i="4"/>
  <c r="AF12" i="4"/>
  <c r="AF10" i="4"/>
  <c r="AF42" i="4"/>
  <c r="AF29" i="4"/>
  <c r="AF41" i="4"/>
  <c r="AW41" i="4"/>
  <c r="AX41" i="4"/>
  <c r="AF28" i="4"/>
  <c r="AF40" i="4"/>
  <c r="AF8" i="4"/>
  <c r="AF39" i="4"/>
  <c r="AW39" i="4"/>
  <c r="AX39" i="4"/>
  <c r="AF38" i="4"/>
  <c r="AF37" i="4"/>
  <c r="AF36" i="4"/>
  <c r="AF44" i="4"/>
  <c r="AW44" i="4"/>
  <c r="AF35" i="4"/>
  <c r="AF34" i="4"/>
  <c r="AF3" i="4"/>
  <c r="AW3" i="4"/>
  <c r="AD35" i="4"/>
  <c r="AD36" i="4"/>
  <c r="AD37" i="4"/>
  <c r="AD38" i="4"/>
  <c r="AD8" i="4"/>
  <c r="AD24" i="4"/>
  <c r="AD27" i="4"/>
  <c r="AD28" i="4"/>
  <c r="AD29" i="4"/>
  <c r="AD42" i="4"/>
  <c r="AD32" i="4"/>
  <c r="AW32" i="4"/>
  <c r="AX32" i="4"/>
  <c r="AD12" i="4"/>
  <c r="AD13" i="4"/>
  <c r="AD16" i="4"/>
  <c r="AD17" i="4"/>
  <c r="AD18" i="4"/>
  <c r="AD20" i="4"/>
  <c r="AD43" i="4"/>
  <c r="AW43" i="4"/>
  <c r="AX43" i="4"/>
  <c r="T43" i="4"/>
  <c r="T20" i="4"/>
  <c r="T19" i="4"/>
  <c r="T18" i="4"/>
  <c r="T17" i="4"/>
  <c r="T16" i="4"/>
  <c r="T21" i="4"/>
  <c r="T15" i="4"/>
  <c r="T14" i="4"/>
  <c r="T13" i="4"/>
  <c r="T12" i="4"/>
  <c r="T33" i="4"/>
  <c r="T32" i="4"/>
  <c r="T31" i="4"/>
  <c r="T11" i="4"/>
  <c r="T30" i="4"/>
  <c r="T10" i="4"/>
  <c r="T42" i="4"/>
  <c r="T29" i="4"/>
  <c r="T41" i="4"/>
  <c r="T28" i="4"/>
  <c r="T27" i="4"/>
  <c r="T9" i="4"/>
  <c r="T40" i="4"/>
  <c r="T26" i="4"/>
  <c r="T25" i="4"/>
  <c r="T24" i="4"/>
  <c r="T8" i="4"/>
  <c r="T39" i="4"/>
  <c r="T38" i="4"/>
  <c r="T37" i="4"/>
  <c r="T36" i="4"/>
  <c r="T44" i="4"/>
  <c r="T7" i="4"/>
  <c r="T23" i="4"/>
  <c r="T35" i="4"/>
  <c r="T6" i="4"/>
  <c r="T5" i="4"/>
  <c r="T34" i="4"/>
  <c r="T22" i="4"/>
  <c r="T46" i="4"/>
  <c r="T4" i="4"/>
  <c r="T45" i="4"/>
  <c r="T3" i="4"/>
  <c r="T2" i="4"/>
  <c r="W41" i="3"/>
  <c r="U62" i="3"/>
  <c r="U6" i="3"/>
  <c r="U25" i="3"/>
  <c r="U8" i="3"/>
  <c r="U5" i="3"/>
  <c r="U66" i="3"/>
  <c r="U30" i="3"/>
  <c r="U113" i="3"/>
  <c r="V113" i="3"/>
  <c r="W113" i="3"/>
  <c r="U78" i="3"/>
  <c r="U150" i="3"/>
  <c r="V150" i="3"/>
  <c r="W150" i="3"/>
  <c r="U76" i="3"/>
  <c r="V76" i="3"/>
  <c r="W76" i="3"/>
  <c r="U112" i="3"/>
  <c r="V112" i="3"/>
  <c r="W112" i="3"/>
  <c r="U138" i="3"/>
  <c r="V138" i="3"/>
  <c r="W138" i="3"/>
  <c r="U128" i="3"/>
  <c r="V128" i="3"/>
  <c r="W128" i="3"/>
  <c r="U93" i="3"/>
  <c r="V93" i="3"/>
  <c r="W93" i="3"/>
  <c r="U100" i="3"/>
  <c r="V100" i="3"/>
  <c r="W100" i="3"/>
  <c r="U134" i="3"/>
  <c r="V134" i="3"/>
  <c r="W134" i="3"/>
  <c r="U133" i="3"/>
  <c r="V133" i="3"/>
  <c r="W133" i="3"/>
  <c r="U135" i="3"/>
  <c r="V135" i="3"/>
  <c r="W135" i="3"/>
  <c r="U107" i="3"/>
  <c r="V107" i="3"/>
  <c r="W107" i="3"/>
  <c r="U92" i="3"/>
  <c r="V92" i="3"/>
  <c r="W92" i="3"/>
  <c r="U55" i="3"/>
  <c r="V55" i="3"/>
  <c r="W55" i="3"/>
  <c r="U103" i="3"/>
  <c r="V103" i="3"/>
  <c r="W103" i="3"/>
  <c r="U48" i="3"/>
  <c r="V48" i="3"/>
  <c r="W48" i="3"/>
  <c r="U101" i="3"/>
  <c r="U90" i="3"/>
  <c r="V90" i="3"/>
  <c r="W90" i="3"/>
  <c r="U59" i="3"/>
  <c r="V59" i="3"/>
  <c r="W59" i="3"/>
  <c r="U125" i="3"/>
  <c r="U57" i="3"/>
  <c r="U118" i="3"/>
  <c r="V118" i="3"/>
  <c r="W118" i="3"/>
  <c r="U61" i="3"/>
  <c r="U136" i="3"/>
  <c r="V136" i="3"/>
  <c r="W136" i="3"/>
  <c r="U119" i="3"/>
  <c r="V119" i="3"/>
  <c r="W119" i="3"/>
  <c r="U132" i="3"/>
  <c r="V132" i="3"/>
  <c r="W132" i="3"/>
  <c r="U126" i="3"/>
  <c r="V126" i="3"/>
  <c r="W126" i="3"/>
  <c r="U147" i="3"/>
  <c r="V147" i="3"/>
  <c r="W147" i="3"/>
  <c r="U127" i="3"/>
  <c r="V127" i="3"/>
  <c r="W127" i="3"/>
  <c r="U31" i="3"/>
  <c r="U80" i="3"/>
  <c r="U98" i="3"/>
  <c r="U50" i="3"/>
  <c r="U145" i="3"/>
  <c r="U151" i="3"/>
  <c r="U155" i="3"/>
  <c r="U156" i="3"/>
  <c r="U157" i="3"/>
  <c r="U176" i="3"/>
  <c r="U162" i="3"/>
  <c r="U165" i="3"/>
  <c r="U159" i="3"/>
  <c r="U182" i="3"/>
  <c r="U174" i="3"/>
  <c r="U178" i="3"/>
  <c r="U184" i="3"/>
  <c r="U168" i="3"/>
  <c r="U179" i="3"/>
  <c r="U185" i="3"/>
  <c r="U46" i="3"/>
  <c r="U70" i="3"/>
  <c r="U123" i="3"/>
  <c r="U11" i="3"/>
  <c r="U53" i="3"/>
  <c r="U86" i="3"/>
  <c r="U43" i="3"/>
  <c r="U99" i="3"/>
  <c r="U65" i="3"/>
  <c r="U115" i="3"/>
  <c r="U71" i="3"/>
  <c r="U16" i="3"/>
  <c r="U143" i="3"/>
  <c r="U95" i="3"/>
  <c r="U96" i="3"/>
  <c r="U56" i="3"/>
  <c r="U84" i="3"/>
  <c r="U12" i="3"/>
  <c r="U14" i="3"/>
  <c r="U45" i="3"/>
  <c r="U35" i="3"/>
  <c r="U27" i="3"/>
  <c r="U72" i="3"/>
  <c r="U60" i="3"/>
  <c r="U85" i="3"/>
  <c r="U18" i="3"/>
  <c r="U9" i="3"/>
  <c r="U23" i="3"/>
  <c r="U20" i="3"/>
  <c r="U36" i="3"/>
  <c r="U29" i="3"/>
  <c r="U154" i="3"/>
  <c r="U105" i="3"/>
  <c r="U89" i="3"/>
  <c r="U124" i="3"/>
  <c r="U32" i="3"/>
  <c r="U73" i="3"/>
  <c r="U88" i="3"/>
  <c r="U144" i="3"/>
  <c r="U51" i="3"/>
  <c r="U24" i="3"/>
  <c r="U28" i="3"/>
  <c r="U58" i="3"/>
  <c r="U37" i="3"/>
  <c r="U77" i="3"/>
  <c r="U54" i="3"/>
  <c r="U146" i="3"/>
  <c r="U130" i="3"/>
  <c r="U142" i="3"/>
  <c r="U87" i="3"/>
  <c r="U44" i="3"/>
  <c r="U114" i="3"/>
  <c r="U117" i="3"/>
  <c r="U47" i="3"/>
  <c r="U129" i="3"/>
  <c r="U34" i="3"/>
  <c r="U17" i="3"/>
  <c r="U10" i="3"/>
  <c r="U40" i="3"/>
  <c r="U13" i="3"/>
  <c r="U180" i="3"/>
  <c r="U171" i="3"/>
  <c r="U183" i="3"/>
  <c r="U160" i="3"/>
  <c r="U152" i="3"/>
  <c r="U158" i="3"/>
  <c r="U181" i="3"/>
  <c r="U177" i="3"/>
  <c r="U173" i="3"/>
  <c r="U170" i="3"/>
  <c r="U169" i="3"/>
  <c r="U167" i="3"/>
  <c r="U161" i="3"/>
  <c r="U166" i="3"/>
  <c r="U164" i="3"/>
  <c r="U172" i="3"/>
  <c r="U163" i="3"/>
  <c r="U64" i="3"/>
  <c r="U49" i="3"/>
  <c r="U67" i="3"/>
  <c r="U38" i="3"/>
  <c r="U97" i="3"/>
  <c r="U74" i="3"/>
  <c r="V74" i="3"/>
  <c r="W74" i="3"/>
  <c r="U52" i="3"/>
  <c r="V52" i="3"/>
  <c r="W52" i="3"/>
  <c r="U63" i="3"/>
  <c r="U22" i="3"/>
  <c r="U82" i="3"/>
  <c r="V82" i="3"/>
  <c r="W82" i="3"/>
  <c r="U122" i="3"/>
  <c r="V122" i="3"/>
  <c r="W122" i="3"/>
  <c r="U121" i="3"/>
  <c r="V121" i="3"/>
  <c r="W121" i="3"/>
  <c r="U79" i="3"/>
  <c r="U110" i="3"/>
  <c r="V110" i="3"/>
  <c r="W110" i="3"/>
  <c r="U106" i="3"/>
  <c r="U75" i="3"/>
  <c r="V75" i="3"/>
  <c r="W75" i="3"/>
  <c r="U81" i="3"/>
  <c r="V81" i="3"/>
  <c r="W81" i="3"/>
  <c r="U68" i="3"/>
  <c r="U116" i="3"/>
  <c r="U39" i="3"/>
  <c r="V39" i="3"/>
  <c r="W39" i="3"/>
  <c r="U42" i="3"/>
  <c r="V42" i="3"/>
  <c r="W42" i="3"/>
  <c r="U149" i="3"/>
  <c r="V149" i="3"/>
  <c r="W149" i="3"/>
  <c r="U83" i="3"/>
  <c r="V83" i="3"/>
  <c r="W83" i="3"/>
  <c r="U137" i="3"/>
  <c r="V137" i="3"/>
  <c r="W137" i="3"/>
  <c r="U102" i="3"/>
  <c r="V102" i="3"/>
  <c r="W102" i="3"/>
  <c r="U108" i="3"/>
  <c r="V108" i="3"/>
  <c r="W108" i="3"/>
  <c r="U26" i="3"/>
  <c r="V26" i="3"/>
  <c r="W26" i="3"/>
  <c r="U109" i="3"/>
  <c r="V109" i="3"/>
  <c r="W109" i="3"/>
  <c r="U148" i="3"/>
  <c r="V148" i="3"/>
  <c r="W148" i="3"/>
  <c r="U91" i="3"/>
  <c r="V91" i="3"/>
  <c r="W91" i="3"/>
  <c r="U120" i="3"/>
  <c r="V120" i="3"/>
  <c r="W120" i="3"/>
  <c r="U94" i="3"/>
  <c r="V94" i="3"/>
  <c r="W94" i="3"/>
  <c r="U139" i="3"/>
  <c r="V139" i="3"/>
  <c r="W139" i="3"/>
  <c r="U111" i="3"/>
  <c r="V111" i="3"/>
  <c r="W111" i="3"/>
  <c r="U140" i="3"/>
  <c r="V140" i="3"/>
  <c r="W140" i="3"/>
  <c r="U104" i="3"/>
  <c r="V104" i="3"/>
  <c r="W104" i="3"/>
  <c r="U131" i="3"/>
  <c r="U141" i="3"/>
  <c r="V141" i="3"/>
  <c r="W141" i="3"/>
  <c r="U3" i="3"/>
  <c r="U2" i="3"/>
  <c r="U69" i="3"/>
  <c r="U19" i="3"/>
  <c r="U4" i="3"/>
  <c r="U15" i="3"/>
  <c r="U21" i="3"/>
  <c r="U7" i="3"/>
  <c r="AA202" i="1" a="1"/>
  <c r="AA161" i="1" a="1"/>
  <c r="AA164" i="1" a="1"/>
  <c r="AA74" i="1" a="1"/>
  <c r="AA66" i="1" a="1"/>
  <c r="AA118" i="1" a="1"/>
  <c r="AA47" i="1" a="1"/>
  <c r="AA244" i="1" a="1"/>
  <c r="AA78" i="1" a="1"/>
  <c r="AA108" i="1" a="1"/>
  <c r="AA37" i="1" a="1"/>
  <c r="AA185" i="1" a="1"/>
  <c r="AA60" i="1" a="1"/>
  <c r="AA49" i="1" a="1"/>
  <c r="AA262" i="1" a="1"/>
  <c r="AA43" i="1" a="1"/>
  <c r="AA132" i="1" a="1"/>
  <c r="AA40" i="1" a="1"/>
  <c r="AA174" i="1" a="1"/>
  <c r="AA127" i="1" a="1"/>
  <c r="AA67" i="1" a="1"/>
  <c r="AA163" i="1" a="1"/>
  <c r="AA257" i="1" a="1"/>
  <c r="AA20" i="1" a="1"/>
  <c r="AA237" i="1" a="1"/>
  <c r="AA148" i="1" a="1"/>
  <c r="AA171" i="1" a="1"/>
  <c r="AA103" i="1" a="1"/>
  <c r="AA190" i="1" a="1"/>
  <c r="AA201" i="1" a="1"/>
  <c r="AA110" i="1" a="1"/>
  <c r="AA172" i="1" a="1"/>
  <c r="AA278" i="1" a="1"/>
  <c r="AA48" i="1" a="1"/>
  <c r="AA240" i="1" a="1"/>
  <c r="AA54" i="1" a="1"/>
  <c r="AA15" i="1" a="1"/>
  <c r="AA222" i="1" a="1"/>
  <c r="AA7" i="1" a="1"/>
  <c r="AA138" i="1" a="1"/>
  <c r="AA182" i="1" a="1"/>
  <c r="AA287" i="1" a="1"/>
  <c r="AA137" i="1" a="1"/>
  <c r="AA188" i="1" a="1"/>
  <c r="AA194" i="1" a="1"/>
  <c r="AA34" i="1" a="1"/>
  <c r="AA10" i="1" a="1"/>
  <c r="AA64" i="1" a="1"/>
  <c r="AA50" i="1" a="1"/>
  <c r="AA195" i="1" a="1"/>
  <c r="AA156" i="1" a="1"/>
  <c r="AA246" i="1" a="1"/>
  <c r="AA104" i="1" a="1"/>
  <c r="AA81" i="1" a="1"/>
  <c r="AA71" i="1" a="1"/>
  <c r="AA65" i="1" a="1"/>
  <c r="AA142" i="1" a="1"/>
  <c r="AA18" i="1" a="1"/>
  <c r="AA180" i="1" a="1"/>
  <c r="AA200" i="1" a="1"/>
  <c r="AA245" i="1" a="1"/>
  <c r="AA5" i="1" a="1"/>
  <c r="AA193" i="1" a="1"/>
  <c r="AA255" i="1" a="1"/>
  <c r="AA207" i="1" a="1"/>
  <c r="AA92" i="1" a="1"/>
  <c r="AA279" i="1" a="1"/>
  <c r="AA11" i="1" a="1"/>
  <c r="AA28" i="1" a="1"/>
  <c r="AA191" i="1" a="1"/>
  <c r="AA17" i="1" a="1"/>
  <c r="AA274" i="1" a="1"/>
  <c r="AA169" i="1" a="1"/>
  <c r="AA151" i="1" a="1"/>
  <c r="AA135" i="1" a="1"/>
  <c r="AA272" i="1" a="1"/>
  <c r="AA261" i="1" a="1"/>
  <c r="AA248" i="1" a="1"/>
  <c r="AA167" i="1" a="1"/>
  <c r="AA146" i="1" a="1"/>
  <c r="AA184" i="1" a="1"/>
  <c r="AA155" i="1" a="1"/>
  <c r="AA175" i="1" a="1"/>
  <c r="AA276" i="1" a="1"/>
  <c r="AA179" i="1" a="1"/>
  <c r="AA23" i="1" a="1"/>
  <c r="AA16" i="1" a="1"/>
  <c r="AA107" i="1" a="1"/>
  <c r="AA212" i="1" a="1"/>
  <c r="AA95" i="1" a="1"/>
  <c r="AA102" i="1" a="1"/>
  <c r="AA131" i="1" a="1"/>
  <c r="AA266" i="1" a="1"/>
  <c r="AA139" i="1" a="1"/>
  <c r="AA230" i="1" a="1"/>
  <c r="AA211" i="1" a="1"/>
  <c r="AA89" i="1" a="1"/>
  <c r="AA159" i="1" a="1"/>
  <c r="AA221" i="1" a="1"/>
  <c r="AA198" i="1" a="1"/>
  <c r="AA177" i="1" a="1"/>
  <c r="AA216" i="1" a="1"/>
  <c r="AA232" i="1" a="1"/>
  <c r="AA87" i="1" a="1"/>
  <c r="AA44" i="1" a="1"/>
  <c r="AA226" i="1" a="1"/>
  <c r="AA70" i="1" a="1"/>
  <c r="AA199" i="1" a="1"/>
  <c r="AA282" i="1" a="1"/>
  <c r="AA115" i="1" a="1"/>
  <c r="AA76" i="1" a="1"/>
  <c r="AA36" i="1" a="1"/>
  <c r="AA72" i="1" a="1"/>
  <c r="AA121" i="1" a="1"/>
  <c r="AA55" i="1" a="1"/>
  <c r="AA51" i="1" a="1"/>
  <c r="AA84" i="1" a="1"/>
  <c r="AA90" i="1" a="1"/>
  <c r="AA197" i="1" a="1"/>
  <c r="AA235" i="1" a="1"/>
  <c r="AA63" i="1" a="1"/>
  <c r="AA154" i="1" a="1"/>
  <c r="AA30" i="1" a="1"/>
  <c r="AA101" i="1" a="1"/>
  <c r="AA227" i="1" a="1"/>
  <c r="AA233" i="1" a="1"/>
  <c r="AA6" i="1" a="1"/>
  <c r="AA94" i="1" a="1"/>
  <c r="AA256" i="1" a="1"/>
  <c r="AA268" i="1" a="1"/>
  <c r="AA88" i="1" a="1"/>
  <c r="AA231" i="1" a="1"/>
  <c r="AA187" i="1" a="1"/>
  <c r="AA96" i="1" a="1"/>
  <c r="AA270" i="1" a="1"/>
  <c r="AA24" i="1" a="1"/>
  <c r="AA80" i="1" a="1"/>
  <c r="AA219" i="1" a="1"/>
  <c r="AA29" i="1" a="1"/>
  <c r="AA288" i="1" a="1"/>
  <c r="AA280" i="1" a="1"/>
  <c r="AA39" i="1" a="1"/>
  <c r="AA209" i="1" a="1"/>
  <c r="AA46" i="1" a="1"/>
  <c r="AA97" i="1" a="1"/>
  <c r="AA289" i="1" a="1"/>
  <c r="AA223" i="1" a="1"/>
  <c r="AA134" i="1" a="1"/>
  <c r="AA173" i="1" a="1"/>
  <c r="AA42" i="1" a="1"/>
  <c r="AA45" i="1" a="1"/>
  <c r="AA250" i="1" a="1"/>
  <c r="AA238" i="1" a="1"/>
  <c r="AA126" i="1" a="1"/>
  <c r="AA286" i="1" a="1"/>
  <c r="AA225" i="1" a="1"/>
  <c r="AA105" i="1" a="1"/>
  <c r="AA277" i="1" a="1"/>
  <c r="AA284" i="1" a="1"/>
  <c r="AA218" i="1" a="1"/>
  <c r="AA124" i="1" a="1"/>
  <c r="AA265" i="1" a="1"/>
  <c r="AA217" i="1" a="1"/>
  <c r="AA8" i="1" a="1"/>
  <c r="AA62" i="1" a="1"/>
  <c r="AA130" i="1" a="1"/>
  <c r="AA98" i="1" a="1"/>
  <c r="AA136" i="1" a="1"/>
  <c r="AA273" i="1" a="1"/>
  <c r="AA109" i="1" a="1"/>
  <c r="AA73" i="1" a="1"/>
  <c r="AA204" i="1" a="1"/>
  <c r="AA128" i="1" a="1"/>
  <c r="AA9" i="1" a="1"/>
  <c r="AA140" i="1" a="1"/>
  <c r="AA283" i="1" a="1"/>
  <c r="AA152" i="1" a="1"/>
  <c r="AA91" i="1" a="1"/>
  <c r="AA275" i="1" a="1"/>
  <c r="AA166" i="1" a="1"/>
  <c r="AA144" i="1" a="1"/>
  <c r="AA31" i="1" a="1"/>
  <c r="AA205" i="1" a="1"/>
  <c r="AA253" i="1" a="1"/>
  <c r="AA206" i="1" a="1"/>
  <c r="AA145" i="1" a="1"/>
  <c r="AA61" i="1" a="1"/>
  <c r="AA85" i="1" a="1"/>
  <c r="AA228" i="1" a="1"/>
  <c r="AA153" i="1" a="1"/>
  <c r="AA100" i="1" a="1"/>
  <c r="AA251" i="1" a="1"/>
  <c r="AA247" i="1" a="1"/>
  <c r="AA149" i="1" a="1"/>
  <c r="AA117" i="1" a="1"/>
  <c r="AA183" i="1" a="1"/>
  <c r="AA133" i="1" a="1"/>
  <c r="AA116" i="1" a="1"/>
  <c r="AA106" i="1" a="1"/>
  <c r="AA59" i="1" a="1"/>
  <c r="AA114" i="1" a="1"/>
  <c r="AA269" i="1" a="1"/>
  <c r="AA162" i="1" a="1"/>
  <c r="AA122" i="1" a="1"/>
  <c r="AA82" i="1" a="1"/>
  <c r="AA119" i="1" a="1"/>
  <c r="AA220" i="1" a="1"/>
  <c r="AA263" i="1" a="1"/>
  <c r="AA176" i="1" a="1"/>
  <c r="AA57" i="1" a="1"/>
  <c r="AA14" i="1" a="1"/>
  <c r="AA260" i="1" a="1"/>
  <c r="AA160" i="1" a="1"/>
  <c r="AA214" i="1" a="1"/>
  <c r="AA271" i="1" a="1"/>
  <c r="AA123" i="1" a="1"/>
  <c r="AA120" i="1" a="1"/>
  <c r="AA285" i="1" a="1"/>
  <c r="AA21" i="1" a="1"/>
  <c r="AA242" i="1" a="1"/>
  <c r="AA35" i="1" a="1"/>
  <c r="AA243" i="1" a="1"/>
  <c r="AA83" i="1" a="1"/>
  <c r="AA113" i="1" a="1"/>
  <c r="AA234" i="1" a="1"/>
  <c r="AA181" i="1" a="1"/>
  <c r="AA33" i="1" a="1"/>
  <c r="AA249" i="1" a="1"/>
  <c r="AA147" i="1" a="1"/>
  <c r="AA13" i="1" a="1"/>
  <c r="AA112" i="1" a="1"/>
  <c r="AA241" i="1" a="1"/>
  <c r="AA93" i="1" a="1"/>
  <c r="AA143" i="1" a="1"/>
  <c r="AA111" i="1" a="1"/>
  <c r="AA150" i="1" a="1"/>
  <c r="AA53" i="1" a="1"/>
  <c r="AA189" i="1" a="1"/>
  <c r="AA141" i="1" a="1"/>
  <c r="AA203" i="1" a="1"/>
  <c r="AA236" i="1" a="1"/>
  <c r="AA168" i="1" a="1"/>
  <c r="AA26" i="1" a="1"/>
  <c r="AA52" i="1" a="1"/>
  <c r="AA58" i="1" a="1"/>
  <c r="AA69" i="1" a="1"/>
  <c r="AA27" i="1" a="1"/>
  <c r="AA157" i="1" a="1"/>
  <c r="AA264" i="1" a="1"/>
  <c r="AA158" i="1" a="1"/>
  <c r="AA252" i="1" a="1"/>
  <c r="AA77" i="1" a="1"/>
  <c r="AA4" i="1" a="1"/>
  <c r="AA41" i="1" a="1"/>
  <c r="AA224" i="1" a="1"/>
  <c r="AA239" i="1" a="1"/>
  <c r="AA196" i="1" a="1"/>
  <c r="AA165" i="1" a="1"/>
  <c r="AA12" i="1" a="1"/>
  <c r="AA25" i="1" a="1"/>
  <c r="AA32" i="1" a="1"/>
  <c r="AA170" i="1" a="1"/>
  <c r="AA19" i="1" a="1"/>
  <c r="AA125" i="1" a="1"/>
  <c r="AA210" i="1" a="1"/>
  <c r="AA86" i="1" a="1"/>
  <c r="AA281" i="1" a="1"/>
  <c r="AA186" i="1" a="1"/>
  <c r="AA22" i="1" a="1"/>
  <c r="AA68" i="1" a="1"/>
  <c r="AA129" i="1" a="1"/>
  <c r="AA208" i="1" a="1"/>
  <c r="AA258" i="1" a="1"/>
  <c r="AA178" i="1" a="1"/>
  <c r="AA229" i="1" a="1"/>
  <c r="AA75" i="1" a="1"/>
  <c r="AA192" i="1" a="1"/>
  <c r="AA215" i="1" a="1"/>
  <c r="AA254" i="1" a="1"/>
  <c r="AA267" i="1" a="1"/>
  <c r="AA38" i="1" a="1"/>
  <c r="AA99" i="1" a="1"/>
  <c r="AA56" i="1" a="1"/>
  <c r="AA213" i="1" a="1"/>
  <c r="AA79" i="1" a="1"/>
  <c r="AA259" i="1" a="1"/>
  <c r="AW19" i="4"/>
  <c r="AX19" i="4"/>
  <c r="AW38" i="4"/>
  <c r="AX38" i="4"/>
  <c r="AW37" i="4"/>
  <c r="AX37" i="4"/>
  <c r="AW13" i="4"/>
  <c r="AX13" i="4"/>
  <c r="AW27" i="4"/>
  <c r="AX27" i="4"/>
  <c r="AW15" i="4"/>
  <c r="AX15" i="4"/>
  <c r="AW6" i="4"/>
  <c r="AX6" i="4"/>
  <c r="AW20" i="4"/>
  <c r="AX20" i="4"/>
  <c r="AW34" i="4"/>
  <c r="AX34" i="4"/>
  <c r="AW24" i="4"/>
  <c r="AX24" i="4"/>
  <c r="AW40" i="4"/>
  <c r="AX40" i="4"/>
  <c r="AW5" i="4"/>
  <c r="AX5" i="4"/>
  <c r="AW18" i="4"/>
  <c r="AX18" i="4"/>
  <c r="AW21" i="4"/>
  <c r="AX21" i="4"/>
  <c r="AW7" i="4"/>
  <c r="AX7" i="4"/>
  <c r="AW28" i="4"/>
  <c r="AX28" i="4"/>
  <c r="AW46" i="4"/>
  <c r="AX46" i="4"/>
  <c r="AW36" i="4"/>
  <c r="AX36" i="4"/>
  <c r="AW29" i="4"/>
  <c r="AX29" i="4"/>
  <c r="AW42" i="4"/>
  <c r="AX42" i="4"/>
  <c r="AW16" i="4"/>
  <c r="AX16" i="4"/>
  <c r="AW10" i="4"/>
  <c r="AX10" i="4"/>
  <c r="AW2" i="4"/>
  <c r="AX2" i="4"/>
  <c r="AA221" i="1"/>
  <c r="AA184" i="1"/>
  <c r="AA193" i="1"/>
  <c r="AA159" i="1"/>
  <c r="AA259" i="1"/>
  <c r="AA156" i="1"/>
  <c r="AA172" i="1"/>
  <c r="AA222" i="1"/>
  <c r="AA218" i="1"/>
  <c r="AA158" i="1"/>
  <c r="AA40" i="1"/>
  <c r="AA152" i="1"/>
  <c r="AA58" i="1"/>
  <c r="AA43" i="1"/>
  <c r="AA287" i="1"/>
  <c r="AA237" i="1"/>
  <c r="AA102" i="1"/>
  <c r="AA244" i="1"/>
  <c r="AA147" i="1"/>
  <c r="AA231" i="1"/>
  <c r="AA208" i="1"/>
  <c r="AA175" i="1"/>
  <c r="AA232" i="1"/>
  <c r="AA252" i="1"/>
  <c r="AA101" i="1"/>
  <c r="AA270" i="1"/>
  <c r="AA16" i="1"/>
  <c r="AA275" i="1"/>
  <c r="AA30" i="1"/>
  <c r="AA4" i="1"/>
  <c r="AA129" i="1"/>
  <c r="AA145" i="1"/>
  <c r="AA249" i="1"/>
  <c r="AA90" i="1"/>
  <c r="AA110" i="1"/>
  <c r="AA219" i="1"/>
  <c r="AA155" i="1"/>
  <c r="AA83" i="1"/>
  <c r="AA97" i="1"/>
  <c r="AA150" i="1"/>
  <c r="AA54" i="1"/>
  <c r="AA52" i="1"/>
  <c r="AA144" i="1"/>
  <c r="AA11" i="1"/>
  <c r="AA26" i="1"/>
  <c r="AA189" i="1"/>
  <c r="AA161" i="1"/>
  <c r="AA80" i="1"/>
  <c r="AA192" i="1"/>
  <c r="AA113" i="1"/>
  <c r="AA211" i="1"/>
  <c r="AA210" i="1"/>
  <c r="AA124" i="1"/>
  <c r="AA78" i="1"/>
  <c r="AA120" i="1"/>
  <c r="AA71" i="1"/>
  <c r="AA67" i="1"/>
  <c r="AA69" i="1"/>
  <c r="AA63" i="1"/>
  <c r="AA42" i="1"/>
  <c r="AA162" i="1"/>
  <c r="AA246" i="1"/>
  <c r="AA132" i="1"/>
  <c r="AA269" i="1"/>
  <c r="AA257" i="1"/>
  <c r="AA135" i="1"/>
  <c r="AA111" i="1"/>
  <c r="AA131" i="1"/>
  <c r="AA235" i="1"/>
  <c r="AA64" i="1"/>
  <c r="AA57" i="1"/>
  <c r="AA17" i="1"/>
  <c r="AA272" i="1"/>
  <c r="AA72" i="1"/>
  <c r="AA123" i="1"/>
  <c r="AA234" i="1"/>
  <c r="AA174" i="1"/>
  <c r="AA109" i="1"/>
  <c r="AA250" i="1"/>
  <c r="AA79" i="1"/>
  <c r="AA76" i="1"/>
  <c r="AA91" i="1"/>
  <c r="AA178" i="1"/>
  <c r="AA115" i="1"/>
  <c r="AA70" i="1"/>
  <c r="AA47" i="1"/>
  <c r="AA36" i="1"/>
  <c r="AA262" i="1"/>
  <c r="AA56" i="1"/>
  <c r="AA107" i="1"/>
  <c r="AA87" i="1"/>
  <c r="AA243" i="1"/>
  <c r="AA283" i="1"/>
  <c r="AA230" i="1"/>
  <c r="AA258" i="1"/>
  <c r="AA191" i="1"/>
  <c r="AA173" i="1"/>
  <c r="AA140" i="1"/>
  <c r="AA48" i="1"/>
  <c r="AA274" i="1"/>
  <c r="AA37" i="1"/>
  <c r="AA60" i="1"/>
  <c r="AA12" i="1"/>
  <c r="AA108" i="1"/>
  <c r="AA286" i="1"/>
  <c r="AA149" i="1"/>
  <c r="AA268" i="1"/>
  <c r="AA226" i="1"/>
  <c r="AA253" i="1"/>
  <c r="AA163" i="1"/>
  <c r="AA164" i="1"/>
  <c r="AA171" i="1"/>
  <c r="AA34" i="1"/>
  <c r="AA49" i="1"/>
  <c r="AA277" i="1"/>
  <c r="AA29" i="1"/>
  <c r="AA33" i="1"/>
  <c r="AA75" i="1"/>
  <c r="AA247" i="1"/>
  <c r="AA281" i="1"/>
  <c r="AA92" i="1"/>
  <c r="AA204" i="1"/>
  <c r="AA182" i="1"/>
  <c r="AA207" i="1"/>
  <c r="AA81" i="1"/>
  <c r="AA238" i="1"/>
  <c r="AA267" i="1"/>
  <c r="AA38" i="1"/>
  <c r="AA61" i="1"/>
  <c r="AA31" i="1"/>
  <c r="AA65" i="1"/>
  <c r="AA137" i="1"/>
  <c r="AA167" i="1"/>
  <c r="AA242" i="1"/>
  <c r="AA227" i="1"/>
  <c r="AA205" i="1"/>
  <c r="AA118" i="1"/>
  <c r="AA128" i="1"/>
  <c r="AA136" i="1"/>
  <c r="AA256" i="1"/>
  <c r="AA59" i="1"/>
  <c r="AA271" i="1"/>
  <c r="AA35" i="1"/>
  <c r="AA273" i="1"/>
  <c r="AA9" i="1"/>
  <c r="AA84" i="1"/>
  <c r="AA217" i="1"/>
  <c r="AA89" i="1"/>
  <c r="AA143" i="1"/>
  <c r="AA180" i="1"/>
  <c r="AA251" i="1"/>
  <c r="AA93" i="1"/>
  <c r="AA126" i="1"/>
  <c r="AA248" i="1"/>
  <c r="AA62" i="1"/>
  <c r="AA23" i="1"/>
  <c r="AA263" i="1"/>
  <c r="AA288" i="1"/>
  <c r="AA190" i="1"/>
  <c r="AA103" i="1"/>
  <c r="AA181" i="1"/>
  <c r="AA119" i="1"/>
  <c r="AA266" i="1"/>
  <c r="AA95" i="1"/>
  <c r="AA183" i="1"/>
  <c r="AA201" i="1"/>
  <c r="AA153" i="1"/>
  <c r="AA265" i="1"/>
  <c r="AA278" i="1"/>
  <c r="AA15" i="1"/>
  <c r="AA22" i="1"/>
  <c r="AA289" i="1"/>
  <c r="AA85" i="1"/>
  <c r="AA117" i="1"/>
  <c r="AA255" i="1"/>
  <c r="AA241" i="1"/>
  <c r="AA104" i="1"/>
  <c r="AA188" i="1"/>
  <c r="AA116" i="1"/>
  <c r="AA105" i="1"/>
  <c r="AA125" i="1"/>
  <c r="AA14" i="1"/>
  <c r="AA21" i="1"/>
  <c r="AA66" i="1"/>
  <c r="AA13" i="1"/>
  <c r="AA179" i="1"/>
  <c r="AA141" i="1"/>
  <c r="AA138" i="1"/>
  <c r="AA170" i="1"/>
  <c r="AA98" i="1"/>
  <c r="AA229" i="1"/>
  <c r="AA166" i="1"/>
  <c r="AA82" i="1"/>
  <c r="AA186" i="1"/>
  <c r="AA233" i="1"/>
  <c r="AA19" i="1"/>
  <c r="AA50" i="1"/>
  <c r="AA32" i="1"/>
  <c r="AA28" i="1"/>
  <c r="AA134" i="1"/>
  <c r="AA245" i="1"/>
  <c r="AA106" i="1"/>
  <c r="AA94" i="1"/>
  <c r="AA240" i="1"/>
  <c r="AA197" i="1"/>
  <c r="AA239" i="1"/>
  <c r="AA185" i="1"/>
  <c r="AA127" i="1"/>
  <c r="AA236" i="1"/>
  <c r="AA260" i="1"/>
  <c r="AA157" i="1"/>
  <c r="AA46" i="1"/>
  <c r="AA25" i="1"/>
  <c r="AA165" i="1"/>
  <c r="AA215" i="1"/>
  <c r="AA214" i="1"/>
  <c r="AA196" i="1"/>
  <c r="AA112" i="1"/>
  <c r="AA74" i="1"/>
  <c r="AA224" i="1"/>
  <c r="AA254" i="1"/>
  <c r="AA203" i="1"/>
  <c r="AA86" i="1"/>
  <c r="AA53" i="1"/>
  <c r="AA261" i="1"/>
  <c r="AA8" i="1"/>
  <c r="AA279" i="1"/>
  <c r="AA133" i="1"/>
  <c r="AA139" i="1"/>
  <c r="AA228" i="1"/>
  <c r="AA88" i="1"/>
  <c r="AA142" i="1"/>
  <c r="AA216" i="1"/>
  <c r="AA280" i="1"/>
  <c r="AA73" i="1"/>
  <c r="AA122" i="1"/>
  <c r="AA148" i="1"/>
  <c r="AA18" i="1"/>
  <c r="AA51" i="1"/>
  <c r="AA7" i="1"/>
  <c r="AA27" i="1"/>
  <c r="AA264" i="1"/>
  <c r="AA213" i="1"/>
  <c r="AA187" i="1"/>
  <c r="AA130" i="1"/>
  <c r="AA206" i="1"/>
  <c r="AA114" i="1"/>
  <c r="AA177" i="1"/>
  <c r="AA225" i="1"/>
  <c r="AA220" i="1"/>
  <c r="AA160" i="1"/>
  <c r="AA39" i="1"/>
  <c r="AA24" i="1"/>
  <c r="AA6" i="1"/>
  <c r="AA20" i="1"/>
  <c r="AA44" i="1"/>
  <c r="AA96" i="1"/>
  <c r="AA151" i="1"/>
  <c r="AA212" i="1"/>
  <c r="AA99" i="1"/>
  <c r="AA176" i="1"/>
  <c r="AA100" i="1"/>
  <c r="AA168" i="1"/>
  <c r="AA169" i="1"/>
  <c r="AA146" i="1"/>
  <c r="AA209" i="1"/>
  <c r="AA282" i="1"/>
  <c r="AA68" i="1"/>
  <c r="AA276" i="1"/>
  <c r="AA5" i="1"/>
  <c r="AA284" i="1"/>
  <c r="AA154" i="1"/>
  <c r="AA121" i="1"/>
  <c r="AA195" i="1"/>
  <c r="AA202" i="1"/>
  <c r="AA199" i="1"/>
  <c r="AA200" i="1"/>
  <c r="AA198" i="1"/>
  <c r="AA77" i="1"/>
  <c r="AA223" i="1"/>
  <c r="AA194" i="1"/>
  <c r="AA10" i="1"/>
  <c r="AA41" i="1"/>
  <c r="AA45" i="1"/>
  <c r="AA55" i="1"/>
  <c r="AA285" i="1"/>
  <c r="AW17" i="4"/>
  <c r="AX17" i="4"/>
  <c r="AW12" i="4"/>
  <c r="AX12" i="4"/>
  <c r="AW8" i="4"/>
  <c r="AW4" i="4"/>
  <c r="AW35" i="4"/>
  <c r="AX35" i="4"/>
  <c r="O175" i="1" a="1"/>
  <c r="O155" i="1" a="1"/>
  <c r="O92" i="1" a="1"/>
  <c r="O289" i="1" a="1"/>
  <c r="O89" i="1" a="1"/>
  <c r="O249" i="1" a="1"/>
  <c r="O118" i="1" a="1"/>
  <c r="O139" i="1" a="1"/>
  <c r="O283" i="1" a="1"/>
  <c r="O147" i="1" a="1"/>
  <c r="O227" i="1" a="1"/>
  <c r="O191" i="1" a="1"/>
  <c r="O208" i="1" a="1"/>
  <c r="O241" i="1" a="1"/>
  <c r="O280" i="1" a="1"/>
  <c r="O113" i="1" a="1"/>
  <c r="O129" i="1" a="1"/>
  <c r="O131" i="1" a="1"/>
  <c r="O190" i="1" a="1"/>
  <c r="O120" i="1" a="1"/>
  <c r="O140" i="1" a="1"/>
  <c r="O173" i="1" a="1"/>
  <c r="O121" i="1" a="1"/>
  <c r="O97" i="1" a="1"/>
  <c r="O77" i="1" a="1"/>
  <c r="O134" i="1" a="1"/>
  <c r="O186" i="1" a="1"/>
  <c r="O91" i="1" a="1"/>
  <c r="O212" i="1" a="1"/>
  <c r="O224" i="1" a="1"/>
  <c r="O105" i="1" a="1"/>
  <c r="O183" i="1" a="1"/>
  <c r="O142" i="1" a="1"/>
  <c r="O73" i="1" a="1"/>
  <c r="O76" i="1" a="1"/>
  <c r="O83" i="1" a="1"/>
  <c r="O170" i="1" a="1"/>
  <c r="O171" i="1" a="1"/>
  <c r="O203" i="1" a="1"/>
  <c r="O225" i="1" a="1"/>
  <c r="O179" i="1" a="1"/>
  <c r="O243" i="1" a="1"/>
  <c r="O256" i="1" a="1"/>
  <c r="O258" i="1" a="1"/>
  <c r="O232" i="1" a="1"/>
  <c r="O164" i="1" a="1"/>
  <c r="O244" i="1" a="1"/>
  <c r="O219" i="1" a="1"/>
  <c r="O110" i="1" a="1"/>
  <c r="O106" i="1" a="1"/>
  <c r="O125" i="1" a="1"/>
  <c r="O240" i="1" a="1"/>
  <c r="O143" i="1" a="1"/>
  <c r="O128" i="1" a="1"/>
  <c r="O193" i="1" a="1"/>
  <c r="O200" i="1" a="1"/>
  <c r="O84" i="1" a="1"/>
  <c r="O79" i="1" a="1"/>
  <c r="O201" i="1" a="1"/>
  <c r="O226" i="1" a="1"/>
  <c r="O80" i="1" a="1"/>
  <c r="O117" i="1" a="1"/>
  <c r="O122" i="1" a="1"/>
  <c r="O145" i="1" a="1"/>
  <c r="O75" i="1" a="1"/>
  <c r="O102" i="1" a="1"/>
  <c r="O192" i="1" a="1"/>
  <c r="O195" i="1" a="1"/>
  <c r="O245" i="1" a="1"/>
  <c r="O123" i="1" a="1"/>
  <c r="O107" i="1" a="1"/>
  <c r="O286" i="1" a="1"/>
  <c r="O229" i="1" a="1"/>
  <c r="O251" i="1" a="1"/>
  <c r="O237" i="1" a="1"/>
  <c r="O228" i="1" a="1"/>
  <c r="O178" i="1" a="1"/>
  <c r="O266" i="1" a="1"/>
  <c r="O210" i="1" a="1"/>
  <c r="O236" i="1" a="1"/>
  <c r="O82" i="1" a="1"/>
  <c r="O109" i="1" a="1"/>
  <c r="O112" i="1" a="1"/>
  <c r="O238" i="1" a="1"/>
  <c r="O133" i="1" a="1"/>
  <c r="O94" i="1" a="1"/>
  <c r="O184" i="1" a="1"/>
  <c r="O108" i="1" a="1"/>
  <c r="O166" i="1" a="1"/>
  <c r="O189" i="1" a="1"/>
  <c r="O154" i="1" a="1"/>
  <c r="O199" i="1" a="1"/>
  <c r="O86" i="1" a="1"/>
  <c r="O132" i="1" a="1"/>
  <c r="O99" i="1" a="1"/>
  <c r="O163" i="1" a="1"/>
  <c r="O213" i="1" a="1"/>
  <c r="O239" i="1" a="1"/>
  <c r="O172" i="1" a="1"/>
  <c r="O124" i="1" a="1"/>
  <c r="O181" i="1" a="1"/>
  <c r="O136" i="1" a="1"/>
  <c r="O278" i="1" a="1"/>
  <c r="O234" i="1" a="1"/>
  <c r="O247" i="1" a="1"/>
  <c r="O146" i="1" a="1"/>
  <c r="O194" i="1" a="1"/>
  <c r="O268" i="1" a="1"/>
  <c r="O116" i="1" a="1"/>
  <c r="O162" i="1" a="1"/>
  <c r="O78" i="1" a="1"/>
  <c r="O135" i="1" a="1"/>
  <c r="O217" i="1" a="1"/>
  <c r="O93" i="1" a="1"/>
  <c r="O196" i="1" a="1"/>
  <c r="O185" i="1" a="1"/>
  <c r="O182" i="1" a="1"/>
  <c r="O104" i="1" a="1"/>
  <c r="O74" i="1" a="1"/>
  <c r="O119" i="1" a="1"/>
  <c r="O257" i="1" a="1"/>
  <c r="O138" i="1" a="1"/>
  <c r="O218" i="1" a="1"/>
  <c r="O98" i="1" a="1"/>
  <c r="O111" i="1" a="1"/>
  <c r="O211" i="1" a="1"/>
  <c r="O231" i="1" a="1"/>
  <c r="O205" i="1" a="1"/>
  <c r="O215" i="1" a="1"/>
  <c r="O174" i="1" a="1"/>
  <c r="O188" i="1" a="1"/>
  <c r="O242" i="1" a="1"/>
  <c r="O115" i="1" a="1"/>
  <c r="O252" i="1" a="1"/>
  <c r="O126" i="1" a="1"/>
  <c r="O149" i="1" a="1"/>
  <c r="O209" i="1" a="1"/>
  <c r="O202" i="1" a="1"/>
  <c r="O148" i="1" a="1"/>
  <c r="O206" i="1" a="1"/>
  <c r="O137" i="1" a="1"/>
  <c r="O90" i="1" a="1"/>
  <c r="O198" i="1" a="1"/>
  <c r="O165" i="1" a="1"/>
  <c r="O230" i="1" a="1"/>
  <c r="O168" i="1" a="1"/>
  <c r="O222" i="1" a="1"/>
  <c r="O250" i="1" a="1"/>
  <c r="O207" i="1" a="1"/>
  <c r="O156" i="1" a="1"/>
  <c r="O158" i="1" a="1"/>
  <c r="O246" i="1" a="1"/>
  <c r="O221" i="1" a="1"/>
  <c r="O103" i="1" a="1"/>
  <c r="O96" i="1" a="1"/>
  <c r="O216" i="1" a="1"/>
  <c r="O88" i="1" a="1"/>
  <c r="O177" i="1" a="1"/>
  <c r="O281" i="1" a="1"/>
  <c r="O233" i="1" a="1"/>
  <c r="O87" i="1" a="1"/>
  <c r="O255" i="1" a="1"/>
  <c r="O259" i="1" a="1"/>
  <c r="O127" i="1" a="1"/>
  <c r="O161" i="1" a="1"/>
  <c r="O130" i="1" a="1"/>
  <c r="O169" i="1" a="1"/>
  <c r="O197" i="1" a="1"/>
  <c r="O180" i="1" a="1"/>
  <c r="O114" i="1" a="1"/>
  <c r="O253" i="1" a="1"/>
  <c r="O100" i="1" a="1"/>
  <c r="O264" i="1" a="1"/>
  <c r="O85" i="1" a="1"/>
  <c r="O254" i="1" a="1"/>
  <c r="O269" i="1" a="1"/>
  <c r="O235" i="1" a="1"/>
  <c r="O167" i="1" a="1"/>
  <c r="O176" i="1" a="1"/>
  <c r="O220" i="1" a="1"/>
  <c r="O95" i="1" a="1"/>
  <c r="O101" i="1" a="1"/>
  <c r="O159" i="1" a="1"/>
  <c r="O204" i="1" a="1"/>
  <c r="O153" i="1" a="1"/>
  <c r="O223" i="1" a="1"/>
  <c r="O141" i="1" a="1"/>
  <c r="O151" i="1" a="1"/>
  <c r="O160" i="1" a="1"/>
  <c r="O81" i="1" a="1"/>
  <c r="O214" i="1" a="1"/>
  <c r="O187" i="1" a="1"/>
  <c r="O248" i="1" a="1"/>
  <c r="O150" i="1" a="1"/>
  <c r="O224" i="1"/>
  <c r="O231" i="1"/>
  <c r="O74" i="1"/>
  <c r="O190" i="1"/>
  <c r="O128" i="1"/>
  <c r="O140" i="1"/>
  <c r="O104" i="1"/>
  <c r="O123" i="1"/>
  <c r="O121" i="1"/>
  <c r="O103" i="1"/>
  <c r="O150" i="1"/>
  <c r="O77" i="1"/>
  <c r="O97" i="1"/>
  <c r="O112" i="1"/>
  <c r="O75" i="1"/>
  <c r="O109" i="1"/>
  <c r="O196" i="1"/>
  <c r="O155" i="1"/>
  <c r="O122" i="1"/>
  <c r="O214" i="1"/>
  <c r="O241" i="1"/>
  <c r="O191" i="1"/>
  <c r="O237" i="1"/>
  <c r="O202" i="1"/>
  <c r="O215" i="1"/>
  <c r="O233" i="1"/>
  <c r="O255" i="1"/>
  <c r="O227" i="1"/>
  <c r="O258" i="1"/>
  <c r="O120" i="1"/>
  <c r="O82" i="1"/>
  <c r="O85" i="1"/>
  <c r="O210" i="1"/>
  <c r="O141" i="1"/>
  <c r="O153" i="1"/>
  <c r="O217" i="1"/>
  <c r="O268" i="1"/>
  <c r="O111" i="1"/>
  <c r="O161" i="1"/>
  <c r="O172" i="1"/>
  <c r="O209" i="1"/>
  <c r="O206" i="1"/>
  <c r="O239" i="1"/>
  <c r="O179" i="1"/>
  <c r="O201" i="1"/>
  <c r="O84" i="1"/>
  <c r="O238" i="1"/>
  <c r="O149" i="1"/>
  <c r="O135" i="1"/>
  <c r="O189" i="1"/>
  <c r="O156" i="1"/>
  <c r="O223" i="1"/>
  <c r="O105" i="1"/>
  <c r="O256" i="1"/>
  <c r="O281" i="1"/>
  <c r="O212" i="1"/>
  <c r="O136" i="1"/>
  <c r="O147" i="1"/>
  <c r="O198" i="1"/>
  <c r="O188" i="1"/>
  <c r="O96" i="1"/>
  <c r="O118" i="1"/>
  <c r="O102" i="1"/>
  <c r="O199" i="1"/>
  <c r="O234" i="1"/>
  <c r="O219" i="1"/>
  <c r="O73" i="1"/>
  <c r="O110" i="1"/>
  <c r="O249" i="1"/>
  <c r="O160" i="1"/>
  <c r="O229" i="1"/>
  <c r="O251" i="1"/>
  <c r="O164" i="1"/>
  <c r="O87" i="1"/>
  <c r="O211" i="1"/>
  <c r="O139" i="1"/>
  <c r="O236" i="1"/>
  <c r="O170" i="1"/>
  <c r="O278" i="1"/>
  <c r="O143" i="1"/>
  <c r="O253" i="1"/>
  <c r="O235" i="1"/>
  <c r="O192" i="1"/>
  <c r="O218" i="1"/>
  <c r="O127" i="1"/>
  <c r="O138" i="1"/>
  <c r="O89" i="1"/>
  <c r="O226" i="1"/>
  <c r="O131" i="1"/>
  <c r="O222" i="1"/>
  <c r="O130" i="1"/>
  <c r="O259" i="1"/>
  <c r="O169" i="1"/>
  <c r="O187" i="1"/>
  <c r="O240" i="1"/>
  <c r="O95" i="1"/>
  <c r="O207" i="1"/>
  <c r="O108" i="1"/>
  <c r="O115" i="1"/>
  <c r="O269" i="1"/>
  <c r="O252" i="1"/>
  <c r="O159" i="1"/>
  <c r="O99" i="1"/>
  <c r="O244" i="1"/>
  <c r="O200" i="1"/>
  <c r="O205" i="1"/>
  <c r="O283" i="1"/>
  <c r="O289" i="1"/>
  <c r="O88" i="1"/>
  <c r="O129" i="1"/>
  <c r="O133" i="1"/>
  <c r="O80" i="1"/>
  <c r="O257" i="1"/>
  <c r="O168" i="1"/>
  <c r="O213" i="1"/>
  <c r="O86" i="1"/>
  <c r="O94" i="1"/>
  <c r="O266" i="1"/>
  <c r="O182" i="1"/>
  <c r="O178" i="1"/>
  <c r="O132" i="1"/>
  <c r="O232" i="1"/>
  <c r="O193" i="1"/>
  <c r="O195" i="1"/>
  <c r="O280" i="1"/>
  <c r="O165" i="1"/>
  <c r="O186" i="1"/>
  <c r="O117" i="1"/>
  <c r="O248" i="1"/>
  <c r="O242" i="1"/>
  <c r="O230" i="1"/>
  <c r="O78" i="1"/>
  <c r="O90" i="1"/>
  <c r="O216" i="1"/>
  <c r="O126" i="1"/>
  <c r="O124" i="1"/>
  <c r="O114" i="1"/>
  <c r="O185" i="1"/>
  <c r="O146" i="1"/>
  <c r="O197" i="1"/>
  <c r="O183" i="1"/>
  <c r="O81" i="1"/>
  <c r="O286" i="1"/>
  <c r="O100" i="1"/>
  <c r="O264" i="1"/>
  <c r="O203" i="1"/>
  <c r="O106" i="1"/>
  <c r="O119" i="1"/>
  <c r="O204" i="1"/>
  <c r="O91" i="1"/>
  <c r="O246" i="1"/>
  <c r="O175" i="1"/>
  <c r="O184" i="1"/>
  <c r="O134" i="1"/>
  <c r="O79" i="1"/>
  <c r="O116" i="1"/>
  <c r="O247" i="1"/>
  <c r="O250" i="1"/>
  <c r="O151" i="1"/>
  <c r="O83" i="1"/>
  <c r="O148" i="1"/>
  <c r="O173" i="1"/>
  <c r="O174" i="1"/>
  <c r="O167" i="1"/>
  <c r="O154" i="1"/>
  <c r="O142" i="1"/>
  <c r="O166" i="1"/>
  <c r="O93" i="1"/>
  <c r="O137" i="1"/>
  <c r="O171" i="1"/>
  <c r="O243" i="1"/>
  <c r="O145" i="1"/>
  <c r="O220" i="1"/>
  <c r="O228" i="1"/>
  <c r="O98" i="1"/>
  <c r="O180" i="1"/>
  <c r="O163" i="1"/>
  <c r="O107" i="1"/>
  <c r="O113" i="1"/>
  <c r="O158" i="1"/>
  <c r="O225" i="1"/>
  <c r="O177" i="1"/>
  <c r="O101" i="1"/>
  <c r="O194" i="1"/>
  <c r="O176" i="1"/>
  <c r="O254" i="1"/>
  <c r="O245" i="1"/>
  <c r="O125" i="1"/>
  <c r="O181" i="1"/>
  <c r="O92" i="1"/>
  <c r="O76" i="1"/>
  <c r="O162" i="1"/>
  <c r="O208" i="1"/>
  <c r="O22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<sst xmlns="http://schemas.openxmlformats.org/spreadsheetml/2006/main" count="31424" uniqueCount="1844">
  <si>
    <t>Material</t>
  </si>
  <si>
    <t>TLC20K31000IVC-00</t>
  </si>
  <si>
    <t>TLC20J01000IVA-00</t>
  </si>
  <si>
    <t>TLC20K41000GVC-00</t>
  </si>
  <si>
    <t>TL-R20F-44990-00</t>
  </si>
  <si>
    <t>TL-R20F-61000-00</t>
  </si>
  <si>
    <t>TL-R20J-32000-00</t>
  </si>
  <si>
    <t>TLC20J11000IVA-00</t>
  </si>
  <si>
    <t>TLC20K41000EVC-00</t>
  </si>
  <si>
    <t>TL-D0000512</t>
  </si>
  <si>
    <t>TL-D0000946</t>
  </si>
  <si>
    <t>TL-R20F-21000-00</t>
  </si>
  <si>
    <t>TL-R20F-23300-00</t>
  </si>
  <si>
    <t>TL-R20F-24990-00</t>
  </si>
  <si>
    <t>TL-R20F-27500-00</t>
  </si>
  <si>
    <t>TL-R20F-31000-00</t>
  </si>
  <si>
    <t>TL-R20F-32000-00</t>
  </si>
  <si>
    <t>TL-R20F-33600-00</t>
  </si>
  <si>
    <t>TL-R20F-34300-00</t>
  </si>
  <si>
    <t>TL-R20F-34700-00</t>
  </si>
  <si>
    <t>TL-R20F-41000-00</t>
  </si>
  <si>
    <t>TL-R20F-41500-00</t>
  </si>
  <si>
    <t>TL-R20F-41820-00</t>
  </si>
  <si>
    <t>TL-R20F-43000-00</t>
  </si>
  <si>
    <t>TL-R20F-44700-00</t>
  </si>
  <si>
    <t>TL-R20F-45100-00</t>
  </si>
  <si>
    <t>TL-R20F-48200-00</t>
  </si>
  <si>
    <t>TL-R20F-51000-00</t>
  </si>
  <si>
    <t>TL-R20F-51210-00</t>
  </si>
  <si>
    <t>TL-R20F-52000-00</t>
  </si>
  <si>
    <t>TL-R20F-52210-00</t>
  </si>
  <si>
    <t>TL-R20F-54700-00</t>
  </si>
  <si>
    <t>TL-R20F-71000-00</t>
  </si>
  <si>
    <t>TL-R20J-31800-00</t>
  </si>
  <si>
    <t>TL-R20J-33600-00</t>
  </si>
  <si>
    <t>TL-R20J-37500-00</t>
  </si>
  <si>
    <t>TL-R20J-41000-00</t>
  </si>
  <si>
    <t>TL-R20J-42700-00</t>
  </si>
  <si>
    <t>TL-R20J-51000-00</t>
  </si>
  <si>
    <t>TL-R20J-52000-00</t>
  </si>
  <si>
    <t>TL-R20J-52700-00</t>
  </si>
  <si>
    <t>TL-R20J-53900-00</t>
  </si>
  <si>
    <t>TL-R20J-54700-00</t>
  </si>
  <si>
    <t>TL-R20J-61500-00</t>
  </si>
  <si>
    <t>TL-R20J-62000-00</t>
  </si>
  <si>
    <t>TL-R20J-65100-00</t>
  </si>
  <si>
    <t>TL-R20J-71000-00</t>
  </si>
  <si>
    <t>TL-R20Z-00000-00</t>
  </si>
  <si>
    <t>TL-R30F-51000-00</t>
  </si>
  <si>
    <t>TL-R30F-56200-00</t>
  </si>
  <si>
    <t>TL-R30F-61000-00</t>
  </si>
  <si>
    <t>TL-R30J-14700-00</t>
  </si>
  <si>
    <t>TL-R30J-31000-00</t>
  </si>
  <si>
    <t>TL-R30J-42200-00</t>
  </si>
  <si>
    <t>TL-R30Z-00000-00</t>
  </si>
  <si>
    <t>TLC20J00180IVA-00</t>
  </si>
  <si>
    <t>TLC20J04700IVA-00</t>
  </si>
  <si>
    <t>TLC20K14700IVC-00</t>
  </si>
  <si>
    <t>TLC20K34700GVC-00</t>
  </si>
  <si>
    <t>TL-R60Z-00000-00</t>
  </si>
  <si>
    <t>TL-D0000126</t>
  </si>
  <si>
    <t>TL-D0000139</t>
  </si>
  <si>
    <t>TL-D0000392</t>
  </si>
  <si>
    <t>TL-D0000393</t>
  </si>
  <si>
    <t>TL-D0000417</t>
  </si>
  <si>
    <t>TL-D0000426</t>
  </si>
  <si>
    <t>TL-D0000448</t>
  </si>
  <si>
    <t>TL-Q0000088</t>
  </si>
  <si>
    <t>TL-Q0000099</t>
  </si>
  <si>
    <t>TL-Q0000105</t>
  </si>
  <si>
    <t>TL-R20J-44700-00</t>
  </si>
  <si>
    <t>TL-A0000921</t>
  </si>
  <si>
    <t>TLC20J01000KVA-00</t>
  </si>
  <si>
    <t>TLC20K33300GVC-00</t>
  </si>
  <si>
    <t>TLC30J03300IVA-00</t>
  </si>
  <si>
    <t>TLC30J03300MVA-00</t>
  </si>
  <si>
    <t>TLC30J14700IVA-00</t>
  </si>
  <si>
    <t>TLC30K31000IVC-00</t>
  </si>
  <si>
    <t>TLC30K41000EVC-00</t>
  </si>
  <si>
    <t>TL-D0000125</t>
  </si>
  <si>
    <t>TL-D0000203</t>
  </si>
  <si>
    <t>TL-D0000347</t>
  </si>
  <si>
    <t>TL-D0000418</t>
  </si>
  <si>
    <t>TL-D0000430</t>
  </si>
  <si>
    <t>TL-D0000431</t>
  </si>
  <si>
    <t>TL-D0000445</t>
  </si>
  <si>
    <t>TL-D0000730</t>
  </si>
  <si>
    <t>TL-D0000764</t>
  </si>
  <si>
    <t>TL-L0000018</t>
  </si>
  <si>
    <t>TL-L0000024</t>
  </si>
  <si>
    <t>TL-R20F-42000-00</t>
  </si>
  <si>
    <t>TL-R20F-42490-00</t>
  </si>
  <si>
    <t>TL-R20F-43300-00</t>
  </si>
  <si>
    <t>TL-R20J-14700-00</t>
  </si>
  <si>
    <t>TL-R20J-31000-00</t>
  </si>
  <si>
    <t>TL-R20J-33300-00</t>
  </si>
  <si>
    <t>TL-R20J-34700-00</t>
  </si>
  <si>
    <t>TL-R30F-41000-00</t>
  </si>
  <si>
    <t>TL-R30J-54700-00</t>
  </si>
  <si>
    <t>TL-R30J-61000-00</t>
  </si>
  <si>
    <t>TL-R30J-72000-00</t>
  </si>
  <si>
    <t>TL-R45J-41000-00</t>
  </si>
  <si>
    <t>TL-R45J-51000-00</t>
  </si>
  <si>
    <t>TL-R45J-62000-00</t>
  </si>
  <si>
    <t>TL-R80J-22200-00</t>
  </si>
  <si>
    <t>Material Description</t>
  </si>
  <si>
    <t>YAGEO</t>
  </si>
  <si>
    <t>CC0603KRX7R9BB104</t>
  </si>
  <si>
    <t>Samsung Electro-Mechanics</t>
  </si>
  <si>
    <t>CL10C101JB8NNNC</t>
  </si>
  <si>
    <t>CL10B105KA8NNNL</t>
  </si>
  <si>
    <t>RC0603FR-074K99L</t>
  </si>
  <si>
    <t>RC0603FR-07100KL</t>
  </si>
  <si>
    <t>RC0603JR-07200RL</t>
  </si>
  <si>
    <t>Murata Electronics</t>
  </si>
  <si>
    <t>GRM1885C1H102JA01D</t>
  </si>
  <si>
    <t>CC0603JRX7R7BB105</t>
  </si>
  <si>
    <t>RC0603JR-07100RL</t>
  </si>
  <si>
    <t>RC0603JR-074K7L</t>
  </si>
  <si>
    <t>SMC Diode Solutions</t>
  </si>
  <si>
    <t>S1D</t>
  </si>
  <si>
    <t>US1M</t>
  </si>
  <si>
    <t>RC0603FR-0710RL</t>
  </si>
  <si>
    <t>RC0603FR-0749R9L</t>
  </si>
  <si>
    <t>RC0603FR-0775RL</t>
  </si>
  <si>
    <t>RC0603FR-07100RL</t>
  </si>
  <si>
    <t>RC0603FR-07200RL</t>
  </si>
  <si>
    <t>RC0603FR-07360RL</t>
  </si>
  <si>
    <t>RC0603FR-07430RL</t>
  </si>
  <si>
    <t>RC0603FR-07470RL</t>
  </si>
  <si>
    <t>RC0603FR-071KL</t>
  </si>
  <si>
    <t>RC0603FR-071K5L</t>
  </si>
  <si>
    <t>Vishay Dale</t>
  </si>
  <si>
    <t>CRCW06031K82FKTA</t>
  </si>
  <si>
    <t>RC0603FR-073KL</t>
  </si>
  <si>
    <t>RC0603FR-074K7L</t>
  </si>
  <si>
    <t>RC0603FR-075K1L</t>
  </si>
  <si>
    <t>RC0603FR-078K2L</t>
  </si>
  <si>
    <t>RC0603FR-0710KL</t>
  </si>
  <si>
    <t>RC0603FR-0712K1L</t>
  </si>
  <si>
    <t>RC0603FR-0720KL</t>
  </si>
  <si>
    <t>RC0603FR-0722K1L</t>
  </si>
  <si>
    <t>RC0603FR-0747KL</t>
  </si>
  <si>
    <t>RC0603FR-071ML</t>
  </si>
  <si>
    <t>RC0603JR-07180RL</t>
  </si>
  <si>
    <t>RC0603JR-07360RL</t>
  </si>
  <si>
    <t>RC0603JR-07750RL</t>
  </si>
  <si>
    <t>RC0603JR-071KL</t>
  </si>
  <si>
    <t>CRCW06032K70JNEA</t>
  </si>
  <si>
    <t>RC0603JR-0710KL</t>
  </si>
  <si>
    <t>RC0603JR-0720KL</t>
  </si>
  <si>
    <t>RC0603JR-0727KL</t>
  </si>
  <si>
    <t>RC0603JR-0739KL</t>
  </si>
  <si>
    <t>RC0603JR-0747KL</t>
  </si>
  <si>
    <t>RC0603JR-07150KL</t>
  </si>
  <si>
    <t>RC0603JR-07200KL</t>
  </si>
  <si>
    <t>RC0603JR-07510KL</t>
  </si>
  <si>
    <t>RC0603JR-071ML</t>
  </si>
  <si>
    <t>RC0603JR-070RL</t>
  </si>
  <si>
    <t>Panasonic Electronic Components</t>
  </si>
  <si>
    <t>ERJ-6ENF1002V</t>
  </si>
  <si>
    <t>RC0805FR-0762KL</t>
  </si>
  <si>
    <t>RC0805FR-07100KL</t>
  </si>
  <si>
    <t>RC0805JR-074R7L</t>
  </si>
  <si>
    <t>RC0805JR-072K2L</t>
  </si>
  <si>
    <t>RC0805JR-070RL</t>
  </si>
  <si>
    <t>CC0603JRNPO9BN180</t>
  </si>
  <si>
    <t>Walsin Technology Corporation</t>
  </si>
  <si>
    <t>0603N471J500CT</t>
  </si>
  <si>
    <t>CL10B472KB8NNNC</t>
  </si>
  <si>
    <t>Taiyo Yuden</t>
  </si>
  <si>
    <t>TMK107B7474KA-TR</t>
  </si>
  <si>
    <t>RC2010JK-070RL</t>
  </si>
  <si>
    <t>onsemi</t>
  </si>
  <si>
    <t>BAT54SLT1G</t>
  </si>
  <si>
    <t>Diodes Incorporated</t>
  </si>
  <si>
    <t>BZT52C12-7-F</t>
  </si>
  <si>
    <t>Lite-On</t>
  </si>
  <si>
    <t>LTST-C170KDKT</t>
  </si>
  <si>
    <t>Lite-On Inc.</t>
  </si>
  <si>
    <t>LTST-C170GKT</t>
  </si>
  <si>
    <t>MMBD914LT1G</t>
  </si>
  <si>
    <t>MMSZ5226B-7-F</t>
  </si>
  <si>
    <t>Diotec Semiconductor</t>
  </si>
  <si>
    <t>MMBT2222ALT1G</t>
  </si>
  <si>
    <t>MMBTA06LT1G</t>
  </si>
  <si>
    <t>MMBTA56-7-F</t>
  </si>
  <si>
    <t>NCP21XV103J03RA</t>
  </si>
  <si>
    <t>GRM1885C2A101JA01D</t>
  </si>
  <si>
    <t>CC0603KRX7R8BB334</t>
  </si>
  <si>
    <t>KYOCERA AVX</t>
  </si>
  <si>
    <t>08055A331JAT2A</t>
  </si>
  <si>
    <t>KGM21ECG2D331JU</t>
  </si>
  <si>
    <t>GRM2165C1H472JA01D</t>
  </si>
  <si>
    <t>KEMET</t>
  </si>
  <si>
    <t>C0805C105K4RAC7800</t>
  </si>
  <si>
    <t>BAT54C-7-F</t>
  </si>
  <si>
    <t>BZT52C4V7-13-F</t>
  </si>
  <si>
    <t>ES1D-13-F</t>
  </si>
  <si>
    <t>MMSD4148T1G</t>
  </si>
  <si>
    <t>MMSZ5230B</t>
  </si>
  <si>
    <t>MMSZ5231B</t>
  </si>
  <si>
    <t>MMSZ5245B</t>
  </si>
  <si>
    <t>Bourns Inc.</t>
  </si>
  <si>
    <t>SMBJ20A</t>
  </si>
  <si>
    <t>Littelfuse Inc.</t>
  </si>
  <si>
    <t>SMBJ48A</t>
  </si>
  <si>
    <t>Laird Performance Materials</t>
  </si>
  <si>
    <t>HI0805R800R-10</t>
  </si>
  <si>
    <t>Laird-Signal Integrity Products</t>
  </si>
  <si>
    <t>LF1206A302R-10</t>
  </si>
  <si>
    <t>RC0603FR-072KL</t>
  </si>
  <si>
    <t>CRCW06032K49FKTA</t>
  </si>
  <si>
    <t>RC0603FR-103K3L</t>
  </si>
  <si>
    <t>RC0603JR-074R7L</t>
  </si>
  <si>
    <t>RC0603JR-07330RL</t>
  </si>
  <si>
    <t>RC0603JR-07470RL</t>
  </si>
  <si>
    <t>RC0805FR-071KL</t>
  </si>
  <si>
    <t>RC0805JR-0747KL</t>
  </si>
  <si>
    <t>RC0805JR-07100KL</t>
  </si>
  <si>
    <t>RC0805JR-072ML</t>
  </si>
  <si>
    <t>RC1210JR-071KL</t>
  </si>
  <si>
    <t>Vishay / Dale</t>
  </si>
  <si>
    <t>CRCW121010K0JNEAHP</t>
  </si>
  <si>
    <t>Rohm Semiconductor</t>
  </si>
  <si>
    <t>RC2512JK-0722RL</t>
  </si>
  <si>
    <t>Manufacturer Name</t>
  </si>
  <si>
    <t>Manufacturer PN</t>
  </si>
  <si>
    <t>Comments</t>
  </si>
  <si>
    <t>TL-D0000520</t>
  </si>
  <si>
    <t>TLC20K21000IVC-00</t>
  </si>
  <si>
    <t>LANB026</t>
  </si>
  <si>
    <t>LANB027</t>
  </si>
  <si>
    <t>LANB028</t>
  </si>
  <si>
    <t>LANB030</t>
  </si>
  <si>
    <t>LANB029</t>
  </si>
  <si>
    <t>TLAN-B001</t>
  </si>
  <si>
    <t>TLAN-B002</t>
  </si>
  <si>
    <t>TLAN-S004</t>
  </si>
  <si>
    <t>TLAN-B003</t>
  </si>
  <si>
    <t>TLAN-S008</t>
  </si>
  <si>
    <t>TLAN-S007</t>
  </si>
  <si>
    <t>TLAN-S009</t>
  </si>
  <si>
    <t>TLAN-S010</t>
  </si>
  <si>
    <t>TLAN-S014</t>
  </si>
  <si>
    <t>TLAN-S016</t>
  </si>
  <si>
    <t>TLAN-B017</t>
  </si>
  <si>
    <t>CPC</t>
  </si>
  <si>
    <t>Description</t>
  </si>
  <si>
    <t>BG Ref #</t>
  </si>
  <si>
    <t>C1</t>
  </si>
  <si>
    <t>C10</t>
  </si>
  <si>
    <t>C11</t>
  </si>
  <si>
    <t>C12</t>
  </si>
  <si>
    <t>C13</t>
  </si>
  <si>
    <t>C14</t>
  </si>
  <si>
    <t>TLC30J11000IVA-00</t>
  </si>
  <si>
    <t>C15</t>
  </si>
  <si>
    <t>TLC30K11000MVC-00</t>
  </si>
  <si>
    <t>C16</t>
  </si>
  <si>
    <t>TLC40K31000MVC-00</t>
  </si>
  <si>
    <t>C17</t>
  </si>
  <si>
    <t>TLC45K31000MVC-00</t>
  </si>
  <si>
    <t>C18</t>
  </si>
  <si>
    <t>TLC30K21000IVC-00</t>
  </si>
  <si>
    <t>C19</t>
  </si>
  <si>
    <t>C2</t>
  </si>
  <si>
    <t>TLC0CM52200DVT-05</t>
  </si>
  <si>
    <t>C20</t>
  </si>
  <si>
    <t>TLC0CK51000EVT-06</t>
  </si>
  <si>
    <t>C21</t>
  </si>
  <si>
    <t>TLC30K21000MVC-00</t>
  </si>
  <si>
    <t>C22</t>
  </si>
  <si>
    <t>TLC20K12200IVC-00</t>
  </si>
  <si>
    <t>C23</t>
  </si>
  <si>
    <t>TLC40K21000MVC-00</t>
  </si>
  <si>
    <t>C24</t>
  </si>
  <si>
    <t>TLC30K12200NVC-00</t>
  </si>
  <si>
    <t>C25</t>
  </si>
  <si>
    <t>TLC30K41000IVC-00</t>
  </si>
  <si>
    <t>C26</t>
  </si>
  <si>
    <t>TLC30K51000DVC-00</t>
  </si>
  <si>
    <t>C27</t>
  </si>
  <si>
    <t>TLC30J01000IVA-00</t>
  </si>
  <si>
    <t>C28</t>
  </si>
  <si>
    <t>TLC30J04700IVA-00</t>
  </si>
  <si>
    <t>C29</t>
  </si>
  <si>
    <t>C3</t>
  </si>
  <si>
    <t>TLC30J11000MVA-00</t>
  </si>
  <si>
    <t>C30</t>
  </si>
  <si>
    <t>TLC30J12200IVA-00</t>
  </si>
  <si>
    <t>C31</t>
  </si>
  <si>
    <t>TLC40K51000EVC-00</t>
  </si>
  <si>
    <t>C32</t>
  </si>
  <si>
    <t>TLC40K41000GVC-00</t>
  </si>
  <si>
    <t>C33</t>
  </si>
  <si>
    <t>TLC45K52200EVC-00</t>
  </si>
  <si>
    <t>C34</t>
  </si>
  <si>
    <t>TLC45K32200NVC-01</t>
  </si>
  <si>
    <t>C35</t>
  </si>
  <si>
    <t>TLC0BK51000DVT-01</t>
  </si>
  <si>
    <t>C36</t>
  </si>
  <si>
    <t>TLC40J01000MVA-00</t>
  </si>
  <si>
    <t>C37</t>
  </si>
  <si>
    <t>TLC0BK51000DVT-00</t>
  </si>
  <si>
    <t>C38</t>
  </si>
  <si>
    <t>C39</t>
  </si>
  <si>
    <t>C4</t>
  </si>
  <si>
    <t>TLC0EK51000HVT-07</t>
  </si>
  <si>
    <t>C41</t>
  </si>
  <si>
    <t>C42</t>
  </si>
  <si>
    <t>C5</t>
  </si>
  <si>
    <t>C6</t>
  </si>
  <si>
    <t>C7</t>
  </si>
  <si>
    <t>C8</t>
  </si>
  <si>
    <t>C9</t>
  </si>
  <si>
    <t>D1</t>
  </si>
  <si>
    <t>D10</t>
  </si>
  <si>
    <t>D11</t>
  </si>
  <si>
    <t>D12</t>
  </si>
  <si>
    <t>D13</t>
  </si>
  <si>
    <t>D14</t>
  </si>
  <si>
    <t>TL-D0000481</t>
  </si>
  <si>
    <t>D15</t>
  </si>
  <si>
    <t>TL-D0000123</t>
  </si>
  <si>
    <t>D16</t>
  </si>
  <si>
    <t>TL-D0000993</t>
  </si>
  <si>
    <t>D17</t>
  </si>
  <si>
    <t>TL-D0000122</t>
  </si>
  <si>
    <t>D18</t>
  </si>
  <si>
    <t>TL-D0000442</t>
  </si>
  <si>
    <t>D19</t>
  </si>
  <si>
    <t>D2</t>
  </si>
  <si>
    <t>TL-D0000131</t>
  </si>
  <si>
    <t>D20</t>
  </si>
  <si>
    <t>TL-D0001004</t>
  </si>
  <si>
    <t>D21</t>
  </si>
  <si>
    <t>TL-D0000674</t>
  </si>
  <si>
    <t>D22</t>
  </si>
  <si>
    <t>TL-D0000316</t>
  </si>
  <si>
    <t>D23</t>
  </si>
  <si>
    <t>TL-D0000401</t>
  </si>
  <si>
    <t>D24</t>
  </si>
  <si>
    <t>TL-D0001125</t>
  </si>
  <si>
    <t>D25</t>
  </si>
  <si>
    <t>TL-D0000452</t>
  </si>
  <si>
    <t>D26</t>
  </si>
  <si>
    <t>D27</t>
  </si>
  <si>
    <t>D28</t>
  </si>
  <si>
    <t>D29</t>
  </si>
  <si>
    <t>D3</t>
  </si>
  <si>
    <t>D30</t>
  </si>
  <si>
    <t>D31</t>
  </si>
  <si>
    <t>D4</t>
  </si>
  <si>
    <t>D5</t>
  </si>
  <si>
    <t>D6</t>
  </si>
  <si>
    <t>D7</t>
  </si>
  <si>
    <t>D8</t>
  </si>
  <si>
    <t>D9</t>
  </si>
  <si>
    <t>G1</t>
  </si>
  <si>
    <t>TL-IC0000435</t>
  </si>
  <si>
    <t>G10</t>
  </si>
  <si>
    <t>TL-IC0000377</t>
  </si>
  <si>
    <t>G11</t>
  </si>
  <si>
    <t>TL-IC0000376</t>
  </si>
  <si>
    <t>G12</t>
  </si>
  <si>
    <t>TL-L0000021</t>
  </si>
  <si>
    <t>G2</t>
  </si>
  <si>
    <t>TL-L0000019</t>
  </si>
  <si>
    <t>G3</t>
  </si>
  <si>
    <t>TL-L0000125</t>
  </si>
  <si>
    <t>G4</t>
  </si>
  <si>
    <t>G5</t>
  </si>
  <si>
    <t>G6</t>
  </si>
  <si>
    <t>G7</t>
  </si>
  <si>
    <t>G8</t>
  </si>
  <si>
    <t>G9</t>
  </si>
  <si>
    <t>R1</t>
  </si>
  <si>
    <t>R10</t>
  </si>
  <si>
    <t>R100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</si>
  <si>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</si>
  <si>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</si>
  <si>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</si>
  <si>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</si>
  <si>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</si>
  <si>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</si>
  <si>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</si>
  <si>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</si>
  <si>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</si>
  <si>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</si>
  <si>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</si>
  <si>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</si>
  <si>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</si>
  <si>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</si>
  <si>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</si>
  <si>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</si>
  <si>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</si>
  <si>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</si>
  <si>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</si>
  <si>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</si>
  <si>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</si>
  <si>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</si>
  <si>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</si>
  <si>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</si>
  <si>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</si>
  <si>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</si>
  <si>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</si>
  <si>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</si>
  <si>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</si>
  <si>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</si>
  <si>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</si>
  <si>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</t>
  </si>
  <si>
    <t>TL-R80J-44700-00</t>
  </si>
  <si>
    <t>R40</t>
  </si>
  <si>
    <t>TL-R20J-61000-00</t>
  </si>
  <si>
    <t>R41</t>
  </si>
  <si>
    <t>TL-R80Z-00000-00</t>
  </si>
  <si>
    <t>R42</t>
  </si>
  <si>
    <t>TL-R80J-46200-00</t>
  </si>
  <si>
    <t>R43</t>
  </si>
  <si>
    <t>TL-R60F-31270-00</t>
  </si>
  <si>
    <t>R44</t>
  </si>
  <si>
    <t>TL-R30J-51000-00</t>
  </si>
  <si>
    <t>R45</t>
  </si>
  <si>
    <t>TL-R20J-42200-00</t>
  </si>
  <si>
    <t>R46</t>
  </si>
  <si>
    <t>TL-R20C-43000-00</t>
  </si>
  <si>
    <t>R47</t>
  </si>
  <si>
    <t>TL-R80J-42700-00</t>
  </si>
  <si>
    <t>R48</t>
  </si>
  <si>
    <t>TL-R45Z-00000-00</t>
  </si>
  <si>
    <t>R49</t>
  </si>
  <si>
    <t>R5</t>
  </si>
  <si>
    <t>TL-R30J-34700-00</t>
  </si>
  <si>
    <t>R50</t>
  </si>
  <si>
    <t>TL-R60J-22200-00</t>
  </si>
  <si>
    <t>R51</t>
  </si>
  <si>
    <t>TL-R60J-36200-00</t>
  </si>
  <si>
    <t>R52</t>
  </si>
  <si>
    <t>TL-R20J-42000-00</t>
  </si>
  <si>
    <t>R53</t>
  </si>
  <si>
    <t>TL-R60J-44700-00</t>
  </si>
  <si>
    <t>R54</t>
  </si>
  <si>
    <t>TL-R60J-31200-00</t>
  </si>
  <si>
    <t>R55</t>
  </si>
  <si>
    <t>TL-R20J-27500-00</t>
  </si>
  <si>
    <t>R56</t>
  </si>
  <si>
    <t>TL-R60F-41000-00</t>
  </si>
  <si>
    <t>R57</t>
  </si>
  <si>
    <t>TL-R30J-44700-00</t>
  </si>
  <si>
    <t>R58</t>
  </si>
  <si>
    <t>TL-R30J-71000-00</t>
  </si>
  <si>
    <t>R59</t>
  </si>
  <si>
    <t>R6</t>
  </si>
  <si>
    <t>TL-R80J-21500-00</t>
  </si>
  <si>
    <t>R60</t>
  </si>
  <si>
    <t>TL-R60J-51200-00</t>
  </si>
  <si>
    <t>R61</t>
  </si>
  <si>
    <t>TL-R45J-21000-00</t>
  </si>
  <si>
    <t>R62</t>
  </si>
  <si>
    <t>TL-R60J-42400-00</t>
  </si>
  <si>
    <t>R63</t>
  </si>
  <si>
    <t>TL-R60J-51000-00</t>
  </si>
  <si>
    <t>R64</t>
  </si>
  <si>
    <t>TL-R20J-22000-00</t>
  </si>
  <si>
    <t>R65</t>
  </si>
  <si>
    <t>TL-R80J-31500-00</t>
  </si>
  <si>
    <t>R66</t>
  </si>
  <si>
    <t>TL-R20F-51270-00</t>
  </si>
  <si>
    <t>R67</t>
  </si>
  <si>
    <t>TL-R80J-51000-00</t>
  </si>
  <si>
    <t>R68</t>
  </si>
  <si>
    <t>TL-R30J-52000-00</t>
  </si>
  <si>
    <t>R69</t>
  </si>
  <si>
    <t>R7</t>
  </si>
  <si>
    <t>TL-R30J-41000-00</t>
  </si>
  <si>
    <t>R70</t>
  </si>
  <si>
    <t>TL-R20J-41500-00</t>
  </si>
  <si>
    <t>R71</t>
  </si>
  <si>
    <t>TL-R60J-24700-00</t>
  </si>
  <si>
    <t>R72</t>
  </si>
  <si>
    <t>TL-R20F-54320-00</t>
  </si>
  <si>
    <t>R73</t>
  </si>
  <si>
    <t>R76</t>
  </si>
  <si>
    <t>R77</t>
  </si>
  <si>
    <t>R78</t>
  </si>
  <si>
    <t>R79</t>
  </si>
  <si>
    <t>R8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</si>
  <si>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</si>
  <si>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</si>
  <si>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</si>
  <si>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</si>
  <si>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</si>
  <si>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</si>
  <si>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</si>
  <si>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</si>
  <si>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</si>
  <si>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</si>
  <si>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</si>
  <si>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</si>
  <si>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</si>
  <si>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</si>
  <si>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</si>
  <si>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</si>
  <si>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</si>
  <si>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</si>
  <si>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</si>
  <si>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</si>
  <si>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</si>
  <si>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LCSC PN</t>
  </si>
  <si>
    <t>SPQ</t>
  </si>
  <si>
    <t>Digikey</t>
  </si>
  <si>
    <t>C14663</t>
  </si>
  <si>
    <t>C113837</t>
  </si>
  <si>
    <t>C77063</t>
  </si>
  <si>
    <t>C83055</t>
  </si>
  <si>
    <t>C24123</t>
  </si>
  <si>
    <t>C115056</t>
  </si>
  <si>
    <t>C1791</t>
  </si>
  <si>
    <t>C107161</t>
  </si>
  <si>
    <t>C559293</t>
  </si>
  <si>
    <t>C527381</t>
  </si>
  <si>
    <t>C83170</t>
  </si>
  <si>
    <t>C14858</t>
  </si>
  <si>
    <t>C1955021</t>
  </si>
  <si>
    <t>C110050</t>
  </si>
  <si>
    <t>C106844</t>
  </si>
  <si>
    <t>C86023</t>
  </si>
  <si>
    <t>C527328</t>
  </si>
  <si>
    <t>C107166</t>
  </si>
  <si>
    <t>C77083</t>
  </si>
  <si>
    <t>C86038</t>
  </si>
  <si>
    <t>C1790</t>
  </si>
  <si>
    <t>C62771</t>
  </si>
  <si>
    <t>C86020</t>
  </si>
  <si>
    <t>C309487</t>
  </si>
  <si>
    <t>C107103</t>
  </si>
  <si>
    <t>C47971</t>
  </si>
  <si>
    <t>C107184</t>
  </si>
  <si>
    <t>C703078</t>
  </si>
  <si>
    <t>C326671</t>
  </si>
  <si>
    <t>C74423</t>
  </si>
  <si>
    <t>C577171</t>
  </si>
  <si>
    <t>C7177</t>
  </si>
  <si>
    <t>C77026</t>
  </si>
  <si>
    <t>C122299</t>
  </si>
  <si>
    <t>C296717</t>
  </si>
  <si>
    <t>C107070</t>
  </si>
  <si>
    <t>C694185</t>
  </si>
  <si>
    <t>C59782</t>
  </si>
  <si>
    <t>C107040</t>
  </si>
  <si>
    <t>C106211</t>
  </si>
  <si>
    <t>C1621</t>
  </si>
  <si>
    <t>C1623</t>
  </si>
  <si>
    <t>C154769</t>
  </si>
  <si>
    <t>C110541</t>
  </si>
  <si>
    <t>C11177</t>
  </si>
  <si>
    <t>C85181</t>
  </si>
  <si>
    <t>C5374761</t>
  </si>
  <si>
    <t>C155378</t>
  </si>
  <si>
    <t>C260886</t>
  </si>
  <si>
    <t>C94399</t>
  </si>
  <si>
    <t>C441850</t>
  </si>
  <si>
    <t>C110485</t>
  </si>
  <si>
    <t>C500776</t>
  </si>
  <si>
    <t>C99333</t>
  </si>
  <si>
    <t>C106919</t>
  </si>
  <si>
    <t>C495220</t>
  </si>
  <si>
    <t>C110524</t>
  </si>
  <si>
    <t>C177024</t>
  </si>
  <si>
    <t>C125106</t>
  </si>
  <si>
    <t>C155214</t>
  </si>
  <si>
    <t>C5244960</t>
  </si>
  <si>
    <t>C155250</t>
  </si>
  <si>
    <t>C151054</t>
  </si>
  <si>
    <t>C236191</t>
  </si>
  <si>
    <t>C19726</t>
  </si>
  <si>
    <t>C151257</t>
  </si>
  <si>
    <t>C124196</t>
  </si>
  <si>
    <t>C5665658</t>
  </si>
  <si>
    <t>C125090</t>
  </si>
  <si>
    <t>C46523</t>
  </si>
  <si>
    <t>C177051</t>
  </si>
  <si>
    <t>C134405</t>
  </si>
  <si>
    <t>C2442074</t>
  </si>
  <si>
    <t>C62505</t>
  </si>
  <si>
    <t>C7469</t>
  </si>
  <si>
    <t>C7468</t>
  </si>
  <si>
    <t>C2441364</t>
  </si>
  <si>
    <t>C14709</t>
  </si>
  <si>
    <t>C82460</t>
  </si>
  <si>
    <t>C77760</t>
  </si>
  <si>
    <t>C151827</t>
  </si>
  <si>
    <t>C73681</t>
  </si>
  <si>
    <t>C114621</t>
  </si>
  <si>
    <t>C99782</t>
  </si>
  <si>
    <t>C230106</t>
  </si>
  <si>
    <t>C114637</t>
  </si>
  <si>
    <t>C98220</t>
  </si>
  <si>
    <t>C123417</t>
  </si>
  <si>
    <t>C105575</t>
  </si>
  <si>
    <t>C105578</t>
  </si>
  <si>
    <t>C14676</t>
  </si>
  <si>
    <t>C99198</t>
  </si>
  <si>
    <t>C22173</t>
  </si>
  <si>
    <t>C137640</t>
  </si>
  <si>
    <t>C14675</t>
  </si>
  <si>
    <t>C137631</t>
  </si>
  <si>
    <t>C127447</t>
  </si>
  <si>
    <t>C107697</t>
  </si>
  <si>
    <t>C115425</t>
  </si>
  <si>
    <t>C107698</t>
  </si>
  <si>
    <t>C95177</t>
  </si>
  <si>
    <t>C169253</t>
  </si>
  <si>
    <t>C106949</t>
  </si>
  <si>
    <t>C114237</t>
  </si>
  <si>
    <t>C96345</t>
  </si>
  <si>
    <t>C114686</t>
  </si>
  <si>
    <t>C152156</t>
  </si>
  <si>
    <t>C105428</t>
  </si>
  <si>
    <t>C108078</t>
  </si>
  <si>
    <t>C110091</t>
  </si>
  <si>
    <t>C105879</t>
  </si>
  <si>
    <t>C114433</t>
  </si>
  <si>
    <t>C95781</t>
  </si>
  <si>
    <t>C131051</t>
  </si>
  <si>
    <t>C100049</t>
  </si>
  <si>
    <t>C137007</t>
  </si>
  <si>
    <t>C109318</t>
  </si>
  <si>
    <t>C878291</t>
  </si>
  <si>
    <t>C100048</t>
  </si>
  <si>
    <t>C189505</t>
  </si>
  <si>
    <t>C231055</t>
  </si>
  <si>
    <t>C175009</t>
  </si>
  <si>
    <t>C100047</t>
  </si>
  <si>
    <t>C113303</t>
  </si>
  <si>
    <t>C136963</t>
  </si>
  <si>
    <t>C326685</t>
  </si>
  <si>
    <t>C2441434</t>
  </si>
  <si>
    <t>C108661</t>
  </si>
  <si>
    <t>C114747</t>
  </si>
  <si>
    <t>C3000647</t>
  </si>
  <si>
    <t>C1883567</t>
  </si>
  <si>
    <t>C105581</t>
  </si>
  <si>
    <t>C309602</t>
  </si>
  <si>
    <t>C137047</t>
  </si>
  <si>
    <t>C127449</t>
  </si>
  <si>
    <t>C144438</t>
  </si>
  <si>
    <t>C105427</t>
  </si>
  <si>
    <t>C107699</t>
  </si>
  <si>
    <t>C114625</t>
  </si>
  <si>
    <t>C3009010</t>
  </si>
  <si>
    <t>C1883553</t>
  </si>
  <si>
    <t>C142392</t>
  </si>
  <si>
    <t>C2934015</t>
  </si>
  <si>
    <t>C309600</t>
  </si>
  <si>
    <t>C137648</t>
  </si>
  <si>
    <t>C2075214</t>
  </si>
  <si>
    <t>C844124</t>
  </si>
  <si>
    <t>C137016</t>
  </si>
  <si>
    <t>C114233</t>
  </si>
  <si>
    <t>C125923</t>
  </si>
  <si>
    <t>C100046</t>
  </si>
  <si>
    <t>C114680</t>
  </si>
  <si>
    <t>C3009166</t>
  </si>
  <si>
    <t>C2484685</t>
  </si>
  <si>
    <t>C112309</t>
  </si>
  <si>
    <t>C114664</t>
  </si>
  <si>
    <t>C137739</t>
  </si>
  <si>
    <t>C114669</t>
  </si>
  <si>
    <t>C137721</t>
  </si>
  <si>
    <t>C114668</t>
  </si>
  <si>
    <t>C170491</t>
  </si>
  <si>
    <t>C126358</t>
  </si>
  <si>
    <t>C105580</t>
  </si>
  <si>
    <t>C137768</t>
  </si>
  <si>
    <t>C105579</t>
  </si>
  <si>
    <t>C137656</t>
  </si>
  <si>
    <t>C185300</t>
  </si>
  <si>
    <t>C134079</t>
  </si>
  <si>
    <t>C3008973</t>
  </si>
  <si>
    <t>C22548</t>
  </si>
  <si>
    <t>C115417</t>
  </si>
  <si>
    <t>C137502</t>
  </si>
  <si>
    <t>C96346</t>
  </si>
  <si>
    <t>C137423</t>
  </si>
  <si>
    <t>C105576</t>
  </si>
  <si>
    <t>C108190</t>
  </si>
  <si>
    <t>C137621</t>
  </si>
  <si>
    <t>C137452</t>
  </si>
  <si>
    <t>C114690</t>
  </si>
  <si>
    <t>C3933521</t>
  </si>
  <si>
    <t>Action</t>
  </si>
  <si>
    <t>TL-IC0000210</t>
  </si>
  <si>
    <t>stays</t>
  </si>
  <si>
    <t>ADD</t>
  </si>
  <si>
    <t>LCSC</t>
  </si>
  <si>
    <t>zzStock</t>
  </si>
  <si>
    <t>Ling</t>
  </si>
  <si>
    <t>TTI</t>
  </si>
  <si>
    <t>TI</t>
  </si>
  <si>
    <t>G13</t>
  </si>
  <si>
    <t>CAP CER 0.1UF 50V X7R 0603</t>
  </si>
  <si>
    <t>RES 10K OHM 1% 1/10W 0603</t>
  </si>
  <si>
    <t>CAP CER 1000PF 50V C0G/NP0 0603</t>
  </si>
  <si>
    <t>RES 1K OHM 1% 1/10W 0603</t>
  </si>
  <si>
    <t>RES 1K OHM 5% 1/10W 0603</t>
  </si>
  <si>
    <t>RES 0 OHM JUMPER 1/10W 0603</t>
  </si>
  <si>
    <t>TRANS NPN 80V 0.5A SOT23-3</t>
  </si>
  <si>
    <t>CAP CER 1UF 25V X7R 0603</t>
  </si>
  <si>
    <t>LED GREEN CLEAR CHIP SMD BOT ENT</t>
  </si>
  <si>
    <t>RES 100K OHM 1% 1/10W 0603</t>
  </si>
  <si>
    <t>RES 360 OHM 5% 1/10W 0603</t>
  </si>
  <si>
    <t>RES 4.7K OHM 5% 1/10W 0603</t>
  </si>
  <si>
    <t>RES 10K OHM 5% 1/10W 0603</t>
  </si>
  <si>
    <t>TRANS PNP 80V 0.5A SOT-23-3</t>
  </si>
  <si>
    <t>DIODE ARR SCHOTT 30V 200MA SOT23</t>
  </si>
  <si>
    <t>DIODE STANDARD 1000V 1A DO214AC</t>
  </si>
  <si>
    <t>DIODE STANDARD 200V 400MA SOD123</t>
  </si>
  <si>
    <t>DIODE ZENER 12V 500MW SOD123</t>
  </si>
  <si>
    <t>RES 2.7K OHM 5% 1W 2512</t>
  </si>
  <si>
    <t>RES 200K OHM 5% 1/10W 0603</t>
  </si>
  <si>
    <t>CAP CER 1UF 16V X7R 0603</t>
  </si>
  <si>
    <t>RES 4.99K OHM 1% 1/10W 0603</t>
  </si>
  <si>
    <t>CAP CER 0.47UF 25V X7R 0603</t>
  </si>
  <si>
    <t>CAP CER 10000PF 50V X7R 0603</t>
  </si>
  <si>
    <t>RES 430 OHM 1% 1/10W 0603</t>
  </si>
  <si>
    <t>LED GREEN CLEAR SMD</t>
  </si>
  <si>
    <t>RES 100 OHM 5% 1/10W 0603</t>
  </si>
  <si>
    <t>RES 12K OHM 5% 3/4W 2010</t>
  </si>
  <si>
    <t>CAP CER 0.1UF 50V X7R 0805</t>
  </si>
  <si>
    <t>RES 0 OHM JUMPER 1/8W 0805</t>
  </si>
  <si>
    <t>RES 0 OHM JUMPER 3/4W 2010</t>
  </si>
  <si>
    <t>DIODE ZENER 18V 200MW SOD323</t>
  </si>
  <si>
    <t>FERRITE BEAD 760 OHM 1206 1LN</t>
  </si>
  <si>
    <t>CAP CER 10UF 16V X7R 1206</t>
  </si>
  <si>
    <t>CAP CER 0.1UF 200V X7R 1206</t>
  </si>
  <si>
    <t>DIODE STANDARD 200V 1A DO214AA</t>
  </si>
  <si>
    <t>DIODE STANDARD 1000V 1A SMA</t>
  </si>
  <si>
    <t>RES SMD 127 OHM 1% 3/4W 2010</t>
  </si>
  <si>
    <t>DIODE SCHOTTKY 30V 200MA SOT233</t>
  </si>
  <si>
    <t>RES 750 OHM 5% 1/10W 0603</t>
  </si>
  <si>
    <t>CAP CER 470PF 50V C0G/NP0 0603</t>
  </si>
  <si>
    <t>RES 10K OHM 5% 1/8W 0805</t>
  </si>
  <si>
    <t>RES 47K OHM 5% 1/10W 0603</t>
  </si>
  <si>
    <t>RES 200 OHM 1% 1/10W 0603</t>
  </si>
  <si>
    <t>RES 5.1K OHM 1% 1/10W 0603</t>
  </si>
  <si>
    <t>RES 2.2K OHM 5% 1/8W 0805</t>
  </si>
  <si>
    <t>CAP CER 1000PF 200V X7R 0805</t>
  </si>
  <si>
    <t>RES 0 OHM JUMPER 1W 2512</t>
  </si>
  <si>
    <t>CAP CER 100PF 50V C0G/NP0 0603</t>
  </si>
  <si>
    <t>CAP CER 22UF 16V X7R 1210</t>
  </si>
  <si>
    <t>RES 200 OHM 5% 1/10W 0603</t>
  </si>
  <si>
    <t>RES SMD 200K OHM 5% 1/4W 1210</t>
  </si>
  <si>
    <t>RES 10 OHM 5% 1/2W 1210</t>
  </si>
  <si>
    <t>RES SMD 10K OHM 1% 1/8W 0805</t>
  </si>
  <si>
    <t>RES 4.7K OHM 5% 3/4W 2010</t>
  </si>
  <si>
    <t>RES SMD 2.4K OHM 5% 3/4W 2010</t>
  </si>
  <si>
    <t>RES 4.7 OHM 5% 1/8W 0805</t>
  </si>
  <si>
    <t>DIODE STANDARD 200V 1A DO214AC</t>
  </si>
  <si>
    <t>DIODE STANDARD 100V 200MA SOD123</t>
  </si>
  <si>
    <t>RES 33 OHM 1% 1/10W 0603</t>
  </si>
  <si>
    <t>CAP CER 18PF 50V C0G/NPO 0603</t>
  </si>
  <si>
    <t>CAP TANT 10UF 10% 10V 1206</t>
  </si>
  <si>
    <t>RES 20K OHM 5% 1/10W 0603</t>
  </si>
  <si>
    <t>RES 20K OHM 1% 1/10W 0603</t>
  </si>
  <si>
    <t>RES 75 OHM 1% 1/10W 0603</t>
  </si>
  <si>
    <t>LED CHIP LTST-C170 0805 SMD</t>
  </si>
  <si>
    <t>CAP CER 4700PF 50V X7R 0603</t>
  </si>
  <si>
    <t>RES 3.3K OHM 1% 1/10W 0603</t>
  </si>
  <si>
    <t>RES 470 OHM 5% 1/10W 0603</t>
  </si>
  <si>
    <t>DIODE STANDARD 100V 200MA SOT233</t>
  </si>
  <si>
    <t>DIODE STANDARD 200V 1A SMA</t>
  </si>
  <si>
    <t>FERRITE BEAD 120 OHM 0603 1LN</t>
  </si>
  <si>
    <t>RES 4.7K OHM 5% 1W 2512</t>
  </si>
  <si>
    <t>RES 22 OHM 5% 3/4W 2010</t>
  </si>
  <si>
    <t>RES 4.7K OHM 1% 1/10W 0603</t>
  </si>
  <si>
    <t>RES 49.9 OHM 1% 1/10W 0603</t>
  </si>
  <si>
    <t>CAP CER 2200PF 250V X7R 0805</t>
  </si>
  <si>
    <t>RES 100K OHM 1% 1/8W 0805</t>
  </si>
  <si>
    <t>RES 100 OHM 1% 1/10W 0603</t>
  </si>
  <si>
    <t>CAP CER 1000PF 50V C0G/NP0 0805</t>
  </si>
  <si>
    <t>RES SMD 2.7K OHM 5% 1/10W 0603</t>
  </si>
  <si>
    <t>DIODE ARRAY GP 75V 300MA SOT23-3</t>
  </si>
  <si>
    <t>CAP TANT 22UF 20% 10V 1411</t>
  </si>
  <si>
    <t>RES 47K OHM 1% 1/10W 0603</t>
  </si>
  <si>
    <t>TVS DIODE 3.3VWM 16VC SOT23-5</t>
  </si>
  <si>
    <t>RES 330 OHM 5% 1/10W 0603</t>
  </si>
  <si>
    <t>RES 10K OHM 5% 3/4W 2010</t>
  </si>
  <si>
    <t>RES 3K OHM 1% 1/10W 0603</t>
  </si>
  <si>
    <t>RES 2.2K OHM 5% 1/10W 0603</t>
  </si>
  <si>
    <t>TRANS NPN 40V 0.6A SOT23-3</t>
  </si>
  <si>
    <t>RES 10 OHM 1% 1/10W 0603</t>
  </si>
  <si>
    <t>RES 1K OHM 1% 1/8W 0805</t>
  </si>
  <si>
    <t>DIODE ZENER 15V 1W SMA</t>
  </si>
  <si>
    <t>FERRITE BEAD 600 OHM 0805 1LN</t>
  </si>
  <si>
    <t>FERRITE BEAD 100 OHM 1206 1LN</t>
  </si>
  <si>
    <t>DIODE ZENER 20V 1W POWERDI 123</t>
  </si>
  <si>
    <t>RES SMD 100K OHM 5% 1/10W 0603</t>
  </si>
  <si>
    <t>RES 27K OHM 5% 1/10W 0603</t>
  </si>
  <si>
    <t>RES SMD 2.49K OHM 1% 1/10W 0603</t>
  </si>
  <si>
    <t>DIODE SCHOTTKY 30V 3A SMA</t>
  </si>
  <si>
    <t>RES SMD 100 OHM 5% 1/8W 0805</t>
  </si>
  <si>
    <t>RES 4.7K OHM 5% 1/8W 0805</t>
  </si>
  <si>
    <t>RES 62K OHM 1% 1/8W 0805</t>
  </si>
  <si>
    <t>RES 150K OHM 5% 1/10W 0603</t>
  </si>
  <si>
    <t>IC VREF SERIES 0.05% SOT23-5</t>
  </si>
  <si>
    <t>RES 22 OHM 5% 1W 2512</t>
  </si>
  <si>
    <t>CAP CER 10UF 10V X7R 0805</t>
  </si>
  <si>
    <t>RES 360 OHM 1% 1/10W 0603</t>
  </si>
  <si>
    <t>CAP CER 10000PF 50V X7R 0805</t>
  </si>
  <si>
    <t>RES 1.5K OHM 1% 1/10W 0603</t>
  </si>
  <si>
    <t>RES 1M OHM 5% 1/10W 0603</t>
  </si>
  <si>
    <t>RES 12.1K OHM 1% 1/10W 0603</t>
  </si>
  <si>
    <t>CAP CER 4700PF 50V C0G/NP0 0805</t>
  </si>
  <si>
    <t>CAP CER 10000PF 200V X7R 1206</t>
  </si>
  <si>
    <t>CAP CER 100PF 50V C0G/NP0 0805</t>
  </si>
  <si>
    <t>IC INVERTER 1CH 1-INP SOT23-5</t>
  </si>
  <si>
    <t>RES SMD 6.2K OHM 5% 1W 2512</t>
  </si>
  <si>
    <t>RES SMD 10K OHM 5% 3/4W 1210</t>
  </si>
  <si>
    <t>RES 510K OHM 5% 1/10W 0603</t>
  </si>
  <si>
    <t>RES 8.2K OHM 1% 1/10W 0603</t>
  </si>
  <si>
    <t>CAP CER 1UF 16V X7R 0805</t>
  </si>
  <si>
    <t>RES 47K OHM 5% 1/8W 0805</t>
  </si>
  <si>
    <t>RES 2K OHM 1% 1/10W 0603</t>
  </si>
  <si>
    <t>RES 620 OHM 5% 3/4W 2010</t>
  </si>
  <si>
    <t>CAP CER 100PF 200V C0G/NPO 1206</t>
  </si>
  <si>
    <t>CAP CER 330PF 200V C0G/NP0 0805</t>
  </si>
  <si>
    <t>RES 39K OHM 5% 1/10W 0603</t>
  </si>
  <si>
    <t>RES 75 OHM 5% 1/10W 0603</t>
  </si>
  <si>
    <t>RES 1M OHM 1% 1/10W 0603</t>
  </si>
  <si>
    <t>RES SMD 3K OHM 0.1% 1/5W 0603</t>
  </si>
  <si>
    <t>CAP CER 0.22UF 250V X7R SMD</t>
  </si>
  <si>
    <t>RES 1K OHM 5% 1/8W 0805</t>
  </si>
  <si>
    <t>CAP CER 1UF 50V X7R 0805</t>
  </si>
  <si>
    <t>CAP CER 1UF 25V X7R 1206</t>
  </si>
  <si>
    <t>RES 180 OHM 5% 1/10W 0603</t>
  </si>
  <si>
    <t>DIODE ZENER 3.3V 500MW SOD123</t>
  </si>
  <si>
    <t>RES 15 OHM 5% 1W 2512</t>
  </si>
  <si>
    <t>IC BUF NON-INVERT 5.5V SOT23-5</t>
  </si>
  <si>
    <t>DIODE ZENER 5.1V 500MW SOD123</t>
  </si>
  <si>
    <t>CAP CER 10000PF 200V X7R 0805</t>
  </si>
  <si>
    <t>RES 1M OHM 1% 1/8W 0805</t>
  </si>
  <si>
    <t>RES 100K OHM 5% 1/8W 0805</t>
  </si>
  <si>
    <t>TVS DIODE 5VWM SOT23-6</t>
  </si>
  <si>
    <t>CAP TANT 10UF 10% 16V 1411</t>
  </si>
  <si>
    <t>DIODE ZENER 15V 500MW SOD123F</t>
  </si>
  <si>
    <t>RES 10K OHM 5% 1W 2512</t>
  </si>
  <si>
    <t>RES SMD 47 OHM 5% 3/4W 2010</t>
  </si>
  <si>
    <t>IC COMPARATOR 1 W/VOLT REF SOT23</t>
  </si>
  <si>
    <t>CAP CER 2200PF 100V X7R 0603</t>
  </si>
  <si>
    <t>RES SMD 1.82K OHM 1% 1/10W 0603</t>
  </si>
  <si>
    <t>RES 1.5K OHM 5% 1/10W 0603</t>
  </si>
  <si>
    <t>RES 22.1K OHM 1% 1/10W 0603</t>
  </si>
  <si>
    <t>RES 470 OHM 1% 1/10W 0603</t>
  </si>
  <si>
    <t>CAP TANT 10UF 10% 35V 2917</t>
  </si>
  <si>
    <t>RES 12.7K OHM 1% 1/10W 0603</t>
  </si>
  <si>
    <t>RES SMD 1K OHM 1% 3/4W 2010</t>
  </si>
  <si>
    <t>RES 4.7 OHM 5% 1/10W 0603</t>
  </si>
  <si>
    <t>RES 120 OHM 5% 3/4W 2010</t>
  </si>
  <si>
    <t>RES 20K OHM 5% 1/8W 0805</t>
  </si>
  <si>
    <t>CAP CER 470PF 50V C0G/NPO 0805</t>
  </si>
  <si>
    <t>CAP CER 2200PF 50V C0G/NP0 0805</t>
  </si>
  <si>
    <t>TVS DIODE 48VWM 77.4VC DO214AA</t>
  </si>
  <si>
    <t>CAP CER 0.33UF 25V X7R 0603</t>
  </si>
  <si>
    <t>RES 470 OHM 5% 1/8W 0805</t>
  </si>
  <si>
    <t>CAP CER 0.1UF 200V X7R 1210</t>
  </si>
  <si>
    <t>CAP CER 1000PF 200V C0G/NPO 0805</t>
  </si>
  <si>
    <t>DIODE ZENER 4.7V 500MW SOD123</t>
  </si>
  <si>
    <t>TVS DIODE 20VWM 32.4VC DO214AA</t>
  </si>
  <si>
    <t>RES 2K OHM 5% 1/10W 0603</t>
  </si>
  <si>
    <t>THERMISTOR NTC 10KOHM 3900K 0805</t>
  </si>
  <si>
    <t>RES 0 OHM JUMPER 1/2W 1210</t>
  </si>
  <si>
    <t>RES 20 OHM 5% 1/10W 0603</t>
  </si>
  <si>
    <t>RES 2M OHM 5% 1/8W 0805</t>
  </si>
  <si>
    <t>RES 1K OHM 5% 1/2W 1210</t>
  </si>
  <si>
    <t>DIODE ZENER 24V 500MW SOD123F</t>
  </si>
  <si>
    <t>RES SMD 150 OHM 5% 1W 2512</t>
  </si>
  <si>
    <t>RES 43.2K OHM 1% 1/10W 0603</t>
  </si>
  <si>
    <t>CAP CER 100PF 100V C0G/NP0 0603</t>
  </si>
  <si>
    <t>CAP CER 330PF 50V C0G/NP0 0805</t>
  </si>
  <si>
    <t>FERRITE BEAD 80 OHM 0805 1LN</t>
  </si>
  <si>
    <t>No of Reps</t>
  </si>
  <si>
    <t>Mcodes</t>
  </si>
  <si>
    <t>CP</t>
  </si>
  <si>
    <t>Package / Case</t>
  </si>
  <si>
    <t>1206 (3216 Metric)</t>
  </si>
  <si>
    <t>SOD-123</t>
  </si>
  <si>
    <t>2512 (6432 Metric)</t>
  </si>
  <si>
    <t>2010 (5025 Metric)</t>
  </si>
  <si>
    <t>DO-214AA, SMB</t>
  </si>
  <si>
    <t>TO-236-3, SC-59, SOT-23-3</t>
  </si>
  <si>
    <t>0805 (2012 Metric)</t>
  </si>
  <si>
    <t>1210 (3225 Metric)</t>
  </si>
  <si>
    <t>0603 (1608 Metric)</t>
  </si>
  <si>
    <t>1411 (3528 Metric), 1210</t>
  </si>
  <si>
    <t>SC-74A, SOT-753</t>
  </si>
  <si>
    <t>DO-214AC, SMA</t>
  </si>
  <si>
    <t>POWERDI®123</t>
  </si>
  <si>
    <t>SMD, J-Lead</t>
  </si>
  <si>
    <t>SOT-23-6</t>
  </si>
  <si>
    <t>1411 (3528 Metric)</t>
  </si>
  <si>
    <t>2917 (7343 Metric)</t>
  </si>
  <si>
    <t>SOD-123F</t>
  </si>
  <si>
    <t>-</t>
  </si>
  <si>
    <t>SC-76, SOD-323</t>
  </si>
  <si>
    <t>Feeder Type</t>
  </si>
  <si>
    <t>311-2.2KGRCT-ND</t>
  </si>
  <si>
    <t>311-100KLECT-ND</t>
  </si>
  <si>
    <t>311-75GRCT-ND</t>
  </si>
  <si>
    <t>P20024CT-ND</t>
  </si>
  <si>
    <t>311-1.5KGRCT-ND</t>
  </si>
  <si>
    <t>541-5160-1-ND</t>
  </si>
  <si>
    <t>311-2.0KGRCT-ND</t>
  </si>
  <si>
    <t>311-20GRCT-ND</t>
  </si>
  <si>
    <t>RMCF0603FT43K2CT-ND</t>
  </si>
  <si>
    <t>311-360GRCT-ND</t>
  </si>
  <si>
    <t>311-750GRCT-ND</t>
  </si>
  <si>
    <t>311-200HRCT-ND</t>
  </si>
  <si>
    <t>311-5.10KHRCT-ND</t>
  </si>
  <si>
    <t>311-75.0HRCT-ND</t>
  </si>
  <si>
    <t>541-2.7KGCT-ND</t>
  </si>
  <si>
    <t>311-47.0KHRCT-ND</t>
  </si>
  <si>
    <t>311-3.00KHRCT-ND</t>
  </si>
  <si>
    <t>541-CRCW06032K49FKTACT-ND</t>
  </si>
  <si>
    <t>311-150KGRCT-ND</t>
  </si>
  <si>
    <t>311-360HRCT-ND</t>
  </si>
  <si>
    <t>311-1.50KHRCT-ND</t>
  </si>
  <si>
    <t>311-2.00KHRCT-ND</t>
  </si>
  <si>
    <t>311-180GRCT-ND</t>
  </si>
  <si>
    <t>541-CRCW06031K82FKTACT-ND</t>
  </si>
  <si>
    <t>311-22.1KHRCT-ND</t>
  </si>
  <si>
    <t>311-470HRCT-ND</t>
  </si>
  <si>
    <t>311-4.7GRCT-ND</t>
  </si>
  <si>
    <t>311-100GRCT-ND</t>
  </si>
  <si>
    <t>311-4.7KGRCT-ND</t>
  </si>
  <si>
    <t>311-10.0KHRCT-ND</t>
  </si>
  <si>
    <t>311-1.00KHRCT-ND</t>
  </si>
  <si>
    <t>311-1.0KGRCT-ND</t>
  </si>
  <si>
    <t>311-0.0GRCT-ND</t>
  </si>
  <si>
    <t>311-100KHRCT-ND</t>
  </si>
  <si>
    <t>311-10KGRCT-ND</t>
  </si>
  <si>
    <t>311-200KGRCT-ND</t>
  </si>
  <si>
    <t>311-4.99KHRCT-ND</t>
  </si>
  <si>
    <t>311-430HRCT-ND</t>
  </si>
  <si>
    <t>311-47KGRCT-ND</t>
  </si>
  <si>
    <t>311-200GRCT-ND</t>
  </si>
  <si>
    <t>541-3988-1-ND</t>
  </si>
  <si>
    <t>311-20KGRCT-ND</t>
  </si>
  <si>
    <t>311-20.0KHRCT-ND</t>
  </si>
  <si>
    <t>13-RC0603FR-103K3LCT-ND</t>
  </si>
  <si>
    <t>311-470GRCT-ND</t>
  </si>
  <si>
    <t>311-4.70KHRCT-ND</t>
  </si>
  <si>
    <t>311-49.9HRCT-ND</t>
  </si>
  <si>
    <t>311-100HRCT-ND</t>
  </si>
  <si>
    <t>311-330GRCT-ND</t>
  </si>
  <si>
    <t>311-10.0HRCT-ND</t>
  </si>
  <si>
    <t>311-27KGRCT-ND</t>
  </si>
  <si>
    <t>311-1.0MGRCT-ND</t>
  </si>
  <si>
    <t>311-12.1KHRCT-ND</t>
  </si>
  <si>
    <t>311-510KGRCT-ND</t>
  </si>
  <si>
    <t>311-8.20KHRCT-ND</t>
  </si>
  <si>
    <t>311-39KGRCT-ND</t>
  </si>
  <si>
    <t>311-1.00MHRCT-ND</t>
  </si>
  <si>
    <t>311-10KARCT-ND</t>
  </si>
  <si>
    <t>311-4.7KARCT-ND</t>
  </si>
  <si>
    <t>311-1.0KARCT-ND</t>
  </si>
  <si>
    <t>311-1.00MCRCT-ND</t>
  </si>
  <si>
    <t>311-20KARCT-ND</t>
  </si>
  <si>
    <t>311-470ARCT-ND</t>
  </si>
  <si>
    <t>311-4.7ARCT-ND</t>
  </si>
  <si>
    <t>311-100KCRCT-ND</t>
  </si>
  <si>
    <t>311-62.0KCRCT-ND</t>
  </si>
  <si>
    <t>311-2.0MARCT-ND</t>
  </si>
  <si>
    <t>311-0.0ARCT-ND</t>
  </si>
  <si>
    <t>311-2.2KARCT-ND</t>
  </si>
  <si>
    <t>P10.0KCCT-ND</t>
  </si>
  <si>
    <t>311-1.00KCRCT-ND</t>
  </si>
  <si>
    <t>P100ACT-ND</t>
  </si>
  <si>
    <t>311-47KARCT-ND</t>
  </si>
  <si>
    <t>311-100KARCT-ND</t>
  </si>
  <si>
    <t>YAG3376CT-ND</t>
  </si>
  <si>
    <t>YAG3375CT-ND</t>
  </si>
  <si>
    <t>541-10KNCT-ND</t>
  </si>
  <si>
    <t>YAG3377CT-ND</t>
  </si>
  <si>
    <t>13-RC2010JK-0712KLCT-ND</t>
  </si>
  <si>
    <t>541-CRCW2010127RFKEFCT-ND</t>
  </si>
  <si>
    <t>13-RC2010JK-074K7LCT-ND</t>
  </si>
  <si>
    <t>541-2.4KWCT-ND</t>
  </si>
  <si>
    <t>RMCF2010JT22R0CT-ND</t>
  </si>
  <si>
    <t>YAG3382CT-ND</t>
  </si>
  <si>
    <t>13-RC2010JK-07620RLCT-ND</t>
  </si>
  <si>
    <t>541-47.0WCT-ND</t>
  </si>
  <si>
    <t>P1.00KACCT-ND</t>
  </si>
  <si>
    <t>YAG3384CT-ND</t>
  </si>
  <si>
    <t>YAG3380CT-ND</t>
  </si>
  <si>
    <t>13-RC2512JK-072K7LCT-ND</t>
  </si>
  <si>
    <t>YAG1232CT-ND</t>
  </si>
  <si>
    <t>YAG3405CT-ND</t>
  </si>
  <si>
    <t>541-6.2KXCT-ND</t>
  </si>
  <si>
    <t>13-RC2512JK-0715RLCT-ND</t>
  </si>
  <si>
    <t>YAG3394CT-ND</t>
  </si>
  <si>
    <t>PT150XCT-ND</t>
  </si>
  <si>
    <t>YAG3400CT-ND</t>
  </si>
  <si>
    <t>160-1179-1-ND</t>
  </si>
  <si>
    <t>160-LTST-C170KDKTCT-ND</t>
  </si>
  <si>
    <t>160-1456-1-ND</t>
  </si>
  <si>
    <t>112-MURS120-M3/52TCT-ND</t>
  </si>
  <si>
    <t>SMBJ20ABCT-ND</t>
  </si>
  <si>
    <t>SMBJ48ALFCT-ND</t>
  </si>
  <si>
    <t>4878-US1MCT-ND</t>
  </si>
  <si>
    <t>1655-S1DCT-ND</t>
  </si>
  <si>
    <t>DFLZ20DICT-ND</t>
  </si>
  <si>
    <t>SMAZ15-FDICT-ND</t>
  </si>
  <si>
    <t>B330A-FDICT-ND</t>
  </si>
  <si>
    <t>S1M-FDICT-ND</t>
  </si>
  <si>
    <t>ES1D-FDICT-ND</t>
  </si>
  <si>
    <t>BAV21W-FDICT-ND</t>
  </si>
  <si>
    <t>MMSZ5242B-FDICT-ND</t>
  </si>
  <si>
    <t>MMSZ5226B-FDICT-ND</t>
  </si>
  <si>
    <t>MMSZ5230B-FDICT-ND</t>
  </si>
  <si>
    <t>BZT52C4V7-13FDICT-ND</t>
  </si>
  <si>
    <t>BZT52C12-FDICT-ND</t>
  </si>
  <si>
    <t>MMSD4148T1GOSCT-ND</t>
  </si>
  <si>
    <t>1655-MMSZ5231BCT-ND</t>
  </si>
  <si>
    <t>4878-MMSZ5252BCT-ND</t>
  </si>
  <si>
    <t>4878-MMSZ5245BCT-ND</t>
  </si>
  <si>
    <t>MMSZ5248BS-FDICT-ND</t>
  </si>
  <si>
    <t>BAV99-FDICT-ND</t>
  </si>
  <si>
    <t>MMBTA56-FDICT-ND</t>
  </si>
  <si>
    <t>BAT54C-FDICT-ND</t>
  </si>
  <si>
    <t>BAT54LT1GOSCT-ND</t>
  </si>
  <si>
    <t>MMBTA06LT1GOSCT-ND</t>
  </si>
  <si>
    <t>BAT54SLT1GOSCT-ND</t>
  </si>
  <si>
    <t>MMBD914LT1GOSCT-ND</t>
  </si>
  <si>
    <t>MMBT2222ALT1GOSCT-ND</t>
  </si>
  <si>
    <t>RCLAMP3354STCTCT-ND</t>
  </si>
  <si>
    <t>296-REF4132B30DBVRCT-ND</t>
  </si>
  <si>
    <t>296-1092-1-ND</t>
  </si>
  <si>
    <t>296-8744-1-ND</t>
  </si>
  <si>
    <t>497-6635-1-ND</t>
  </si>
  <si>
    <t>296-39261-1-ND</t>
  </si>
  <si>
    <t>490-1037-1-ND</t>
  </si>
  <si>
    <t>490-1478-1-ND</t>
  </si>
  <si>
    <t>311-3573-1-ND</t>
  </si>
  <si>
    <t>490-1351-1-ND</t>
  </si>
  <si>
    <t>311-1344-1-ND</t>
  </si>
  <si>
    <t>490-1451-1-ND</t>
  </si>
  <si>
    <t>1276-CL10B105KA8NNNLCT-ND</t>
  </si>
  <si>
    <t>311-3485-1-ND</t>
  </si>
  <si>
    <t>587-2670-1-ND</t>
  </si>
  <si>
    <t>1292-1382-1-ND</t>
  </si>
  <si>
    <t>1292-1530-1-ND</t>
  </si>
  <si>
    <t>1276-1008-1-ND</t>
  </si>
  <si>
    <t>311-1061-1-ND</t>
  </si>
  <si>
    <t>1276-1098-1-ND</t>
  </si>
  <si>
    <t>311-1469-1-ND</t>
  </si>
  <si>
    <t>399-C0805C222KARACTUCT-ND</t>
  </si>
  <si>
    <t>399-C0805C102J5GACTUCT-ND</t>
  </si>
  <si>
    <t>240-2399-1-ND</t>
  </si>
  <si>
    <t>490-14381-1-ND</t>
  </si>
  <si>
    <t>399-C0805C103K5RACTUCT-ND</t>
  </si>
  <si>
    <t>1276-1014-1-ND</t>
  </si>
  <si>
    <t>311-1886-1-ND</t>
  </si>
  <si>
    <t>311-1486-1-ND</t>
  </si>
  <si>
    <t>311-1119-1-ND</t>
  </si>
  <si>
    <t>478-KGM21ACG1H222JUCT-ND</t>
  </si>
  <si>
    <t>311-4246-1-ND</t>
  </si>
  <si>
    <t>478-KGM21BCG1H331JTCT-ND</t>
  </si>
  <si>
    <t>240-2395-1-ND</t>
  </si>
  <si>
    <t>399-C0805C104K5RACTUCT-ND</t>
  </si>
  <si>
    <t>490-3044-1-ND</t>
  </si>
  <si>
    <t>399-C0805C105K4RACTUCT-ND</t>
  </si>
  <si>
    <t>478-KGM21ECG2D331JUCT-ND</t>
  </si>
  <si>
    <t>490-2456-1-ND</t>
  </si>
  <si>
    <t>1276-1082-1-ND</t>
  </si>
  <si>
    <t>399-C1206C104J2RACTUCT-ND</t>
  </si>
  <si>
    <t>478-1654-1-ND</t>
  </si>
  <si>
    <t>240-2408-1-ND</t>
  </si>
  <si>
    <t>311-4454-1-ND</t>
  </si>
  <si>
    <t>311-1491-1-ND</t>
  </si>
  <si>
    <t>311-1356-1-ND</t>
  </si>
  <si>
    <t>478-1751-1-ND</t>
  </si>
  <si>
    <t>240-2564-1-ND</t>
  </si>
  <si>
    <t>478-KGM32AR71C226KUCT-ND</t>
  </si>
  <si>
    <t>478-KGM32HR72D104KUCT-ND</t>
  </si>
  <si>
    <t>399-3706-1-ND</t>
  </si>
  <si>
    <t>478-4088-1-ND</t>
  </si>
  <si>
    <t>399-3766-1-ND</t>
  </si>
  <si>
    <t>445-10308-1-ND</t>
  </si>
  <si>
    <t>Bought 12000 from Future on 13 Sep 2024 for $199.60 CAD</t>
  </si>
  <si>
    <t>Bought 5000 from Future on 3 Sep 2024 for $103.85 CAD</t>
  </si>
  <si>
    <t>Bought from Future on 12 Dec 2024 for $68.40 CAD</t>
  </si>
  <si>
    <t>Bought from Future on 12 Dec 2024 for $73.20 CAD</t>
  </si>
  <si>
    <t>Bought 15000 from Future on 15 Jan 2025  for $25.76 CAD</t>
  </si>
  <si>
    <t>Bought 25000 from Future on 15 Jan 2025 for $25.76 CAD</t>
  </si>
  <si>
    <t>Bought 6000 from Future on 15 Jan 2025 for $114.31 CAD</t>
  </si>
  <si>
    <t>Bought 6000 from Future on 15 Jan 2025 for $97.99 CAD</t>
  </si>
  <si>
    <t>Bought 6000 from Future on 15 Jan 2025 for $106.51 CAD</t>
  </si>
  <si>
    <t>Bought 6000 from Future on 15 Jan 2025 for $147.22 CAD</t>
  </si>
  <si>
    <t>Bought 15000 from Future on 15 Jan 2025  for $17.24 CAD</t>
  </si>
  <si>
    <t>Bought 25000 from Arrow on 27 Jan 2025 for $32.50 USD</t>
  </si>
  <si>
    <t>8mm-paper</t>
  </si>
  <si>
    <t>12mm-p4</t>
  </si>
  <si>
    <t>12mm-p8</t>
  </si>
  <si>
    <t>8mm-embossed</t>
  </si>
  <si>
    <t>Buy status</t>
  </si>
  <si>
    <t>DK Unit Price</t>
  </si>
  <si>
    <t>DK Ext Price</t>
  </si>
  <si>
    <t>LCSC unit Price</t>
  </si>
  <si>
    <t>LCSC ext Price</t>
  </si>
  <si>
    <t>Standard Supplier</t>
  </si>
  <si>
    <t>General QTY bought</t>
  </si>
  <si>
    <t>Other Supplier Unit priceCase</t>
  </si>
  <si>
    <t>Other Supplier Name</t>
  </si>
  <si>
    <t>Other Supplier Ext Price</t>
  </si>
  <si>
    <t>Consumption History</t>
  </si>
  <si>
    <t>Digikey PN</t>
  </si>
  <si>
    <t>MFR</t>
  </si>
  <si>
    <t>PN to use</t>
  </si>
  <si>
    <t>Future</t>
  </si>
  <si>
    <t>Arrow</t>
  </si>
  <si>
    <t>32.5 USD</t>
  </si>
  <si>
    <t>TLAN-S018</t>
  </si>
  <si>
    <t>0603B103J500CT</t>
  </si>
  <si>
    <t>S1M-13-F</t>
  </si>
  <si>
    <t>RC0603JR-072K2L</t>
  </si>
  <si>
    <t>AC0603JR-07100KL</t>
  </si>
  <si>
    <t>RC0603JR-0775RL</t>
  </si>
  <si>
    <t>ERJ-PB3B3001V</t>
  </si>
  <si>
    <t>RC0603JR-071K5L</t>
  </si>
  <si>
    <t>CRCW060312K7FKEAC</t>
  </si>
  <si>
    <t>RC0603JR-072KL</t>
  </si>
  <si>
    <t>RC0603JR-0720RL</t>
  </si>
  <si>
    <t>RMCF0603FT43K2</t>
  </si>
  <si>
    <t>Stackpole Electronics Inc</t>
  </si>
  <si>
    <t>RC0805JR-0710KL</t>
  </si>
  <si>
    <t>RC0805JR-074K7L</t>
  </si>
  <si>
    <t>RC0805JR-071KL</t>
  </si>
  <si>
    <t>RC0805FR-071ML</t>
  </si>
  <si>
    <t>RC0805JR-0720KL</t>
  </si>
  <si>
    <t>RC0805JR-07470RL</t>
  </si>
  <si>
    <t>RC1210JR-0710RL</t>
  </si>
  <si>
    <t>RC1210JR-070RL</t>
  </si>
  <si>
    <t>CRCW20102K40JNEF</t>
  </si>
  <si>
    <t>RMCF2010JT22R0</t>
  </si>
  <si>
    <t>RC2010JK-07620RL</t>
  </si>
  <si>
    <t>CRCW201047R0JNEF</t>
  </si>
  <si>
    <t>RC2010JK-07120RL</t>
  </si>
  <si>
    <t>RC2512JK-074K7L</t>
  </si>
  <si>
    <t>RC2512JK-0715RL</t>
  </si>
  <si>
    <t>RC2512JK-0710KL</t>
  </si>
  <si>
    <t>ERJ-1TYJ151U</t>
  </si>
  <si>
    <t>LTST-C230KGKT</t>
  </si>
  <si>
    <t>DFLZ20-7</t>
  </si>
  <si>
    <t>SMAZ15-13-F</t>
  </si>
  <si>
    <t>BAV21W-7-F</t>
  </si>
  <si>
    <t>MMSZ5242B-7-F</t>
  </si>
  <si>
    <t>MMSZ5252B</t>
  </si>
  <si>
    <t>BAV99-7-F</t>
  </si>
  <si>
    <t>RCLAMP3354S.TCT</t>
  </si>
  <si>
    <t>Semtech Corporation</t>
  </si>
  <si>
    <t>SN74AHC1G125DBVR</t>
  </si>
  <si>
    <t>Texas Instruments</t>
  </si>
  <si>
    <t>BLM18PG121SN1D</t>
  </si>
  <si>
    <t>C0805C102J5GAC7800</t>
  </si>
  <si>
    <t>HZ0805E601R-10</t>
  </si>
  <si>
    <t>RC2010JK-0712KL</t>
  </si>
  <si>
    <t>CRCW2010127RFKEF</t>
  </si>
  <si>
    <t>RC2010JK-074K7L</t>
  </si>
  <si>
    <t>GRM21BR71A106KA73K</t>
  </si>
  <si>
    <t>C0805C103K5RACTU</t>
  </si>
  <si>
    <t>RC2010JK-0710KL</t>
  </si>
  <si>
    <t>CC0805KKX7R9BB105</t>
  </si>
  <si>
    <t>CC0805KKX7RABB103</t>
  </si>
  <si>
    <t>ERJ-12SF1001U</t>
  </si>
  <si>
    <t>Panasonic</t>
  </si>
  <si>
    <t>CC0805JRNPO9BN471</t>
  </si>
  <si>
    <t>RC2512JK-072K7L</t>
  </si>
  <si>
    <t>RC2512JK-070RL</t>
  </si>
  <si>
    <t>KGM21ACG1H222JU</t>
  </si>
  <si>
    <t>CRCW25126K20JNEG</t>
  </si>
  <si>
    <t>CC0805JRNPOABN102</t>
  </si>
  <si>
    <t>CL31B106KOHNNNE</t>
  </si>
  <si>
    <t>HI1206N101R-10</t>
  </si>
  <si>
    <t>CC1206JRX7RABB103</t>
  </si>
  <si>
    <t>MURS120-M3/52T</t>
  </si>
  <si>
    <t>Vishay General Semiconductor</t>
  </si>
  <si>
    <t>CC1206JRNPOABN101</t>
  </si>
  <si>
    <t>CC1206KKX7R8BB105</t>
  </si>
  <si>
    <t>TPSA106K010R0900</t>
  </si>
  <si>
    <t>1210YC226KAT2A</t>
  </si>
  <si>
    <t>B330A-13-F</t>
  </si>
  <si>
    <t>KGM32HR72D104KU</t>
  </si>
  <si>
    <t>T491B106K016AT</t>
  </si>
  <si>
    <t>T491D106K035AT</t>
  </si>
  <si>
    <t>CKG32KX7R2E224K335AH</t>
  </si>
  <si>
    <t>TDK Corporation</t>
  </si>
  <si>
    <t>BAT54LT1G</t>
  </si>
  <si>
    <t>REF4132B30DBVR</t>
  </si>
  <si>
    <t>SN74AHC1G14DBVR</t>
  </si>
  <si>
    <t>ESDA6V1BC6</t>
  </si>
  <si>
    <t>STMicroelectronics</t>
  </si>
  <si>
    <t>TLV3012AIDBVR</t>
  </si>
  <si>
    <t>GRM188R72A222KA01D</t>
  </si>
  <si>
    <t>CC0805KRX7RABB102</t>
  </si>
  <si>
    <t>C0805C222KARACTU</t>
  </si>
  <si>
    <t>CL21C101JBANNNC</t>
  </si>
  <si>
    <t>C1206C104J2RACTU</t>
  </si>
  <si>
    <t>TAJA106K010RNJ</t>
  </si>
  <si>
    <t>TPSB226M010R0700</t>
  </si>
  <si>
    <t>CRCW060333R0FKEAC</t>
  </si>
  <si>
    <t>ERJ-6GEYJ101V</t>
  </si>
  <si>
    <t>MMSZ5248BS-7-F</t>
  </si>
  <si>
    <t>C0805C104K5RACTU</t>
  </si>
  <si>
    <t>RK73B2ETTD204J</t>
  </si>
  <si>
    <t>2019-RK73B2ETTD204JCT-ND</t>
  </si>
  <si>
    <t>Qty purchased with TLAN-B017</t>
  </si>
  <si>
    <t>C3764394</t>
  </si>
  <si>
    <t>TLAN-B019</t>
  </si>
  <si>
    <t>Boards</t>
  </si>
  <si>
    <t>TL430-5001-000-T+TL420-5002-000-T 2x+TL414-5003-000-T+TL410-5001-000-T+TL407-5004-000-T+TL407-5003-000-T+TL407-5002-000-T+TL382-5001-000+TL381-5001-000-T+TL380-5001-000-T+TL373-5001-000-T+TL353-5002-000-T+TL351-5004-000-T+TL338-5001-000+TL304-5001-000-T+TL300-5001-000-T+TL283-5001-000-T+TL223-5002-000-T+TL202-5001-000-T+TL197-5001-000-T+TL191-5001-000-T+TL420-5002-000-T+TL406-5003-000-T+TL444-5002-000-T</t>
  </si>
  <si>
    <t>TL415-5001-000-T+TL386-5001-000-T+TL382-5003-000+TL380-5001-000-T+TL366-5001-000-T+TL350-5001-000-T+TL304-5001-000-T+TL300-5001-000-T+TL283-5001-000-T+TL243-5006-000-T+TL243-5003-000-T+TL243-5002-000-T+TL190-5006-000-T+TL190-5002-000-T+TL177-5006-000-S+TL129-5146-000-S</t>
  </si>
  <si>
    <t>TL277-5010-000-T+TL242-5927-000-T+TL242-5923-000-T+TL242-5106-000-T+TL242-5010-000+TL242-5006-000-T+TL242-5002-000-T+TL242-5001-000-T+TL210-5002-000-T+TL188-5110-000-S+TL188-5022-000-T+TL188-5010-000-S+TL188-5007-000-T+TL188-5002-000-S+TL187-5502-000-T+TL187-5006-000-S+TL187-5002-000-T+TL159-5506-000-S+TL159-5502-000-S+TL159-5006-000-S+TL159-5002-000-S+TL129-5146-000-S+TL115-5519-000-S+TL115-5512-000-T+TL115-5019-000-S+TL115-5012-000-T+TL159-5522-000-S+TL159-5516-000-T</t>
  </si>
  <si>
    <t>TL350-5002-000-T+TL304-5002-000-T+TL261-5065-000-T+TL242-5923-000-T+TL242-5002-000-T+TL242-5001-000-T+TL210-5002-000-T+TL188-5002-000-S+TL187-5502-000-T+TL187-5002-000-T+TL177-5006-000-S+TL170-5006-000+TL170-5001-000-S</t>
  </si>
  <si>
    <t>TL353-5002-000-T+TL353-5001-000-T+TL257-5001-000-T+TL243-5006-000-T+TL243-5003-000-T+TL243-5002-000-T+TL242-5923-000-T+TL242-5002-000-T+TL242-5001-000-T+TL210-5002-000-T+TL190-5006-000-T+TL190-5002-000-T+TL190-5001-000-T+TL188-5007-000-T+TL188-5002-000-S+TL187-5502-000-T+TL187-5002-000-T+TL177-5542-000-T+TL159-5502-000-S+TL159-5002-000-S+TL148-5502-000-S+TL148-5501-000-S+TL148-5001-000-S+TL129-5145-000-S+TL115-5519-000-S+TL115-5512-000-T+TL115-5019-000-S+TL115-5012-000-T+TL159-5522-000-S</t>
  </si>
  <si>
    <t>TL388-5003-000-T+TL388-5001-000-T+TL180-5005-000+TL180-5001-000-S+TL177-5005-000-S+TL177-5001-000-S+TL155-5501-000-S+TL149-5005-000-TH+TL149-5001-000-TH+TL174-5001-000-S+TL160-5001-000-S+TL164-5151-000-T+TL170-5001-000-S</t>
  </si>
  <si>
    <t>TL386-5001-000-T+TL350-5004-000-T+TL350-5001-000-T+TL277-5008-000-T+TL242-5926-000-T+TL242-5105-000-T+TL242-5005-000-T+TL227-5504-000-T+TL227-5004-000-T+TL187-5504-000-T+TL187-5006-000-S+TL187-5004-000-T+TL159-5506-000-S+TL159-5006-000-S+TL159-5004-000-S+TL115-5503-000-T+TL159-5516-000-T</t>
  </si>
  <si>
    <t>TL257-5001-000-T+TL242-5927-000-T+TL242-5106-000-T+TL242-5006-000-T+TL187-5521-000-T+TL187-5006-000-S+TL180-5001-000-S+TL177-5001-000-S+TL159-5506-000-S+TL159-5006-000-S+TL155-5503-100-S+TL155-5501-000-S+TL155-5003-100-S+TL149-5001-000-TH+TL148-5541-000-T+TL148-5501-000-S+TL148-5001-000-S+TL129-5146-000-S+TL115-5509-000-S+TL115-5503-000-T+TL094-5002-000-T+TL174-5001-000-S+TL160-5001-000-S+TL159-5516-000-T+TL164-5151-000-T</t>
  </si>
  <si>
    <t>TL232-5005-000-S+TL188-5110-000-S+TL188-5010-000-S+TL187-5006-000-S+TL159-5506-000-S+TL159-5006-000-S+TL148-5095-000-S+TL148-5005-000-S+TL115-5519-000-S+TL115-5019-000-S+TL094-5002-000-T+TL159-5516-000-T</t>
  </si>
  <si>
    <t>TL355-5005-000-T+TL251-5005-000-T+TL242-5927-000-T+TL242-5106-000-T+TL242-5006-000-T+TL210-5002-000-T+TL188-5002-000-S+TL187-5502-000-T+TL187-5002-000-T+TL159-5502-000-S+TL159-5002-000-S+TL126-5101-000-T+TL126-5001-000-ST+TL115-5503-000-T+TL175-5005-000-S+TL159-5522-000-S</t>
  </si>
  <si>
    <t>TL277-5709-000-T+TL257-5001-000-T+TL243-5006-000-T+TL243-5002-000-T+TL238-5006-000-T+TL210-5002-000-T+TL190-5001-000-T+TL188-5002-000-S+TL177-5542-000-T+TL115-5519-000-S+TL115-5019-000-S+TL444-5002-000-T</t>
  </si>
  <si>
    <t>TL242-5923-000-T+TL242-5002-000-T+TL242-5001-000-T+TL210-5002-000-T+TL188-5022-000-T+TL188-5007-000-T+TL188-5002-000-S+TL187-5502-000-T+TL187-5002-000-T+TL180-5001-000-S+TL177-5001-000-S+TL159-5502-000-S+TL159-5002-000-S+TL155-5501-000-S+TL149-5001-000-TH+TL148-5502-000-S+TL129-5145-000-S+TL174-5001-000-S+TL160-5001-000-S+TL159-5522-000-S+TL164-5151-000-T</t>
  </si>
  <si>
    <t>TL415-5001-000-T+TL414-5001-000-T+TL388-5001-000-T+TL366-5001-000-T+TL359-5061-000-T+TL304-5001-000-T+TL300-5001-000-T+TL261-5065-000-T+TL180-5001-000-S+TL177-5001-000-S+TL155-5501-000-S+TL149-5001-000-TH+TL129-5021-000-S+TL174-5001-000-S+TL160-5001-000-S+TL164-5151-000-T+TL170-5001-000-S</t>
  </si>
  <si>
    <t>TL415-5001-000-T+TL382-5003-000+TL380-5001-000-T+TL366-5001-000-T+TL304-5001-000-T+TL300-5001-000-T+TL283-5001-000-T+TL243-5006-000-T+TL243-5003-000-T+TL243-5002-000-T+TL227-5004-000-T+TL190-5006-000-T+TL190-5002-000-T+TL187-5004-000-T+TL177-5006-000-S+TL159-5004-000-S+TL148-5001-000-S+TL129-5146-000-S</t>
  </si>
  <si>
    <t>TL415-5001-000-T+TL414-5001-000-T+TL388-5001-000-T+TL386-5001-000-T+TL382-5003-000+TL380-5003-000-T+TL380-5001-000-T+TL366-5001-000-T+TL353-5001-000-T+TL350-5001-000-T+TL304-5001-000-T+TL300-5001-000-T+TL283-5001-000-T+TL243-5006-000-T+TL243-5003-000-T+TL243-5002-000-T+TL242-5923-000-T+TL242-5002-000-T+TL242-5001-000-T+TL210-5002-000-T+TL191-5061-000-T+TL190-5006-000-T+TL190-5002-000-T+TL188-5002-000-S+TL187-5071-000-T+TL177-5006-000-S+TL177-5001-000-S+TL155-5503-200-S+TL155-5503-100-S+TL155-5501-000-S+TL149-5001-000-TH+TL129-5146-000-S+TL126-5101-000-T+TL115-5019-000-S+TL115-5012-000-T+TL174-5001-000-S+TL160-5001-000-S+TL164-5151-000-T+TL170-5001-000-S</t>
  </si>
  <si>
    <t>TL355-5061-000-T+TL242-5927-000-T+TL242-5106-000-T+TL242-5006-000-T+TL180-5001-000-S+TL159-5506-000-S+TL159-5002-000-S+TL148-5001-000-S+TL115-5503-000-T+TL115-5019-000-S+TL162-5001-000-S+TL160-5001-000-S+TL159-5516-000-T</t>
  </si>
  <si>
    <t>TL414-5002-000-T+TL388-5002-000-T+TL261-5065-000-T+TL243-5004-000-T+TL223-5003-000-S+TL180-5002-000+TL177-5542-000-T+TL177-5002-000-S+TL149-5002-000-S+TL148-5502-000-S+TL129-5145-000-S+TL174-5002-000-S+TL170-5003-000-S</t>
  </si>
  <si>
    <t>TL430-5001-000-T+TL406-5001-000-T+TL386-5001-000-T+TL353-5001-000-T+TL351-5004-000-T+TL350-5001-000-T+TL277-5008-000-T+TL265-5090-000-T+TL265-5043-000-T+TL265-5041-000-T+TL257-5001-000-T+TL251-5061-000-T+TL242-5926-000-T+TL242-5106-000-T+TL242-5105-000-T+TL242-5006-000-T+TL242-5005-000-T+TL188-5022-000-T+TL188-5010-000-S+TL148-5541-000-T</t>
  </si>
  <si>
    <t>TL415-5001-000-T+TL366-5001-000-T+TL304-5001-000-T+TL300-5001-000-T+TL283-5001-000-T+TL243-5006-000-T+TL243-5003-000-T+TL243-5002-000-T+TL190-5006-000-T+TL190-5002-000-T+TL177-5006-000-S+TL148-5001-000-S+TL129-5146-000-S</t>
  </si>
  <si>
    <t>TL415-5001-000-T+TL406-5001-000-T+TL382-5003-000+TL380-5001-000-T+TL366-5001-000-T+TL350-5001-000-T+TL304-5001-000-T+TL300-5001-000-T+TL283-5001-000-T+TL257-5001-000-T+TL243-5006-000-T+TL243-5003-000-T+TL243-5002-000-T+TL190-5006-000-T+TL190-5002-000-T+TL177-5006-000-S+TL148-5541-000-T+TL148-5501-000-S+TL148-5001-000-S+TL129-5146-000-S</t>
  </si>
  <si>
    <t>TL382-5003-000+TL380-5001-000-T+TL366-5001-000-T+TL359-5061-000-T+TL355-5061-000-T+TL350-5001-000-T+TL304-5001-000-T+TL300-5001-000-T+TL283-5001-000-T+TL257-5001-000-T+TL251-5061-000-T+TL190-5006-000-T+TL190-5002-000-T+TL148-5541-000-T</t>
  </si>
  <si>
    <t>TL415-5001-000-T+TL386-5003-000-T+TL386-5001-000-T+TL382-5003-000+TL382-5001-000+TL380-5003-000-T+TL380-5001-000-T+TL366-5003-000-T+TL366-5001-000-T+TL350-5004-000-T+TL350-5001-000-T+TL243-5003-000-T+TL243-5002-000-T</t>
  </si>
  <si>
    <t>TL242-5926-000-T+TL242-5105-000-T+TL242-5005-000-T+TL227-5004-000-T+TL187-5006-000-S+TL187-5004-000-T+TL159-5506-000-S+TL159-5502-000-S+TL159-5006-000-S+TL159-5004-000-S+TL159-5002-000-S+TL115-5519-000-S+TL115-5019-000-S+TL159-5522-000-S+TL159-5516-000-T</t>
  </si>
  <si>
    <t>TL257-5001-000-T+TL242-5926-000-T+TL242-5105-000-T+TL242-5005-000-T+TL227-5004-000-T+TL187-5004-000-T+TL159-5004-000-S+TL148-5541-000-T+TL148-5502-000-S+TL148-5501-000-S+TL148-5030-000-S+TL148-5006-000-S+TL148-5001-000-S+TL129-5030-000-S+TL094-5002-000-T</t>
  </si>
  <si>
    <t>TL430-5001-000-T+TL415-5001-000-T+TL406-5001-000-T+TL382-5003-000+TL380-5001-000-T+TL366-5001-000-T+TL304-5001-000-T+TL300-5001-000-T+TL283-5001-000-T+TL243-5006-000-T+TL243-5003-000-T+TL243-5002-000-T+TL190-5006-000-T+TL190-5002-000-T+TL177-5006-000-S</t>
  </si>
  <si>
    <t>TL191-5061-000-T+TL187-5071-000-T+TL180-5001-000-S+TL177-5001-000-S+TL155-5501-000-S+TL149-5001-000-TH+TL148-5541-000-T+TL148-5501-000-S+TL174-5001-000-S+TL160-5001-000-S+TL164-5151-000-T+TL170-5001-000-S</t>
  </si>
  <si>
    <t>TL415-5001-000-T+TL410-5001-000-T+TL366-5001-000-T+TL351-5004-000-T+TL338-5001-000+TL277-5709-000-T+TL261-5065-000-T+TL257-5001-000-T+TL238-5006-000-T+TL210-5002-000-T+TL190-5001-000-T+TL188-5007-000-T+TL188-5002-000-S+TL177-5542-000-T+TL148-5001-000-S+TL444-5002-000-T</t>
  </si>
  <si>
    <t>TL406-5001-000-T+TL388-5001-000-T+TL277-5008-000-T+TL257-5001-000-T+TL191-5061-000-T+TL188-5002-000-S+TL187-5071-000-T+TL180-5001-000-S+TL177-5006-000-S+TL177-5001-000-S+TL155-5501-000-S+TL149-5001-000-TH+TL148-5541-000-T+TL094-5002-000-T+TL174-5001-000-S+TL170-5003-000-S+TL160-5001-000-S+TL164-5151-000-T+TL170-5001-000-S</t>
  </si>
  <si>
    <t>TL415-5001-000-T+TL414-5001-000-T+TL406-5002-000-T+TL406-5001-000-T+TL366-5001-000-T+TL304-5001-000-T+TL300-5001-000-T+TL243-5004-000-T+TL190-5007-000-T+TL188-5023-000-S+TL177-5542-000-T+TL177-5006-000-S+TL148-5502-000-S+TL129-5145-000-S+TL129-5021-000-S+TL115-5512-000-T+TL115-5509-000-S+TL115-5013-000+TL115-5012-000-T</t>
  </si>
  <si>
    <t>TL257-5001-000-T+TL191-5061-000-T+TL180-5001-000-S+TL177-5001-000-S+TL155-5503-100-S+TL155-5501-000-S+TL155-5003-100-S+TL149-5001-000-TH+TL148-5541-000-T+TL148-5501-000-S+TL148-5001-000-S+TL129-5146-000-S+TL174-5001-000-S+TL160-5001-000-S+TL164-5151-000-T</t>
  </si>
  <si>
    <t>TL452-5001-000-T+TL430-5001-000-T+TL420-5001-000-T+TL410-5001-000-T+TL382-5001-000+TL380-5001-000-T+TL373-5001-000-T+TL338-5001-000+TL190-5001-000-T+TL148-5030-000-S+TL148-5006-000-S+TL129-5030-000-S+TL115-5519-000-S+TL115-5019-000-S+TL000-5001-000-T</t>
  </si>
  <si>
    <t>TL415-5001-000-T+TL388-5001-000-T+TL350-5004-000-T+TL350-5001-000-T+TL187-5502-000-T+TL187-5002-000-T+TL180-5001-000-S+TL177-5001-000-S+TL159-5502-000-S+TL159-5002-000-S+TL155-5501-000-S+TL115-5512-000-T+TL160-5001-000-S+TL159-5522-000-S</t>
  </si>
  <si>
    <t>TL242-5926-000-T+TL242-5105-000-T+TL242-5005-000-T+TL227-5004-000-T+TL187-5006-000-S+TL187-5004-000-T+TL159-5506-000-S+TL159-5006-000-S+TL148-5501-000-S+TL148-5001-000-S+TL115-5519-000-S+TL115-5509-000-S+TL115-5503-000-T+TL115-5019-000-S+TL094-5002-000-T+TL159-5516-000-T</t>
  </si>
  <si>
    <t>TL415-5001-000-T+TL382-5003-000+TL380-5001-000-T+TL366-5001-000-T+TL304-5001-000-T+TL300-5001-000-T+TL283-5001-000-T+TL257-5001-000-T+TL243-5006-000-T+TL243-5003-000-T+TL243-5002-000-T+TL190-5006-000-T+TL190-5002-000-T+TL177-5542-000-T+TL148-5502-000-S+TL129-5145-000-S+TL126-5101-000-T+TL126-5001-000-ST+TL125-5001-000-S</t>
  </si>
  <si>
    <t>TL232-5005-000-S+TL187-5006-000-S+TL159-5506-000-S+TL159-5006-000-S+TL148-5501-000-S+TL148-5095-000-S+TL148-5030-000-S+TL148-5006-000-S+TL148-5005-000-S+TL148-5001-000-S+TL129-5030-000-S+TL125-5003-000-S+TL125-5001-000-S+TL115-5519-000-S+TL115-5019-000-S+TL159-5516-000-T</t>
  </si>
  <si>
    <t>TL242-5927-000-T+TL242-5923-000-T+TL242-5106-000-T+TL242-5006-000-T+TL242-5002-000-T+TL242-5001-000-T+TL210-5002-000-T+TL188-5022-000-T+TL188-5007-000-T+TL188-5002-000-S+TL187-5502-000-T+TL187-5006-000-S+TL187-5002-000-T+TL159-5506-000-S+TL159-5502-000-S+TL159-5006-000-S+TL159-5002-000-S+TL115-5519-000-S+TL115-5019-000-S+TL159-5522-000-S+TL159-5516-000-T</t>
  </si>
  <si>
    <t>TL242-5926-000-T+TL242-5105-000-T+TL242-5005-000-T+TL232-5005-000-S+TL227-5004-000-T+TL187-5062-000+TL187-5006-000-S+TL187-5004-000-T+TL159-5506-000-S+TL159-5502-000-S+TL159-5006-000-S+TL159-5004-000-S+TL159-5002-000-S+TL148-5502-000-S+TL148-5501-000-S+TL148-5095-000-S+TL148-5005-000-S+TL148-5001-000-S+TL115-5519-000-S+TL115-5512-000-T+TL115-5509-000-S+TL115-5503-000-T+TL115-5019-000-S+TL115-5012-000-T+TL094-5002-000-T+TL069-5001-000-S+TL159-5522-000-S+TL159-5516-000-T</t>
  </si>
  <si>
    <t>TL242-5926-000-T+TL242-5105-000-T+TL242-5005-000-T+TL227-5004-000-T+TL187-5006-000-S+TL187-5004-000-T+TL159-5506-000-S+TL159-5502-000-S+TL159-5006-000-S+TL159-5004-000-S+TL159-5002-000-S+TL148-5030-000-S+TL148-5006-000-S+TL129-5030-000-S+TL125-5003-000-S+TL115-5519-000-S+TL115-5512-000-T+TL115-5503-000-T+TL115-5019-000-S+TL115-5012-000-T+TL094-5002-000-T+TL159-5522-000-S+TL159-5516-000-T</t>
  </si>
  <si>
    <t>TL388-5001-000-T+TL242-5106-000-T+TL191-5061-000-T+TL187-5071-000-T+TL180-5001-000-S+TL177-5001-000-S+TL155-5501-000-S+TL149-5001-000-TH+TL174-5001-000-S+TL160-5001-000-S+TL164-5151-000-T+TL170-5001-000-S</t>
  </si>
  <si>
    <t>TL242-5926-000-T+TL242-5105-000-T+TL242-5005-000-T+TL227-5004-000-T+TL187-5004-000-T+TL180-5002-000+TL177-5002-000-S+TL159-5004-000-S+TL148-5502-000-S+TL148-5501-000-S+TL148-5006-000-S+TL148-5001-000-S+TL126-5001-000-ST+TL115-5519-000-S+TL115-5512-000-T+TL115-5503-000-T+TL115-5019-000-S+TL115-5012-000-T+TL094-5002-000-T+TL069-5001-000-S+TL174-5002-000-S</t>
  </si>
  <si>
    <t>TL187-5006-000-S+TL159-5506-000-S+TL159-5502-000-S+TL159-5006-000-S+TL159-5002-000-S+TL149-5002-000-S+TL148-5502-000-S+TL115-5519-000-S+TL115-5512-000-T+TL115-5503-000-T+TL115-5019-000-S+TL115-5012-000-T+TL094-5002-000-T+TL072-5001-000-S+TL159-5522-000-S+TL159-5516-000-T</t>
  </si>
  <si>
    <t>TL242-5926-000-T+TL159-5004-000-S+TL148-5502-000-S+TL148-5501-000-S+TL148-5006-000-S+TL148-5001-000-S+TL115-5519-000-S+TL115-5512-000-T+TL115-5509-000-S+TL115-5503-000-T+TL115-5019-000-S+TL115-5012-000-T+TL094-5002-000-T</t>
  </si>
  <si>
    <t>TL242-5926-000-T+TL242-5105-000-T+TL242-5005-000-T+TL227-5004-000-T+TL187-5004-000-T+TL180-5002-000+TL177-5002-000-S+TL159-5004-000-S+TL149-5002-000-S+TL148-5502-000-S+TL115-5503-000-T+TL094-5002-000-T+TL174-5002-000-S</t>
  </si>
  <si>
    <t>TL242-5926-000-T+TL242-5105-000-T+TL242-5005-000-T+TL232-5005-000-S+TL227-5004-000-T+TL187-5006-000-S+TL187-5004-000-T+TL159-5502-000-S+TL159-5004-000-S+TL159-5002-000-S+TL148-5095-000-S+TL148-5005-000-S+TL115-5512-000-T+TL115-5509-000-S+TL115-5503-000-T+TL115-5012-000-T+TL094-5002-000-T+TL159-5522-000-S+TL159-5516-000-T</t>
  </si>
  <si>
    <t>TL277-5709-000-T+TL242-5923-000-T+TL242-5002-000-T+TL242-5001-000-T+TL210-5002-000-T+TL191-5061-000-T+TL188-5022-000-T+TL188-5010-000-S+TL188-5007-000-T+TL188-5002-000-S+TL187-5502-000-T+TL187-5071-000-T+TL187-5002-000-T+TL177-5006-000-S+TL129-5146-000-S+TL170-5003-000-S+TL170-5001-000-S</t>
  </si>
  <si>
    <t>LCSC Stock</t>
  </si>
  <si>
    <t>LCSC Stock Enough?</t>
  </si>
  <si>
    <t>Diverse Stock</t>
  </si>
  <si>
    <t>Diverse Unit Price</t>
  </si>
  <si>
    <t>Diverse Ext Price</t>
  </si>
  <si>
    <t>TLAN-B020</t>
  </si>
  <si>
    <t>Ling Unit Price</t>
  </si>
  <si>
    <t>TTI Unit Price</t>
  </si>
  <si>
    <t>TTI Stock</t>
  </si>
  <si>
    <t>TTI Ext</t>
  </si>
  <si>
    <t>Future Stock</t>
  </si>
  <si>
    <t>Future MOQ</t>
  </si>
  <si>
    <t>Future Unit Price</t>
  </si>
  <si>
    <t>Future Ext</t>
  </si>
  <si>
    <t>Arrow Stock</t>
  </si>
  <si>
    <t>Arrow MOQ</t>
  </si>
  <si>
    <t>Arrow Unit Price</t>
  </si>
  <si>
    <t>Arrow Ext</t>
  </si>
  <si>
    <t>Avnet Stock</t>
  </si>
  <si>
    <t>Avnet Unit Price</t>
  </si>
  <si>
    <t>Avnet Ext</t>
  </si>
  <si>
    <t>Avnet MOQ</t>
  </si>
  <si>
    <t>TTI MOQ</t>
  </si>
  <si>
    <t>Ling Ext</t>
  </si>
  <si>
    <t>Cheapest Ext</t>
  </si>
  <si>
    <t>Dist</t>
  </si>
  <si>
    <t>Buy from TI</t>
  </si>
  <si>
    <t>C28323</t>
  </si>
  <si>
    <t>Buy 4000</t>
  </si>
  <si>
    <t>acomingsoon</t>
  </si>
  <si>
    <t>TLAN-S018 LCSC</t>
  </si>
  <si>
    <t>TLAN-B017 Digikey</t>
  </si>
  <si>
    <t>TLAN-B017 LCSC</t>
  </si>
  <si>
    <t>TLAN-B017 Ling</t>
  </si>
  <si>
    <t>TLAN-B017 TI</t>
  </si>
  <si>
    <t>TLAN-B017 TTI</t>
  </si>
  <si>
    <t>Proc &amp; Place Bought</t>
  </si>
  <si>
    <t>C5126192</t>
  </si>
  <si>
    <t>C2960755</t>
  </si>
  <si>
    <t>C107173</t>
  </si>
  <si>
    <t>C2974089</t>
  </si>
  <si>
    <t>C2261646</t>
  </si>
  <si>
    <t>C2930102</t>
  </si>
  <si>
    <t>C28260</t>
  </si>
  <si>
    <t>create a bom where the RDES will be the same as the reference number, description will be the new description that we have</t>
  </si>
  <si>
    <t>C44451</t>
  </si>
  <si>
    <t>have a pick and place with the same reference numbers</t>
  </si>
  <si>
    <t>label the feeders with the new ref#</t>
  </si>
  <si>
    <t>if the parts we ordered are not here, then use our stock for now until we receive the part.</t>
  </si>
  <si>
    <t>I need to know from all the BG's, which ones are old, which ones are new, which ones are not here but coming, and from where and what order</t>
  </si>
  <si>
    <t>Mouser</t>
  </si>
  <si>
    <t>C97969</t>
  </si>
  <si>
    <t>Sales Order</t>
  </si>
  <si>
    <t>WM2502270018</t>
  </si>
  <si>
    <t xml:space="preserve">T05537562 </t>
  </si>
  <si>
    <t>NEW BG-1</t>
  </si>
  <si>
    <t>35045588</t>
  </si>
  <si>
    <t>Supplier PN</t>
  </si>
  <si>
    <t>Supplier Name</t>
  </si>
  <si>
    <t>621-DFLZ20-7</t>
  </si>
  <si>
    <t>Order Qty</t>
  </si>
  <si>
    <t>Stock</t>
  </si>
  <si>
    <t>PROC</t>
  </si>
  <si>
    <t>D</t>
  </si>
  <si>
    <t>C</t>
  </si>
  <si>
    <t>R</t>
  </si>
  <si>
    <t>G</t>
  </si>
  <si>
    <t>C40</t>
  </si>
  <si>
    <t>Notes</t>
  </si>
  <si>
    <t>50V required</t>
  </si>
  <si>
    <t>STAYS</t>
  </si>
  <si>
    <t>QTY</t>
  </si>
  <si>
    <t>TLAN-B021</t>
  </si>
  <si>
    <t>BG Ref</t>
  </si>
  <si>
    <t>G Ref #</t>
  </si>
  <si>
    <t>Estimated Delivery</t>
  </si>
  <si>
    <t>T05537562</t>
  </si>
  <si>
    <t>Tracking ID</t>
  </si>
  <si>
    <t>Courier</t>
  </si>
  <si>
    <t>JD014600012007924939</t>
  </si>
  <si>
    <t>DHL</t>
  </si>
  <si>
    <t>UPS</t>
  </si>
  <si>
    <t>1Z7158420405875061</t>
  </si>
  <si>
    <t>0680114701</t>
  </si>
  <si>
    <t>TLAN-B022</t>
  </si>
  <si>
    <t>TL-A0003126</t>
  </si>
  <si>
    <t>TL-IC0000579</t>
  </si>
  <si>
    <t>TL-IC0000578</t>
  </si>
  <si>
    <t>TL-RTAK-16800-00</t>
  </si>
  <si>
    <t>TL-Q0000210</t>
  </si>
  <si>
    <t>TLAN-S023</t>
  </si>
  <si>
    <t>TLAN-B025</t>
  </si>
  <si>
    <t>TLAN-REWORK-TL243-5003</t>
  </si>
  <si>
    <t>TLAN-B026</t>
  </si>
  <si>
    <t>Serial No.</t>
  </si>
  <si>
    <t>How much we buy</t>
  </si>
  <si>
    <t xml:space="preserve">minimum amount </t>
  </si>
  <si>
    <t>TL-A0003026</t>
  </si>
  <si>
    <t>BG</t>
  </si>
  <si>
    <t>SS</t>
  </si>
  <si>
    <t>250411 TLAN-TS028</t>
  </si>
  <si>
    <t>BG Stock</t>
  </si>
  <si>
    <t>250414 TLAN-TS030</t>
  </si>
  <si>
    <t>250415 TLAN-TB031</t>
  </si>
  <si>
    <t>Date &amp; Time</t>
  </si>
  <si>
    <t>Proc Batch Code</t>
  </si>
  <si>
    <t>SUB</t>
  </si>
  <si>
    <t>BG or SS?</t>
  </si>
  <si>
    <t>Entry Type</t>
  </si>
  <si>
    <t>Place Bought</t>
  </si>
  <si>
    <t>Serial Number</t>
  </si>
  <si>
    <t>Qty (Added/Subtracted)</t>
  </si>
  <si>
    <t>Stock Level After Deduction (Column G)</t>
  </si>
  <si>
    <t>Entry From MasterSheet or Proc?</t>
  </si>
  <si>
    <t>Manual Adjustment</t>
  </si>
  <si>
    <t>Subtracted for 2 Extra units made for TL419-5061</t>
  </si>
  <si>
    <t>250514 TLAN-TB033</t>
  </si>
  <si>
    <t>MasterSheet</t>
  </si>
  <si>
    <t xml:space="preserve"> </t>
  </si>
  <si>
    <t>Updated March 2025</t>
  </si>
  <si>
    <t>Minimum Stock level</t>
  </si>
  <si>
    <t>Distributor PN</t>
  </si>
  <si>
    <t>Inventory Value</t>
  </si>
  <si>
    <t>CONN RCPT FMALE 4POS GOLD SOLDER</t>
  </si>
  <si>
    <t>Phoenix Contact</t>
  </si>
  <si>
    <t>OPTOISOLTR 3.75KV 1CH TRANS 4-SO</t>
  </si>
  <si>
    <t>TLP293(GB-TPL,E</t>
  </si>
  <si>
    <t>Toshiba Semiconductor and Storage</t>
  </si>
  <si>
    <t>TLP293-4(GB-TP,E</t>
  </si>
  <si>
    <t>OPTOISO 3.75KV 4CH TRANS 16-SO</t>
  </si>
  <si>
    <t>RES 6.8 OHM 10% 2W AXIAL</t>
  </si>
  <si>
    <t>OY68GKE</t>
  </si>
  <si>
    <t>Ohmite</t>
  </si>
  <si>
    <t>MOSFET N-CH 100V 100A D2PAK</t>
  </si>
  <si>
    <t>BUK768R1-100E,118</t>
  </si>
  <si>
    <t>Nexperia USA Inc.</t>
  </si>
  <si>
    <t>CONN PLUG FMALE 4POS GOLD SOLDER</t>
  </si>
  <si>
    <t>T4141512041-000</t>
  </si>
  <si>
    <t>TE Connectivity AMP Connectors</t>
  </si>
  <si>
    <t>Dist Name</t>
  </si>
  <si>
    <t>Comsumption</t>
  </si>
  <si>
    <t>Last Place Bought</t>
  </si>
  <si>
    <t>Amount Spent</t>
  </si>
  <si>
    <t>LING</t>
  </si>
  <si>
    <t>eSonic</t>
  </si>
  <si>
    <t>Places Bought</t>
  </si>
  <si>
    <t>603-CC603KRX7R9BB104</t>
  </si>
  <si>
    <t>187-CL10C101JB8NNNC</t>
  </si>
  <si>
    <t>603-RC0603FR-0775RL</t>
  </si>
  <si>
    <t>603-RC0603FR-07360RL</t>
  </si>
  <si>
    <t>603-RC0603FR-0747KL</t>
  </si>
  <si>
    <t>603-RC0603JR-07180RL</t>
  </si>
  <si>
    <t>C49965</t>
  </si>
  <si>
    <t>RMCF0805FT10K0CT-ND</t>
  </si>
  <si>
    <t>863-BAT54SLT1G</t>
  </si>
  <si>
    <t>621-BZT52C12-F</t>
  </si>
  <si>
    <t>859-LTST-C170KDKT</t>
  </si>
  <si>
    <t>478-1322-1-ND</t>
  </si>
  <si>
    <t>637-MMSZ5245B</t>
  </si>
  <si>
    <t>875-HI0805R800R-10</t>
  </si>
  <si>
    <t>71-CRCW121010K0JNEAH</t>
  </si>
  <si>
    <t>RHM200KBECT-ND</t>
  </si>
  <si>
    <t>738-RMCF2010FT127RCT-ND</t>
  </si>
  <si>
    <t>595-REF4132B30DBVR</t>
  </si>
  <si>
    <t>C414098</t>
  </si>
  <si>
    <t>C2934105</t>
  </si>
  <si>
    <t>C2218894</t>
  </si>
  <si>
    <t>C113894</t>
  </si>
  <si>
    <t>C107082</t>
  </si>
  <si>
    <t>C2960756</t>
  </si>
  <si>
    <t>C2933993</t>
  </si>
  <si>
    <t>667-ERJ-12SF1001U</t>
  </si>
  <si>
    <t>C2974087</t>
  </si>
  <si>
    <t>71-CRCW060312K7FKEAC</t>
  </si>
  <si>
    <t>C185374</t>
  </si>
  <si>
    <t>78-MURS120-M352T</t>
  </si>
  <si>
    <t>NOLCSC</t>
  </si>
  <si>
    <t>C82050</t>
  </si>
  <si>
    <t>621-BAV21W-F</t>
  </si>
  <si>
    <t>637-MMSZ5252B</t>
  </si>
  <si>
    <t>603-RC1210JR-070RL</t>
  </si>
  <si>
    <t>71-CRCW2010J-2.4K-E3</t>
  </si>
  <si>
    <t>277-2019-ND</t>
  </si>
  <si>
    <t>TLP293(GB-TPLECT-ND</t>
  </si>
  <si>
    <t>C77656</t>
  </si>
  <si>
    <t>TLP293-4(GB-TPECT-ND</t>
  </si>
  <si>
    <t>C3002262</t>
  </si>
  <si>
    <t>OY68GKE-ND</t>
  </si>
  <si>
    <t>C2614294</t>
  </si>
  <si>
    <t>771-BUK768R1-100E118</t>
  </si>
  <si>
    <t>571-T4141512041-000</t>
  </si>
  <si>
    <t>Total Bought</t>
  </si>
  <si>
    <t>LCSC Unit Price</t>
  </si>
  <si>
    <t>Last Qty Bought</t>
  </si>
  <si>
    <t>Avg Qty Bought</t>
  </si>
  <si>
    <t>Unit Price</t>
  </si>
  <si>
    <t>Ext Price</t>
  </si>
  <si>
    <t>Avg Unit Price Paid</t>
  </si>
  <si>
    <t>LCSC Ext Price</t>
  </si>
  <si>
    <t>Proc Sheet</t>
  </si>
  <si>
    <t>250522 TLAN-TB035</t>
  </si>
  <si>
    <t>Subtracted the entire stock because we only had 100 as per Gilberto</t>
  </si>
  <si>
    <t>Manually Added</t>
  </si>
  <si>
    <t>BG Reconciliation</t>
  </si>
  <si>
    <t>Physical Inventory</t>
  </si>
  <si>
    <t>250521 TLAN-TB034</t>
  </si>
  <si>
    <t>TL-IC0000900</t>
  </si>
  <si>
    <t>DC-DC ISOLATED, 75 W, 9~75 VDC I</t>
  </si>
  <si>
    <t>PRQE75W-E12-S24-D</t>
  </si>
  <si>
    <t>CUI Inc.</t>
  </si>
  <si>
    <t>490-PRQE75WE12S24-D</t>
  </si>
  <si>
    <t>Manual Entry (PT 2025-05-27)</t>
  </si>
  <si>
    <t>250528 TLAN-TS037</t>
  </si>
  <si>
    <t>Manual Adjustment (BOM Rev change)</t>
  </si>
  <si>
    <t>250529 TLAN-TB038</t>
  </si>
  <si>
    <t>DF11G-6DP-2V(50)</t>
  </si>
  <si>
    <t>Hirose Electric Co Ltd</t>
  </si>
  <si>
    <t>TL-A0000701</t>
  </si>
  <si>
    <t>CONN HEADER SMD 6POS 2MM</t>
  </si>
  <si>
    <t>LANSTOCKMAY25</t>
  </si>
  <si>
    <t>Manual Entry</t>
  </si>
  <si>
    <t>H2898-ND</t>
  </si>
  <si>
    <t>HEILING</t>
  </si>
  <si>
    <t>250512 TLAN-TS032</t>
  </si>
  <si>
    <t>250528 TLAN-TS036</t>
  </si>
  <si>
    <t>250602 TLAN-TS039</t>
  </si>
  <si>
    <t>TL-A0002201</t>
  </si>
  <si>
    <t>BISCO</t>
  </si>
  <si>
    <t>New SS</t>
  </si>
  <si>
    <t>SOLDER TERMINAL - TURRET</t>
  </si>
  <si>
    <t>160-1026-02-05-00</t>
  </si>
  <si>
    <t>CAMBION</t>
  </si>
  <si>
    <t>250301 TLAN-B022 (New REV)</t>
  </si>
  <si>
    <t>250630 MX-004</t>
  </si>
  <si>
    <t>TL-HARD-0000188</t>
  </si>
  <si>
    <t>Spaenaur</t>
  </si>
  <si>
    <t>250715 MX-005</t>
  </si>
  <si>
    <t>250723 CPTF-TB001</t>
  </si>
  <si>
    <t>PJ1-023</t>
  </si>
  <si>
    <t>Quest</t>
  </si>
  <si>
    <t>250723 TLAN-TB041</t>
  </si>
  <si>
    <t>OPKM_MMBT3904TT1H</t>
  </si>
  <si>
    <t>OPKM_C1005X5R1C104K050BA</t>
  </si>
  <si>
    <t>OPKM_GRT155R61A334KE01J</t>
  </si>
  <si>
    <t>OPKM_GRM1555C1H7R0DA01D</t>
  </si>
  <si>
    <t>OPKM_C1608X5R1C475K080AC</t>
  </si>
  <si>
    <t>OPKM_GCM155R71H471KA37D</t>
  </si>
  <si>
    <t>OPKM_C0402C103K4PAC7867</t>
  </si>
  <si>
    <t>OPKM_GRM155R60J106ME15D</t>
  </si>
  <si>
    <t>OPKM_GJM1555C1H220FB01D</t>
  </si>
  <si>
    <t>OPKM_GRM155R60J475ME87D</t>
  </si>
  <si>
    <t>OPKM_CL05A105MO5NNNC</t>
  </si>
  <si>
    <t>OPKM_CL05B103KP5NNNC</t>
  </si>
  <si>
    <t>OPKM_2040002-1</t>
  </si>
  <si>
    <t>OPKM_CDBQR0130L</t>
  </si>
  <si>
    <t>OPKM_SDM40E20LC-7</t>
  </si>
  <si>
    <t>OPKM_CDSQR4448</t>
  </si>
  <si>
    <t>OPKM_MI0603L301R-10</t>
  </si>
  <si>
    <t>OPKM_0ZCJ0075AF2E</t>
  </si>
  <si>
    <t>OPKM_S2B-PH-SM4-TB(LF)(SN)</t>
  </si>
  <si>
    <t>OPKM_SM02B-SRSS-TB(LF)(SN)</t>
  </si>
  <si>
    <t>OPKM_MAX3207EAUT+T</t>
  </si>
  <si>
    <t>OPKM_BQ24392RSER</t>
  </si>
  <si>
    <t>OPKM_MCP73832T-2ACI/MC</t>
  </si>
  <si>
    <t>OPKM_LIS3DSHTR</t>
  </si>
  <si>
    <t>OPKM_MC3635</t>
  </si>
  <si>
    <t>OPKM_MIC1555YD5-TR</t>
  </si>
  <si>
    <t>OPKM_LTC4054LES5-4.2#TRMPBF</t>
  </si>
  <si>
    <t xml:space="preserve">OPKM_TPS7A0325PDBVR </t>
  </si>
  <si>
    <t>OPKM_SIP32431DNP3-T1GE4</t>
  </si>
  <si>
    <t>OPKM_XTEAWT-00-0000-000000GD2</t>
  </si>
  <si>
    <t>OPKM_APFA2507LQBDSEEZGKC</t>
  </si>
  <si>
    <t>OPKM_PIC16LF1459-E/ML-I/ML</t>
  </si>
  <si>
    <t>OPKM_PIC16LF18346-I/GZ</t>
  </si>
  <si>
    <t>OPKM_PIC18F15Q41-I/REB</t>
  </si>
  <si>
    <t>OPKM_BR-LE5.0-S1A</t>
  </si>
  <si>
    <t>OPKM_RN4871-V/RM140</t>
  </si>
  <si>
    <t>OPKM_ANNA-B112-01B (U-CONNECT)</t>
  </si>
  <si>
    <t>OPKM_BSS8402DW-7-F</t>
  </si>
  <si>
    <t>OPKM_BSS84PWH6327XTSA1</t>
  </si>
  <si>
    <t>OPKM_ZVP4525E6TA</t>
  </si>
  <si>
    <t>OPKM_BSS138W-7-F</t>
  </si>
  <si>
    <t>OPKM_MCP6041T-E/OT</t>
  </si>
  <si>
    <t>OPKM_MCP6V11UT-E/OT</t>
  </si>
  <si>
    <t>OPKM_TPS78001DDCR</t>
  </si>
  <si>
    <t>OPKM_RK73H1ETTP2803F</t>
  </si>
  <si>
    <t>OPKM_RC0402FR-072R2L</t>
  </si>
  <si>
    <t>OPKM_MCS04020C1002FE000</t>
  </si>
  <si>
    <t>OPKM_RC0402FR-07226KL</t>
  </si>
  <si>
    <t>OPKM_CRCW04022K49FKTD</t>
  </si>
  <si>
    <t>OPKM_RC0402FR-0713K3L</t>
  </si>
  <si>
    <t>OPKM_RMCF0402FT215K</t>
  </si>
  <si>
    <t>OPKM_RK73H1ETTP1472F</t>
  </si>
  <si>
    <t>OPKM_RC0603FR-071RL</t>
  </si>
  <si>
    <t>OPKM_RK73H1ETTP6813F</t>
  </si>
  <si>
    <t>OPKM_RMCF0402FT560R</t>
  </si>
  <si>
    <t>OPKM_RMCF0402FT93K1</t>
  </si>
  <si>
    <t>OPKM_CRCW04021M00FKED</t>
  </si>
  <si>
    <t>OPKM_RMCF0402FT1M00</t>
  </si>
  <si>
    <t>OPKM_CRCW04021K20FKED</t>
  </si>
  <si>
    <t>OPKM_RMCF0402FT4K70</t>
  </si>
  <si>
    <t>OPKM_ERJ-2RKF9312X</t>
  </si>
  <si>
    <t>OPKM_RMCF0402FT240R</t>
  </si>
  <si>
    <t>OPKM_RK73H1ETTP1R50F</t>
  </si>
  <si>
    <t>OPKM_RMCF0402FT3K00</t>
  </si>
  <si>
    <t>OPKM_ERJ-2RKF1002X</t>
  </si>
  <si>
    <t>OPKM_MJTP1230C</t>
  </si>
  <si>
    <t>OPKM_FC-12M 32.7680KA-A5</t>
  </si>
  <si>
    <t>TRANS GP SS NPN 40V SOT416</t>
  </si>
  <si>
    <t>CAP CER 0.1UF 16V X5R 0402</t>
  </si>
  <si>
    <t>CAP CER 0.33UF 10V X5R 0402</t>
  </si>
  <si>
    <t>CAP CER 7PF 50V NP0 0402</t>
  </si>
  <si>
    <t>CAP CER 4.7UF 16V X5R 0603</t>
  </si>
  <si>
    <t>CAP CER 470PF 50V X7R 0402</t>
  </si>
  <si>
    <t>CAP CER 10000PF 16V X5R 0402</t>
  </si>
  <si>
    <t>CAP CER 10UF 6.3V X5R 0402</t>
  </si>
  <si>
    <t>CAP CER 22PF 50V C0G/NP0 0402</t>
  </si>
  <si>
    <t>CAP CER 4.7UF 6.3V X5R 0402</t>
  </si>
  <si>
    <t>CONN PCB MICRO USB 5POS</t>
  </si>
  <si>
    <t>DIODE SCHOTTKY 30V 0.1A 0402</t>
  </si>
  <si>
    <t>DIODE ARRAY SCHOTTKY 20V SOT23-3</t>
  </si>
  <si>
    <t>DIODE GEN PURP 80V 125MA 0402</t>
  </si>
  <si>
    <t>FERRITE CHIP 2A 300 OHM SMD</t>
  </si>
  <si>
    <t>PTC RESTTBLE 0.75A 16V CHIP 1206</t>
  </si>
  <si>
    <t>CONN HEADER PH SIDE 2POS 2MM SMD2</t>
  </si>
  <si>
    <t>CONN HEADER SH 2POS SIDE 1MM TIN</t>
  </si>
  <si>
    <t>Differential ESD-Protection IC</t>
  </si>
  <si>
    <t xml:space="preserve">IC CHARGE DETECT HS USB 10UQFN </t>
  </si>
  <si>
    <t>IC LI-ION/LI-POLY CTRLR 8DFN</t>
  </si>
  <si>
    <t>3-AXIS IOMT ACCELEROMETER (1.6X1</t>
  </si>
  <si>
    <t>IC 555 SINGLE TIMER 5MHZ</t>
  </si>
  <si>
    <t>IC BATT CHG LI-ION 1CEL TSOT23-5</t>
  </si>
  <si>
    <t xml:space="preserve">IC REG LINEAR 2.5V 200MA SOT23-5 </t>
  </si>
  <si>
    <t>IC SWITCH HIGH SIDE 4TDFN</t>
  </si>
  <si>
    <t>LED XTE 130LM NEU WHT 4500K SMD</t>
  </si>
  <si>
    <t xml:space="preserve">LED RGB CLEAR 4SMD R/A  </t>
  </si>
  <si>
    <t>IC MCU 8BIT 14KB FLASH 20QFN</t>
  </si>
  <si>
    <t>IC MCU 8BIT 28KB FLASH 20UQFN</t>
  </si>
  <si>
    <t>IC MCU 8BIT 32KB FLASH 20VQFN</t>
  </si>
  <si>
    <t>BT LE MODULE 5.0</t>
  </si>
  <si>
    <t xml:space="preserve">BLUETOOTH BLE MODULE, ASCII INTE  </t>
  </si>
  <si>
    <t>RX TXRX MOD BLE 5.0 INT ANT CHIP</t>
  </si>
  <si>
    <t>MOSFET N/P-CH 60V/50V SC70-6</t>
  </si>
  <si>
    <t>MOSFET P-CH 60V 150MA SOT323-3</t>
  </si>
  <si>
    <t>MOSFET P-CH 250V 197MA SOT23-6</t>
  </si>
  <si>
    <t>MOSFET N-CH 50V 200MA SC70-3</t>
  </si>
  <si>
    <t>IC OPAMP 1.4V SNGL R-R SOT23-5</t>
  </si>
  <si>
    <t>IC OPAMP SGL ZERO DRIFT SOT23-5</t>
  </si>
  <si>
    <t>IC REG LDO ADJ 0.15A 5SOT</t>
  </si>
  <si>
    <t>RES 280K OHM 1% 1/10W 0402</t>
  </si>
  <si>
    <t>RES 2.2 OHM 1% 1/16W 0402</t>
  </si>
  <si>
    <t>RES SMD 10K OHM 1% 1/10W 0402</t>
  </si>
  <si>
    <t>RES 226K OHM 1% 1/16W 0402</t>
  </si>
  <si>
    <t>RES SMD 2.49K OHM 1% 1/16W 0402</t>
  </si>
  <si>
    <t>RES 13.3K OHM 1% 1/16W 0402</t>
  </si>
  <si>
    <t>RES 215K OHM 1% 1/16W 0402</t>
  </si>
  <si>
    <t>RES 14.7K OHM 1% 1/10W 0402</t>
  </si>
  <si>
    <t>RES 1 OHM 1% 1/10W 0603</t>
  </si>
  <si>
    <t>RES 681K OHM 1% 1/10W 0402</t>
  </si>
  <si>
    <t>RES 560 OHM 1% 1/16W 0402</t>
  </si>
  <si>
    <t>RES 93.1K OHM 1% 1/16W 0402</t>
  </si>
  <si>
    <t>RES SMD 1M OHM 1% 1/16W 0402</t>
  </si>
  <si>
    <t>RES 1M OHM 1% 1/16W 0402</t>
  </si>
  <si>
    <t>RES SMD 1.2K OHM 1% 1/16W 0402</t>
  </si>
  <si>
    <t>RES 4.7K OHM 1/16W 1% 0402</t>
  </si>
  <si>
    <t>RES 93.1K OHM 1/10W 1% 0402 SMD</t>
  </si>
  <si>
    <t>RES 240 OHM 1% 1/16W 0402</t>
  </si>
  <si>
    <t>RES 1.5 OHM 1% 1/10W 0402</t>
  </si>
  <si>
    <t>RES 3K OHM 1% 1/16W 0402</t>
  </si>
  <si>
    <t>RES 10.0K OHM 1/10W 1% 0402 SMD</t>
  </si>
  <si>
    <t>SWITCH TACTILE SPST-NO 0.05A 12V</t>
  </si>
  <si>
    <t>CRYSTAL 32.7680KHZ 12.5PF SMD</t>
  </si>
  <si>
    <t>CAP CER 1UF 16V X5R 0402 (Obsolete)</t>
  </si>
  <si>
    <t>CAP CER 10000PF 10V X7R 0402 (Obsolete)</t>
  </si>
  <si>
    <t>ACCEL 2-16G I2C/SPI 16LGA (Obsolete)</t>
  </si>
  <si>
    <t>CAP CER 0.1UF 10V X5R 0402 (Obsolete)</t>
  </si>
  <si>
    <t>MMBT3904TT1H</t>
  </si>
  <si>
    <t>C1005X5R1C104K050BA</t>
  </si>
  <si>
    <t>GRT155R61A334KE01J</t>
  </si>
  <si>
    <t>GRM1555C1H7R0DA01D</t>
  </si>
  <si>
    <t>C1608X5R1C475K080AC</t>
  </si>
  <si>
    <t>GCM155R71H471KA37D</t>
  </si>
  <si>
    <t>C0402C103K4PAC7867</t>
  </si>
  <si>
    <t>GRM155R60J106ME15D</t>
  </si>
  <si>
    <t>GJM1555C1H220FB01D</t>
  </si>
  <si>
    <t>GRM155R60J475ME87D</t>
  </si>
  <si>
    <t>CL05A105MO5NNNC</t>
  </si>
  <si>
    <t>CL05B103KP5NNNC</t>
  </si>
  <si>
    <t>2040002-1</t>
  </si>
  <si>
    <t>CDBQR0130L</t>
  </si>
  <si>
    <t>SDM40E20LC-7</t>
  </si>
  <si>
    <t>CDSQR4448</t>
  </si>
  <si>
    <t>MI0603L301R-10</t>
  </si>
  <si>
    <t>0ZCJ0075AF2E</t>
  </si>
  <si>
    <t>S2B-PH-SM4-TB(LF)(SN)</t>
  </si>
  <si>
    <t>SM02B-SRSS-TB(LF)(SN)</t>
  </si>
  <si>
    <t>MAX3207EAUT+T</t>
  </si>
  <si>
    <t>BQ24392RSER</t>
  </si>
  <si>
    <t>MCP73832T-2ACI/MC</t>
  </si>
  <si>
    <t>LIS3DSHTR</t>
  </si>
  <si>
    <t>MC3635</t>
  </si>
  <si>
    <t>MIC1555YD5-TR</t>
  </si>
  <si>
    <t>LTC4054LES5-4.2#TRMPBF</t>
  </si>
  <si>
    <t xml:space="preserve">TPS7A0325PDBVR </t>
  </si>
  <si>
    <t>SIP32431DNP3-T1GE4</t>
  </si>
  <si>
    <t>XTEAWT-00-0000-000000GD2</t>
  </si>
  <si>
    <t>APFA2507LQBDSEEZGKC</t>
  </si>
  <si>
    <t>PIC16LF1459-E/ML-I/ML</t>
  </si>
  <si>
    <t>PIC16LF18346-I/GZ</t>
  </si>
  <si>
    <t>PIC18F15Q41-I/REB</t>
  </si>
  <si>
    <t>BR-LE5.0-S1A</t>
  </si>
  <si>
    <t>RN4871-V/RM140</t>
  </si>
  <si>
    <t>ANNA-B112-01B (U-CONNECT)</t>
  </si>
  <si>
    <t>BSS8402DW-7-F</t>
  </si>
  <si>
    <t>BSS84PWH6327XTSA1</t>
  </si>
  <si>
    <t>ZVP4525E6TA</t>
  </si>
  <si>
    <t>BSS138W-7-F</t>
  </si>
  <si>
    <t>MCP6041T-E/OT</t>
  </si>
  <si>
    <t>MCP6V11UT-E/OT</t>
  </si>
  <si>
    <t>TPS78001DDCR</t>
  </si>
  <si>
    <t>RK73H1ETTP2803F</t>
  </si>
  <si>
    <t>RC0402FR-072R2L</t>
  </si>
  <si>
    <t>MCS04020C1002FE000</t>
  </si>
  <si>
    <t>RC0402FR-07226KL</t>
  </si>
  <si>
    <t>CRCW04022K49FKTD</t>
  </si>
  <si>
    <t>RC0402FR-0713K3L</t>
  </si>
  <si>
    <t>RMCF0402FT215K</t>
  </si>
  <si>
    <t>RK73H1ETTP1472F</t>
  </si>
  <si>
    <t>RC0603FR-071RL</t>
  </si>
  <si>
    <t>RK73H1ETTP6813F</t>
  </si>
  <si>
    <t>RMCF0402FT560R</t>
  </si>
  <si>
    <t>RMCF0402FT93K1</t>
  </si>
  <si>
    <t>CRCW04021M00FKED</t>
  </si>
  <si>
    <t>RMCF0402FT1M00</t>
  </si>
  <si>
    <t>CRCW04021K20FKED</t>
  </si>
  <si>
    <t>RMCF0402FT4K70</t>
  </si>
  <si>
    <t>ERJ-2RKF9312X</t>
  </si>
  <si>
    <t>CL05A104MP5NNNC (Obsolete)</t>
  </si>
  <si>
    <t>RMCF0402FT240R</t>
  </si>
  <si>
    <t>RK73H1ETTP1R50F</t>
  </si>
  <si>
    <t>RMCF0402FT3K00</t>
  </si>
  <si>
    <t>ERJ-2RKF1002X</t>
  </si>
  <si>
    <t>MJTP1230C</t>
  </si>
  <si>
    <t>FC-12M 32.7680KA-A5</t>
  </si>
  <si>
    <t>ON Semiconductor</t>
  </si>
  <si>
    <t>Murata Electronics North America</t>
  </si>
  <si>
    <t>Kemet</t>
  </si>
  <si>
    <t>TE Connectivity</t>
  </si>
  <si>
    <t>Comchip Technology</t>
  </si>
  <si>
    <t>Bel Fuse Inc.</t>
  </si>
  <si>
    <t>JST Sales America Inc</t>
  </si>
  <si>
    <t>JST Sales America Inc.</t>
  </si>
  <si>
    <t>Maxim Integrated</t>
  </si>
  <si>
    <t>Microchip Technology</t>
  </si>
  <si>
    <t>mCube</t>
  </si>
  <si>
    <t>Analog Devices Inc.</t>
  </si>
  <si>
    <t>Vishay Siliconix</t>
  </si>
  <si>
    <t>Cree Inc</t>
  </si>
  <si>
    <t>Kingbright</t>
  </si>
  <si>
    <t>Blueradios</t>
  </si>
  <si>
    <t>U-Blox</t>
  </si>
  <si>
    <t>Infineon Technologies</t>
  </si>
  <si>
    <t>KOA Speer Electronics Inc</t>
  </si>
  <si>
    <t>Yaego</t>
  </si>
  <si>
    <t>Vishay Beyschlag/Draloric/BC Components</t>
  </si>
  <si>
    <t>KOA Speer Electronics, Inc.</t>
  </si>
  <si>
    <t>KOA</t>
  </si>
  <si>
    <t>Apem Inc.</t>
  </si>
  <si>
    <t>EPSON</t>
  </si>
  <si>
    <t>OPKM_CL05A104MP5NNNC</t>
  </si>
  <si>
    <t>OPKM_MAG CONNECTOR 4-PIN</t>
  </si>
  <si>
    <t>OPKM-S001</t>
  </si>
  <si>
    <t>250801 TLAN-TB043</t>
  </si>
  <si>
    <t>250730 TLAN-TB042</t>
  </si>
  <si>
    <t>Manually added the log as bought the reel to meet the MOQ of eSonic</t>
  </si>
  <si>
    <t>250815 TLAN-TS045</t>
  </si>
  <si>
    <t>BCAAAPC</t>
  </si>
  <si>
    <t>BATTERY HOLDER AAA PC PIN</t>
  </si>
  <si>
    <t>250801 TLAN-TB043_1</t>
  </si>
  <si>
    <t>250829 TLAN-TS048</t>
  </si>
  <si>
    <t>TL386-5001-001</t>
  </si>
  <si>
    <t>PCB</t>
  </si>
  <si>
    <t>TL386-5003-001</t>
  </si>
  <si>
    <t>250829 TLAN-TB046</t>
  </si>
  <si>
    <t>TL-IC0000806</t>
  </si>
  <si>
    <t>TL-IC0000539</t>
  </si>
  <si>
    <t>New BG</t>
  </si>
  <si>
    <t>TL-D0002000</t>
  </si>
  <si>
    <t>TL-D0000769</t>
  </si>
  <si>
    <t>Digikey1</t>
  </si>
  <si>
    <t>TLCSRM62200KVE-02</t>
  </si>
  <si>
    <t>TL-Q0000264</t>
  </si>
  <si>
    <t>TL-L0000216</t>
  </si>
  <si>
    <t>TL-R98F-00330-00</t>
  </si>
  <si>
    <t>TL-L0000193</t>
  </si>
  <si>
    <t>TL-A0002492</t>
  </si>
  <si>
    <t>TL-L0000092</t>
  </si>
  <si>
    <t>TL-D0000982</t>
  </si>
  <si>
    <t>250829 TLAN-TB047</t>
  </si>
  <si>
    <t>250906 TLAN-TB049</t>
  </si>
  <si>
    <t>TL-A0003974</t>
  </si>
  <si>
    <t>Shortec</t>
  </si>
  <si>
    <t>TL-A0004005</t>
  </si>
  <si>
    <t>TL-A0003971</t>
  </si>
  <si>
    <t>Mouser2</t>
  </si>
  <si>
    <t>250909 TLAN-TB050</t>
  </si>
  <si>
    <t>TL-A0001521</t>
  </si>
  <si>
    <t>250917 TLAN-TB051</t>
  </si>
  <si>
    <t>250918 TLAN-TB052</t>
  </si>
  <si>
    <t>TL-D0000673</t>
  </si>
  <si>
    <t>Avnet, Digikey</t>
  </si>
  <si>
    <t>SMT SO8, 64Kbit(8K X 8) SPI Ferroelectric Random Access Memory (FRAM)</t>
  </si>
  <si>
    <t>SMT 1206, WE-CNSW Series, Common Mode Line Filter, 50V 200mA</t>
  </si>
  <si>
    <t>SMT, SMB, 60V, 3A, Fast Diode Schottky</t>
  </si>
  <si>
    <t>uTech</t>
  </si>
  <si>
    <t>TL-IC0000504</t>
  </si>
  <si>
    <t>Corestaff</t>
  </si>
  <si>
    <t>250925 TLAN-TB053</t>
  </si>
  <si>
    <t>250925 TLAN-TB054</t>
  </si>
  <si>
    <t>TLAN-TB052_1</t>
  </si>
  <si>
    <t>251001 TLAN-TB055</t>
  </si>
  <si>
    <t>TLAN-TB055_1</t>
  </si>
  <si>
    <t>Deduction for 1 extra pcs of TL471-5001-000-T</t>
  </si>
  <si>
    <t>251008 TLAN-TB056</t>
  </si>
  <si>
    <t>LANKA</t>
  </si>
  <si>
    <t>G14</t>
  </si>
  <si>
    <t>G15</t>
  </si>
  <si>
    <t>D32</t>
  </si>
  <si>
    <t>251016 TLAN-TB057</t>
  </si>
  <si>
    <t>251018 TLAN-TS058</t>
  </si>
  <si>
    <t>251023 OPKM-TS002</t>
  </si>
  <si>
    <t>OPKM_FP10996_LISA2-W-PIN</t>
  </si>
  <si>
    <t>251024 VO2-TB002</t>
  </si>
  <si>
    <t>TL-A0004463</t>
  </si>
  <si>
    <t>251028 TLAN-CS059</t>
  </si>
  <si>
    <t>Opening Stock at RS</t>
  </si>
  <si>
    <t>Board</t>
  </si>
  <si>
    <t>Board Qty</t>
  </si>
  <si>
    <t>Qty per Board</t>
  </si>
  <si>
    <t>X Qty</t>
  </si>
  <si>
    <t>Extras</t>
  </si>
  <si>
    <t>Status</t>
  </si>
  <si>
    <t>TL265-5005-000-T</t>
  </si>
  <si>
    <t>TL265-5001-000-T</t>
  </si>
  <si>
    <t>Reserved</t>
  </si>
  <si>
    <t>Date</t>
  </si>
  <si>
    <t>Partial Consumption</t>
  </si>
  <si>
    <t>Serial No</t>
  </si>
  <si>
    <t>251114 TLAN-TS060</t>
  </si>
  <si>
    <t>251117 TLAN-TB061</t>
  </si>
  <si>
    <t>251028 TLAN-CS059_1</t>
  </si>
  <si>
    <t>251120 TLAN-TB062</t>
  </si>
  <si>
    <t>251128 TLAN-TS066</t>
  </si>
  <si>
    <t>251128 TLAN-TB065</t>
  </si>
  <si>
    <t>zzLing</t>
  </si>
  <si>
    <t>251203 TLAN-TB067</t>
  </si>
  <si>
    <t>251205 TLAN-TS068</t>
  </si>
  <si>
    <t>TL-IC0000476</t>
  </si>
  <si>
    <t>G16</t>
  </si>
  <si>
    <t>SMT SO8, Single Retriggable Monostable Multivibrator with Schmitt-Trigger Input</t>
  </si>
  <si>
    <t>SN74LVC1G123DCTR</t>
  </si>
  <si>
    <t>251114 TLAN-TS060_1</t>
  </si>
  <si>
    <t>251216 TLAN-TS069</t>
  </si>
  <si>
    <t>zzSS</t>
  </si>
  <si>
    <t>251216 TLAN-TB070</t>
  </si>
  <si>
    <t>251223 OPKM-TS003</t>
  </si>
  <si>
    <t>251229 TLAN-CS071</t>
  </si>
  <si>
    <t>260105 TLAN-TS072</t>
  </si>
  <si>
    <t>OPTIKAM</t>
  </si>
  <si>
    <t>260112 TLAN-TB073</t>
  </si>
  <si>
    <t>260127 TLAN-TB074</t>
  </si>
  <si>
    <t>260205 TLAN-TS075</t>
  </si>
  <si>
    <t>TLCTRMX1000AWE-00</t>
  </si>
  <si>
    <t>TH, Body 18 X 8.5mm, 2 Terminals, 1F 5.5V -10+30%, DGH Series, Vertical, Supercapacitor</t>
  </si>
  <si>
    <t>DGH105Q5R5</t>
  </si>
  <si>
    <t>CDE</t>
  </si>
  <si>
    <t>260212 TLAN-TB076</t>
  </si>
  <si>
    <t>260212 TLAN-AS077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</si>
</sst>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mm\/dd\/yyyy\ hh:mm:ss"/>
    <numFmt numFmtId="167" formatCode="&quot;$&quot;#,##0.00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4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2" borderId="0" xfId="0" applyFill="1"/>
    <xf numFmtId="0" fontId="0" fillId="2" borderId="1" xfId="0" quotePrefix="1" applyFill="1" applyBorder="1" applyAlignment="1">
      <alignment horizontal="left"/>
    </xf>
    <xf numFmtId="0" fontId="0" fillId="2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164" fontId="0" fillId="0" borderId="1" xfId="0" applyNumberFormat="1" applyBorder="1"/>
    <xf numFmtId="0" fontId="0" fillId="0" borderId="1" xfId="0" applyBorder="1" applyAlignment="1">
      <alignment horizontal="right"/>
    </xf>
    <xf numFmtId="0" fontId="1" fillId="0" borderId="2" xfId="0" applyFont="1" applyBorder="1" applyAlignment="1">
      <alignment horizontal="left"/>
    </xf>
    <xf numFmtId="9" fontId="0" fillId="0" borderId="0" xfId="1" applyFont="1"/>
    <xf numFmtId="0" fontId="4" fillId="2" borderId="1" xfId="0" applyFont="1" applyFill="1" applyBorder="1" applyAlignment="1">
      <alignment horizontal="left"/>
    </xf>
    <xf numFmtId="0" fontId="0" fillId="0" borderId="0" xfId="0" quotePrefix="1"/>
    <xf numFmtId="0" fontId="6" fillId="0" borderId="1" xfId="0" applyFont="1" applyBorder="1"/>
    <xf numFmtId="0" fontId="7" fillId="0" borderId="1" xfId="0" applyFont="1" applyBorder="1"/>
    <xf numFmtId="0" fontId="7" fillId="0" borderId="0" xfId="0" applyFont="1"/>
    <xf numFmtId="0" fontId="6" fillId="0" borderId="2" xfId="0" applyFont="1" applyBorder="1"/>
    <xf numFmtId="0" fontId="8" fillId="0" borderId="1" xfId="0" applyFont="1" applyBorder="1"/>
    <xf numFmtId="0" fontId="9" fillId="0" borderId="1" xfId="0" applyFont="1" applyBorder="1"/>
    <xf numFmtId="0" fontId="1" fillId="0" borderId="2" xfId="0" applyFont="1" applyBorder="1"/>
    <xf numFmtId="16" fontId="0" fillId="0" borderId="0" xfId="0" applyNumberFormat="1"/>
    <xf numFmtId="0" fontId="0" fillId="0" borderId="2" xfId="0" quotePrefix="1" applyBorder="1"/>
    <xf numFmtId="0" fontId="0" fillId="0" borderId="1" xfId="0" quotePrefix="1" applyBorder="1" applyAlignment="1">
      <alignment horizontal="left"/>
    </xf>
    <xf numFmtId="0" fontId="0" fillId="3" borderId="0" xfId="0" applyFill="1"/>
    <xf numFmtId="0" fontId="1" fillId="3" borderId="0" xfId="0" applyFont="1" applyFill="1" applyAlignment="1">
      <alignment horizontal="right"/>
    </xf>
    <xf numFmtId="0" fontId="1" fillId="0" borderId="0" xfId="0" applyFont="1"/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4" fontId="0" fillId="0" borderId="0" xfId="0" applyNumberFormat="1"/>
    <xf numFmtId="167" fontId="0" fillId="0" borderId="1" xfId="0" applyNumberFormat="1" applyBorder="1"/>
    <xf numFmtId="165" fontId="0" fillId="0" borderId="1" xfId="2" applyFont="1" applyBorder="1"/>
    <xf numFmtId="0" fontId="1" fillId="4" borderId="1" xfId="0" applyFont="1" applyFill="1" applyBorder="1"/>
    <xf numFmtId="0" fontId="1" fillId="5" borderId="1" xfId="0" applyFont="1" applyFill="1" applyBorder="1"/>
    <xf numFmtId="166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4" fillId="0" borderId="0" xfId="0" applyFont="1"/>
    <xf numFmtId="14" fontId="0" fillId="0" borderId="0" xfId="0" applyNumberFormat="1"/>
    <xf numFmtId="166" fontId="0" fillId="2" borderId="0" xfId="0" applyNumberFormat="1" applyFill="1" applyAlignment="1">
      <alignment horizontal="right"/>
    </xf>
    <xf numFmtId="0" fontId="0" fillId="0" borderId="2" xfId="0" applyBorder="1"/>
    <xf numFmtId="17" fontId="0" fillId="0" borderId="0" xfId="0" applyNumberFormat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57150</xdr:rowOff>
        </xdr:from>
        <xdr:to>
          <xdr:col>2</xdr:col>
          <xdr:colOff>266700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Add Stock to Procurement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57150</xdr:rowOff>
        </xdr:from>
        <xdr:to>
          <xdr:col>2</xdr:col>
          <xdr:colOff>2333625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Part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3E808-C2A4-4D34-BA04-9A865A0ABB12}">
  <sheetPr codeName="Sheet1"/>
  <dimension ref="A1:AA291"/>
  <sheetViews>
    <sheetView zoomScale="88" zoomScaleNormal="115" workbookViewId="0">
      <pane xSplit="3" ySplit="3" topLeftCell="D67" activePane="bottomRight" state="frozen"/>
      <selection pane="topRight" activeCell="D1" sqref="D1"/>
      <selection pane="bottomLeft" activeCell="A4" sqref="A4"/>
      <selection pane="bottomRight" activeCell="C84" sqref="C84"/>
    </sheetView>
  </sheetViews>
  <sheetFormatPr defaultRowHeight="15" x14ac:dyDescent="0.25"/>
  <cols>
    <col min="1" max="1" width="32.42578125" bestFit="1" customWidth="1"/>
    <col min="2" max="2" width="12" bestFit="1" customWidth="1"/>
    <col min="3" max="3" width="41.42578125" customWidth="1"/>
    <col min="4" max="4" width="21" style="34" customWidth="1"/>
    <col min="5" max="5" width="19" customWidth="1"/>
    <col min="6" max="6" width="13.42578125" bestFit="1" customWidth="1"/>
    <col min="7" max="7" width="9" bestFit="1" customWidth="1"/>
    <col min="8" max="8" width="9.5703125" bestFit="1" customWidth="1"/>
    <col min="9" max="9" width="17.7109375" bestFit="1" customWidth="1"/>
    <col min="10" max="10" width="6.5703125" bestFit="1" customWidth="1"/>
    <col min="11" max="11" width="11.5703125" bestFit="1" customWidth="1"/>
    <col min="12" max="12" width="13.85546875" bestFit="1" customWidth="1"/>
    <col min="13" max="13" width="17.7109375" bestFit="1" customWidth="1"/>
    <col min="14" max="14" width="19.140625" customWidth="1"/>
    <col min="15" max="15" width="16.140625" bestFit="1" customWidth="1"/>
    <col min="16" max="16" width="16.140625" customWidth="1"/>
    <col min="17" max="17" width="15" bestFit="1" customWidth="1"/>
    <col min="18" max="18" width="9.5703125" bestFit="1" customWidth="1"/>
    <col min="19" max="19" width="29.42578125" customWidth="1"/>
    <col min="20" max="20" width="9.140625" customWidth="1"/>
    <col min="21" max="21" width="11.140625" bestFit="1" customWidth="1"/>
    <col min="22" max="22" width="10.140625" bestFit="1" customWidth="1"/>
    <col min="23" max="23" width="14.140625" bestFit="1" customWidth="1"/>
    <col min="24" max="24" width="13.42578125" bestFit="1" customWidth="1"/>
    <col min="25" max="25" width="16.5703125" bestFit="1" customWidth="1"/>
    <col min="26" max="26" width="14.5703125" bestFit="1" customWidth="1"/>
    <col min="27" max="27" width="18.28515625" customWidth="1"/>
  </cols>
  <sheetData>
    <row r="1" spans="1:27" x14ac:dyDescent="0.25">
      <c r="A1" s="30"/>
      <c r="B1" s="30"/>
      <c r="C1" s="30"/>
      <c r="D1" s="33"/>
      <c r="E1" s="30"/>
      <c r="F1" s="30"/>
      <c r="G1" s="31"/>
      <c r="H1" s="31"/>
      <c r="I1" s="31"/>
      <c r="J1" s="31"/>
      <c r="K1" s="31"/>
    </row>
    <row r="2" spans="1:27" x14ac:dyDescent="0.25">
      <c r="A2" s="30"/>
      <c r="B2" s="30"/>
      <c r="C2" s="30"/>
      <c r="D2" s="33"/>
      <c r="E2" s="30"/>
      <c r="F2" s="30"/>
      <c r="G2" s="31"/>
      <c r="H2" s="31"/>
      <c r="I2" s="31"/>
      <c r="J2" s="31"/>
      <c r="K2" s="31"/>
      <c r="L2" s="46" t="s">
        <v>1385</v>
      </c>
      <c r="M2" s="46"/>
    </row>
    <row r="3" spans="1:27" x14ac:dyDescent="0.25">
      <c r="A3" s="2" t="s">
        <v>0</v>
      </c>
      <c r="B3" s="2" t="s">
        <v>1360</v>
      </c>
      <c r="C3" s="2" t="s">
        <v>105</v>
      </c>
      <c r="D3" s="7" t="s">
        <v>227</v>
      </c>
      <c r="E3" s="2" t="s">
        <v>226</v>
      </c>
      <c r="F3" s="2" t="s">
        <v>1373</v>
      </c>
      <c r="G3" s="6" t="s">
        <v>1367</v>
      </c>
      <c r="H3" s="6" t="s">
        <v>1810</v>
      </c>
      <c r="I3" s="6" t="s">
        <v>1470</v>
      </c>
      <c r="J3" s="2" t="s">
        <v>510</v>
      </c>
      <c r="K3" s="2" t="s">
        <v>1457</v>
      </c>
      <c r="L3" s="2" t="s">
        <v>882</v>
      </c>
      <c r="M3" s="2" t="s">
        <v>1406</v>
      </c>
      <c r="N3" s="2" t="s">
        <v>1386</v>
      </c>
      <c r="O3" s="2" t="s">
        <v>1407</v>
      </c>
      <c r="P3" s="2" t="s">
        <v>1459</v>
      </c>
      <c r="Q3" s="2" t="s">
        <v>1460</v>
      </c>
      <c r="R3" s="38" t="s">
        <v>1405</v>
      </c>
      <c r="S3" s="38" t="s">
        <v>1387</v>
      </c>
      <c r="T3" s="38" t="s">
        <v>1461</v>
      </c>
      <c r="U3" s="38" t="s">
        <v>1462</v>
      </c>
      <c r="V3" s="39" t="s">
        <v>509</v>
      </c>
      <c r="W3" s="39" t="s">
        <v>1458</v>
      </c>
      <c r="X3" s="39" t="s">
        <v>1464</v>
      </c>
      <c r="Y3" s="2" t="s">
        <v>1463</v>
      </c>
      <c r="Z3" s="2" t="s">
        <v>1388</v>
      </c>
      <c r="AA3" s="2" t="s">
        <v>1411</v>
      </c>
    </row>
    <row r="4" spans="1:27" x14ac:dyDescent="0.25">
      <c r="A4" s="1" t="s">
        <v>1524</v>
      </c>
      <c r="B4" s="1"/>
      <c r="C4" s="1" t="s">
        <v>1589</v>
      </c>
      <c r="D4" s="8" t="s">
        <v>1659</v>
      </c>
      <c r="E4" s="1" t="s">
        <v>1715</v>
      </c>
      <c r="F4" s="1" t="s">
        <v>1364</v>
      </c>
      <c r="G4" s="5">
        <f>_xlfn.XLOOKUP(A4,'BG Stock Log'!C:C,'BG Stock Log'!H:H,,0,-1)</f>
        <v>240</v>
      </c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 t="str" cm="1">
        <f t="array" ref="AA4">GetFilteredValues(A4)</f>
        <v/>
      </c>
    </row>
    <row r="5" spans="1:27" x14ac:dyDescent="0.25">
      <c r="A5" s="1" t="s">
        <v>1519</v>
      </c>
      <c r="B5" s="1"/>
      <c r="C5" s="1" t="s">
        <v>1584</v>
      </c>
      <c r="D5" s="8" t="s">
        <v>1654</v>
      </c>
      <c r="E5" s="1" t="s">
        <v>1713</v>
      </c>
      <c r="F5" s="1" t="s">
        <v>1364</v>
      </c>
      <c r="G5" s="5">
        <f>_xlfn.XLOOKUP(A5,'BG Stock Log'!C:C,'BG Stock Log'!H:H,,0,-1)</f>
        <v>265</v>
      </c>
      <c r="H5" s="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 t="str" cm="1">
        <f t="array" ref="AA5">GetFilteredValues(A5)</f>
        <v>OPTIKAM</v>
      </c>
    </row>
    <row r="6" spans="1:27" x14ac:dyDescent="0.25">
      <c r="A6" s="1" t="s">
        <v>1543</v>
      </c>
      <c r="B6" s="1"/>
      <c r="C6" s="1" t="s">
        <v>1607</v>
      </c>
      <c r="D6" s="8" t="s">
        <v>1678</v>
      </c>
      <c r="E6" s="1" t="s">
        <v>1726</v>
      </c>
      <c r="F6" s="1" t="s">
        <v>1364</v>
      </c>
      <c r="G6" s="5">
        <f>_xlfn.XLOOKUP(A6,'BG Stock Log'!C:C,'BG Stock Log'!H:H,,0,-1)</f>
        <v>976</v>
      </c>
      <c r="H6" s="5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 t="str" cm="1">
        <f t="array" ref="AA6">GetFilteredValues(A6)</f>
        <v/>
      </c>
    </row>
    <row r="7" spans="1:27" x14ac:dyDescent="0.25">
      <c r="A7" s="1" t="s">
        <v>1537</v>
      </c>
      <c r="B7" s="1"/>
      <c r="C7" s="1" t="s">
        <v>1601</v>
      </c>
      <c r="D7" s="8" t="s">
        <v>1672</v>
      </c>
      <c r="E7" s="1" t="s">
        <v>1724</v>
      </c>
      <c r="F7" s="1" t="s">
        <v>1364</v>
      </c>
      <c r="G7" s="5">
        <f>_xlfn.XLOOKUP(A7,'BG Stock Log'!C:C,'BG Stock Log'!H:H,,0,-1)</f>
        <v>1500</v>
      </c>
      <c r="H7" s="5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 t="str" cm="1">
        <f t="array" ref="AA7">GetFilteredValues(A7)</f>
        <v/>
      </c>
    </row>
    <row r="8" spans="1:27" x14ac:dyDescent="0.25">
      <c r="A8" s="1" t="s">
        <v>1528</v>
      </c>
      <c r="B8" s="1"/>
      <c r="C8" s="1" t="s">
        <v>1593</v>
      </c>
      <c r="D8" s="8" t="s">
        <v>1663</v>
      </c>
      <c r="E8" s="1" t="s">
        <v>1163</v>
      </c>
      <c r="F8" s="1" t="s">
        <v>1364</v>
      </c>
      <c r="G8" s="5">
        <f>_xlfn.XLOOKUP(A8,'BG Stock Log'!C:C,'BG Stock Log'!H:H,,0,-1)</f>
        <v>1590</v>
      </c>
      <c r="H8" s="5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 t="str" cm="1">
        <f t="array" ref="AA8">GetFilteredValues(A8)</f>
        <v>OPTIKAM</v>
      </c>
    </row>
    <row r="9" spans="1:27" x14ac:dyDescent="0.25">
      <c r="A9" s="1" t="s">
        <v>1541</v>
      </c>
      <c r="B9" s="1"/>
      <c r="C9" s="1" t="s">
        <v>1605</v>
      </c>
      <c r="D9" s="8" t="s">
        <v>1676</v>
      </c>
      <c r="E9" s="1" t="s">
        <v>1725</v>
      </c>
      <c r="F9" s="1" t="s">
        <v>1364</v>
      </c>
      <c r="G9" s="5">
        <f>_xlfn.XLOOKUP(A9,'BG Stock Log'!C:C,'BG Stock Log'!H:H,,0,-1)</f>
        <v>208</v>
      </c>
      <c r="H9" s="5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 t="str" cm="1">
        <f t="array" ref="AA9">GetFilteredValues(A9)</f>
        <v>OPTIKAM</v>
      </c>
    </row>
    <row r="10" spans="1:27" x14ac:dyDescent="0.25">
      <c r="A10" s="1" t="s">
        <v>1547</v>
      </c>
      <c r="B10" s="1"/>
      <c r="C10" s="1" t="s">
        <v>1611</v>
      </c>
      <c r="D10" s="8" t="s">
        <v>1682</v>
      </c>
      <c r="E10" s="1" t="s">
        <v>175</v>
      </c>
      <c r="F10" s="1" t="s">
        <v>1364</v>
      </c>
      <c r="G10" s="5">
        <f>_xlfn.XLOOKUP(A10,'BG Stock Log'!C:C,'BG Stock Log'!H:H,,0,-1)</f>
        <v>2718</v>
      </c>
      <c r="H10" s="5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 t="str" cm="1">
        <f t="array" ref="AA10">GetFilteredValues(A10)</f>
        <v>OPTIKAM</v>
      </c>
    </row>
    <row r="11" spans="1:27" x14ac:dyDescent="0.25">
      <c r="A11" s="1" t="s">
        <v>1544</v>
      </c>
      <c r="B11" s="1"/>
      <c r="C11" s="1" t="s">
        <v>1608</v>
      </c>
      <c r="D11" s="8" t="s">
        <v>1679</v>
      </c>
      <c r="E11" s="1" t="s">
        <v>175</v>
      </c>
      <c r="F11" s="1" t="s">
        <v>1364</v>
      </c>
      <c r="G11" s="5">
        <f>_xlfn.XLOOKUP(A11,'BG Stock Log'!C:C,'BG Stock Log'!H:H,,0,-1)</f>
        <v>2090</v>
      </c>
      <c r="H11" s="5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 t="str" cm="1">
        <f t="array" ref="AA11">GetFilteredValues(A11)</f>
        <v/>
      </c>
    </row>
    <row r="12" spans="1:27" x14ac:dyDescent="0.25">
      <c r="A12" s="1" t="s">
        <v>1545</v>
      </c>
      <c r="B12" s="1"/>
      <c r="C12" s="1" t="s">
        <v>1609</v>
      </c>
      <c r="D12" s="8" t="s">
        <v>1680</v>
      </c>
      <c r="E12" s="1" t="s">
        <v>1727</v>
      </c>
      <c r="F12" s="1" t="s">
        <v>1364</v>
      </c>
      <c r="G12" s="5">
        <f>_xlfn.XLOOKUP(A12,'BG Stock Log'!C:C,'BG Stock Log'!H:H,,0,-1)</f>
        <v>1775</v>
      </c>
      <c r="H12" s="5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 t="str" cm="1">
        <f t="array" ref="AA12">GetFilteredValues(A12)</f>
        <v/>
      </c>
    </row>
    <row r="13" spans="1:27" x14ac:dyDescent="0.25">
      <c r="A13" s="1" t="s">
        <v>1513</v>
      </c>
      <c r="B13" s="1"/>
      <c r="C13" s="1" t="s">
        <v>1580</v>
      </c>
      <c r="D13" s="8" t="s">
        <v>1648</v>
      </c>
      <c r="E13" s="1" t="s">
        <v>1712</v>
      </c>
      <c r="F13" s="1" t="s">
        <v>1364</v>
      </c>
      <c r="G13" s="5">
        <f>_xlfn.XLOOKUP(A13,'BG Stock Log'!C:C,'BG Stock Log'!H:H,,0,-1)</f>
        <v>12405</v>
      </c>
      <c r="H13" s="5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 t="str" cm="1">
        <f t="array" ref="AA13">GetFilteredValues(A13)</f>
        <v/>
      </c>
    </row>
    <row r="14" spans="1:27" x14ac:dyDescent="0.25">
      <c r="A14" s="1" t="s">
        <v>1508</v>
      </c>
      <c r="B14" s="1"/>
      <c r="C14" s="1" t="s">
        <v>1575</v>
      </c>
      <c r="D14" s="8" t="s">
        <v>1643</v>
      </c>
      <c r="E14" s="1" t="s">
        <v>1197</v>
      </c>
      <c r="F14" s="1" t="s">
        <v>1364</v>
      </c>
      <c r="G14" s="5">
        <f>_xlfn.XLOOKUP(A14,'BG Stock Log'!C:C,'BG Stock Log'!H:H,,0,-1)</f>
        <v>4405</v>
      </c>
      <c r="H14" s="5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 t="str" cm="1">
        <f t="array" ref="AA14">GetFilteredValues(A14)</f>
        <v/>
      </c>
    </row>
    <row r="15" spans="1:27" x14ac:dyDescent="0.25">
      <c r="A15" s="1" t="s">
        <v>1511</v>
      </c>
      <c r="B15" s="1"/>
      <c r="C15" s="1" t="s">
        <v>1578</v>
      </c>
      <c r="D15" s="8" t="s">
        <v>1646</v>
      </c>
      <c r="E15" s="1" t="s">
        <v>1197</v>
      </c>
      <c r="F15" s="1" t="s">
        <v>1364</v>
      </c>
      <c r="G15" s="5">
        <f>_xlfn.XLOOKUP(A15,'BG Stock Log'!C:C,'BG Stock Log'!H:H,,0,-1)</f>
        <v>4800</v>
      </c>
      <c r="H15" s="5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 t="str" cm="1">
        <f t="array" ref="AA15">GetFilteredValues(A15)</f>
        <v/>
      </c>
    </row>
    <row r="16" spans="1:27" x14ac:dyDescent="0.25">
      <c r="A16" s="1" t="s">
        <v>1520</v>
      </c>
      <c r="B16" s="1"/>
      <c r="C16" s="1" t="s">
        <v>1585</v>
      </c>
      <c r="D16" s="8" t="s">
        <v>1655</v>
      </c>
      <c r="E16" s="1" t="s">
        <v>1714</v>
      </c>
      <c r="F16" s="1" t="s">
        <v>1364</v>
      </c>
      <c r="G16" s="5">
        <f>_xlfn.XLOOKUP(A16,'BG Stock Log'!C:C,'BG Stock Log'!H:H,,0,-1)</f>
        <v>3025</v>
      </c>
      <c r="H16" s="5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 t="str" cm="1">
        <f t="array" ref="AA16">GetFilteredValues(A16)</f>
        <v/>
      </c>
    </row>
    <row r="17" spans="1:27" x14ac:dyDescent="0.25">
      <c r="A17" s="1" t="s">
        <v>1522</v>
      </c>
      <c r="B17" s="1"/>
      <c r="C17" s="1" t="s">
        <v>1587</v>
      </c>
      <c r="D17" s="8" t="s">
        <v>1657</v>
      </c>
      <c r="E17" s="1" t="s">
        <v>1714</v>
      </c>
      <c r="F17" s="1" t="s">
        <v>1364</v>
      </c>
      <c r="G17" s="5">
        <f>_xlfn.XLOOKUP(A17,'BG Stock Log'!C:C,'BG Stock Log'!H:H,,0,-1)</f>
        <v>2800</v>
      </c>
      <c r="H17" s="5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 t="str" cm="1">
        <f t="array" ref="AA17">GetFilteredValues(A17)</f>
        <v/>
      </c>
    </row>
    <row r="18" spans="1:27" x14ac:dyDescent="0.25">
      <c r="A18" s="1" t="s">
        <v>1735</v>
      </c>
      <c r="B18" s="1"/>
      <c r="C18" s="1" t="s">
        <v>1641</v>
      </c>
      <c r="D18" s="8" t="s">
        <v>1703</v>
      </c>
      <c r="E18" s="1" t="s">
        <v>108</v>
      </c>
      <c r="F18" s="1" t="s">
        <v>1364</v>
      </c>
      <c r="G18" s="5">
        <f>_xlfn.XLOOKUP(A18,'BG Stock Log'!C:C,'BG Stock Log'!H:H,,0,-1)</f>
        <v>0</v>
      </c>
      <c r="H18" s="5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 t="str" cm="1">
        <f t="array" ref="AA18">GetFilteredValues(A18)</f>
        <v/>
      </c>
    </row>
    <row r="19" spans="1:27" x14ac:dyDescent="0.25">
      <c r="A19" s="1" t="s">
        <v>1517</v>
      </c>
      <c r="B19" s="1"/>
      <c r="C19" s="1" t="s">
        <v>1638</v>
      </c>
      <c r="D19" s="8" t="s">
        <v>1652</v>
      </c>
      <c r="E19" s="1" t="s">
        <v>108</v>
      </c>
      <c r="F19" s="1" t="s">
        <v>1364</v>
      </c>
      <c r="G19" s="5">
        <f>_xlfn.XLOOKUP(A19,'BG Stock Log'!C:C,'BG Stock Log'!H:H,,0,-1)</f>
        <v>6698</v>
      </c>
      <c r="H19" s="5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 t="str" cm="1">
        <f t="array" ref="AA19">GetFilteredValues(A19)</f>
        <v/>
      </c>
    </row>
    <row r="20" spans="1:27" x14ac:dyDescent="0.25">
      <c r="A20" s="1" t="s">
        <v>1518</v>
      </c>
      <c r="B20" s="1"/>
      <c r="C20" s="1" t="s">
        <v>1639</v>
      </c>
      <c r="D20" s="8" t="s">
        <v>1653</v>
      </c>
      <c r="E20" s="1" t="s">
        <v>108</v>
      </c>
      <c r="F20" s="1" t="s">
        <v>1364</v>
      </c>
      <c r="G20" s="5">
        <f>_xlfn.XLOOKUP(A20,'BG Stock Log'!C:C,'BG Stock Log'!H:H,,0,-1)</f>
        <v>2000</v>
      </c>
      <c r="H20" s="5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 t="str" cm="1">
        <f t="array" ref="AA20">GetFilteredValues(A20)</f>
        <v/>
      </c>
    </row>
    <row r="21" spans="1:27" x14ac:dyDescent="0.25">
      <c r="A21" s="1" t="s">
        <v>1565</v>
      </c>
      <c r="B21" s="1"/>
      <c r="C21" s="1" t="s">
        <v>1629</v>
      </c>
      <c r="D21" s="8" t="s">
        <v>1700</v>
      </c>
      <c r="E21" s="1" t="s">
        <v>132</v>
      </c>
      <c r="F21" s="1" t="s">
        <v>1364</v>
      </c>
      <c r="G21" s="5">
        <f>_xlfn.XLOOKUP(A21,'BG Stock Log'!C:C,'BG Stock Log'!H:H,,0,-1)</f>
        <v>11000</v>
      </c>
      <c r="H21" s="5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 t="str" cm="1">
        <f t="array" ref="AA21">GetFilteredValues(A21)</f>
        <v/>
      </c>
    </row>
    <row r="22" spans="1:27" x14ac:dyDescent="0.25">
      <c r="A22" s="1" t="s">
        <v>1563</v>
      </c>
      <c r="B22" s="1"/>
      <c r="C22" s="1" t="s">
        <v>1627</v>
      </c>
      <c r="D22" s="8" t="s">
        <v>1698</v>
      </c>
      <c r="E22" s="1" t="s">
        <v>132</v>
      </c>
      <c r="F22" s="1" t="s">
        <v>1364</v>
      </c>
      <c r="G22" s="5">
        <f>_xlfn.XLOOKUP(A22,'BG Stock Log'!C:C,'BG Stock Log'!H:H,,0,-1)</f>
        <v>0</v>
      </c>
      <c r="H22" s="5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 t="str" cm="1">
        <f t="array" ref="AA22">GetFilteredValues(A22)</f>
        <v/>
      </c>
    </row>
    <row r="23" spans="1:27" x14ac:dyDescent="0.25">
      <c r="A23" s="1" t="s">
        <v>1555</v>
      </c>
      <c r="B23" s="1"/>
      <c r="C23" s="1" t="s">
        <v>1619</v>
      </c>
      <c r="D23" s="8" t="s">
        <v>1690</v>
      </c>
      <c r="E23" s="1" t="s">
        <v>132</v>
      </c>
      <c r="F23" s="1" t="s">
        <v>1364</v>
      </c>
      <c r="G23" s="5">
        <f>_xlfn.XLOOKUP(A23,'BG Stock Log'!C:C,'BG Stock Log'!H:H,,0,-1)</f>
        <v>7625</v>
      </c>
      <c r="H23" s="5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 t="str" cm="1">
        <f t="array" ref="AA23">GetFilteredValues(A23)</f>
        <v/>
      </c>
    </row>
    <row r="24" spans="1:27" x14ac:dyDescent="0.25">
      <c r="A24" s="1" t="s">
        <v>1571</v>
      </c>
      <c r="B24" s="1"/>
      <c r="C24" s="1" t="s">
        <v>1635</v>
      </c>
      <c r="D24" s="8" t="s">
        <v>1707</v>
      </c>
      <c r="E24" s="1" t="s">
        <v>159</v>
      </c>
      <c r="F24" s="1" t="s">
        <v>1364</v>
      </c>
      <c r="G24" s="5">
        <f>_xlfn.XLOOKUP(A24,'BG Stock Log'!C:C,'BG Stock Log'!H:H,,0,-1)</f>
        <v>0</v>
      </c>
      <c r="H24" s="5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 t="str" cm="1">
        <f t="array" ref="AA24">GetFilteredValues(A24)</f>
        <v/>
      </c>
    </row>
    <row r="25" spans="1:27" x14ac:dyDescent="0.25">
      <c r="A25" s="1" t="s">
        <v>1567</v>
      </c>
      <c r="B25" s="1"/>
      <c r="C25" s="1" t="s">
        <v>1631</v>
      </c>
      <c r="D25" s="8" t="s">
        <v>1702</v>
      </c>
      <c r="E25" s="1" t="s">
        <v>159</v>
      </c>
      <c r="F25" s="1" t="s">
        <v>1364</v>
      </c>
      <c r="G25" s="5">
        <f>_xlfn.XLOOKUP(A25,'BG Stock Log'!C:C,'BG Stock Log'!H:H,,0,-1)</f>
        <v>9530</v>
      </c>
      <c r="H25" s="5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 t="str" cm="1">
        <f t="array" ref="AA25">GetFilteredValues(A25)</f>
        <v/>
      </c>
    </row>
    <row r="26" spans="1:27" x14ac:dyDescent="0.25">
      <c r="A26" s="1" t="s">
        <v>1573</v>
      </c>
      <c r="B26" s="1"/>
      <c r="C26" s="1" t="s">
        <v>1637</v>
      </c>
      <c r="D26" s="8" t="s">
        <v>1709</v>
      </c>
      <c r="E26" s="1" t="s">
        <v>1734</v>
      </c>
      <c r="F26" s="1" t="s">
        <v>1364</v>
      </c>
      <c r="G26" s="5">
        <f>_xlfn.XLOOKUP(A26,'BG Stock Log'!C:C,'BG Stock Log'!H:H,,0,-1)</f>
        <v>2955</v>
      </c>
      <c r="H26" s="5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 t="str" cm="1">
        <f t="array" ref="AA26">GetFilteredValues(A26)</f>
        <v/>
      </c>
    </row>
    <row r="27" spans="1:27" x14ac:dyDescent="0.25">
      <c r="A27" s="1" t="s">
        <v>1512</v>
      </c>
      <c r="B27" s="1"/>
      <c r="C27" s="1" t="s">
        <v>1579</v>
      </c>
      <c r="D27" s="8" t="s">
        <v>1647</v>
      </c>
      <c r="E27" s="1" t="s">
        <v>1711</v>
      </c>
      <c r="F27" s="1" t="s">
        <v>1364</v>
      </c>
      <c r="G27" s="5">
        <f>_xlfn.XLOOKUP(A27,'BG Stock Log'!C:C,'BG Stock Log'!H:H,,0,-1)</f>
        <v>5125</v>
      </c>
      <c r="H27" s="5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 t="str" cm="1">
        <f t="array" ref="AA27">GetFilteredValues(A27)</f>
        <v/>
      </c>
    </row>
    <row r="28" spans="1:27" x14ac:dyDescent="0.25">
      <c r="A28" s="1" t="s">
        <v>1515</v>
      </c>
      <c r="B28" s="1"/>
      <c r="C28" s="1" t="s">
        <v>1582</v>
      </c>
      <c r="D28" s="8" t="s">
        <v>1650</v>
      </c>
      <c r="E28" s="1" t="s">
        <v>1711</v>
      </c>
      <c r="F28" s="1" t="s">
        <v>1364</v>
      </c>
      <c r="G28" s="5">
        <f>_xlfn.XLOOKUP(A28,'BG Stock Log'!C:C,'BG Stock Log'!H:H,,0,-1)</f>
        <v>8000</v>
      </c>
      <c r="H28" s="5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 t="str" cm="1">
        <f t="array" ref="AA28">GetFilteredValues(A28)</f>
        <v/>
      </c>
    </row>
    <row r="29" spans="1:27" x14ac:dyDescent="0.25">
      <c r="A29" s="1" t="s">
        <v>1510</v>
      </c>
      <c r="B29" s="1"/>
      <c r="C29" s="1" t="s">
        <v>1577</v>
      </c>
      <c r="D29" s="8" t="s">
        <v>1645</v>
      </c>
      <c r="E29" s="1" t="s">
        <v>1711</v>
      </c>
      <c r="F29" s="1" t="s">
        <v>1364</v>
      </c>
      <c r="G29" s="5">
        <f>_xlfn.XLOOKUP(A29,'BG Stock Log'!C:C,'BG Stock Log'!H:H,,0,-1)</f>
        <v>1330</v>
      </c>
      <c r="H29" s="5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 t="str" cm="1">
        <f t="array" ref="AA29">GetFilteredValues(A29)</f>
        <v/>
      </c>
    </row>
    <row r="30" spans="1:27" x14ac:dyDescent="0.25">
      <c r="A30" s="1" t="s">
        <v>1514</v>
      </c>
      <c r="B30" s="1"/>
      <c r="C30" s="1" t="s">
        <v>1581</v>
      </c>
      <c r="D30" s="8" t="s">
        <v>1649</v>
      </c>
      <c r="E30" s="1" t="s">
        <v>114</v>
      </c>
      <c r="F30" s="1" t="s">
        <v>1364</v>
      </c>
      <c r="G30" s="5">
        <f>_xlfn.XLOOKUP(A30,'BG Stock Log'!C:C,'BG Stock Log'!H:H,,0,-1)</f>
        <v>9125</v>
      </c>
      <c r="H30" s="5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 t="str" cm="1">
        <f t="array" ref="AA30">GetFilteredValues(A30)</f>
        <v/>
      </c>
    </row>
    <row r="31" spans="1:27" x14ac:dyDescent="0.25">
      <c r="A31" s="1" t="s">
        <v>1516</v>
      </c>
      <c r="B31" s="1"/>
      <c r="C31" s="1" t="s">
        <v>1583</v>
      </c>
      <c r="D31" s="8" t="s">
        <v>1651</v>
      </c>
      <c r="E31" s="1" t="s">
        <v>1711</v>
      </c>
      <c r="F31" s="1" t="s">
        <v>1364</v>
      </c>
      <c r="G31" s="5">
        <f>_xlfn.XLOOKUP(A31,'BG Stock Log'!C:C,'BG Stock Log'!H:H,,0,-1)</f>
        <v>11500</v>
      </c>
      <c r="H31" s="5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 t="str" cm="1">
        <f t="array" ref="AA31">GetFilteredValues(A31)</f>
        <v/>
      </c>
    </row>
    <row r="32" spans="1:27" x14ac:dyDescent="0.25">
      <c r="A32" s="1" t="s">
        <v>1509</v>
      </c>
      <c r="B32" s="1"/>
      <c r="C32" s="1" t="s">
        <v>1576</v>
      </c>
      <c r="D32" s="8" t="s">
        <v>1644</v>
      </c>
      <c r="E32" s="1" t="s">
        <v>1711</v>
      </c>
      <c r="F32" s="1" t="s">
        <v>1364</v>
      </c>
      <c r="G32" s="5">
        <f>_xlfn.XLOOKUP(A32,'BG Stock Log'!C:C,'BG Stock Log'!H:H,,0,-1)</f>
        <v>23330</v>
      </c>
      <c r="H32" s="5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 t="str" cm="1">
        <f t="array" ref="AA32">GetFilteredValues(A32)</f>
        <v/>
      </c>
    </row>
    <row r="33" spans="1:27" x14ac:dyDescent="0.25">
      <c r="A33" s="1" t="s">
        <v>1530</v>
      </c>
      <c r="B33" s="1"/>
      <c r="C33" s="1" t="s">
        <v>1640</v>
      </c>
      <c r="D33" s="8" t="s">
        <v>1665</v>
      </c>
      <c r="E33" s="1" t="s">
        <v>1202</v>
      </c>
      <c r="F33" s="1" t="s">
        <v>1364</v>
      </c>
      <c r="G33" s="5">
        <f>_xlfn.XLOOKUP(A33,'BG Stock Log'!C:C,'BG Stock Log'!H:H,,0,-1)</f>
        <v>1430</v>
      </c>
      <c r="H33" s="5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 t="str" cm="1">
        <f t="array" ref="AA33">GetFilteredValues(A33)</f>
        <v/>
      </c>
    </row>
    <row r="34" spans="1:27" x14ac:dyDescent="0.25">
      <c r="A34" s="1" t="s">
        <v>1533</v>
      </c>
      <c r="B34" s="1"/>
      <c r="C34" s="1" t="s">
        <v>1597</v>
      </c>
      <c r="D34" s="8" t="s">
        <v>1668</v>
      </c>
      <c r="E34" s="1" t="s">
        <v>1721</v>
      </c>
      <c r="F34" s="1" t="s">
        <v>1364</v>
      </c>
      <c r="G34" s="5">
        <f>_xlfn.XLOOKUP(A34,'BG Stock Log'!C:C,'BG Stock Log'!H:H,,0,-1)</f>
        <v>20</v>
      </c>
      <c r="H34" s="5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 t="str" cm="1">
        <f t="array" ref="AA34">GetFilteredValues(A34)</f>
        <v/>
      </c>
    </row>
    <row r="35" spans="1:27" x14ac:dyDescent="0.25">
      <c r="A35" s="1" t="s">
        <v>1736</v>
      </c>
      <c r="B35" s="1"/>
      <c r="C35" s="1"/>
      <c r="D35" s="8"/>
      <c r="E35" s="1"/>
      <c r="F35" s="1" t="s">
        <v>1364</v>
      </c>
      <c r="G35" s="5">
        <f>_xlfn.XLOOKUP(A35,'BG Stock Log'!C:C,'BG Stock Log'!H:H,,0,-1)</f>
        <v>105</v>
      </c>
      <c r="H35" s="5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 t="str" cm="1">
        <f t="array" ref="AA35">GetFilteredValues(A35)</f>
        <v/>
      </c>
    </row>
    <row r="36" spans="1:27" x14ac:dyDescent="0.25">
      <c r="A36" s="1" t="s">
        <v>1527</v>
      </c>
      <c r="B36" s="1"/>
      <c r="C36" s="1" t="s">
        <v>1592</v>
      </c>
      <c r="D36" s="8" t="s">
        <v>1662</v>
      </c>
      <c r="E36" s="1" t="s">
        <v>1718</v>
      </c>
      <c r="F36" s="1" t="s">
        <v>1364</v>
      </c>
      <c r="G36" s="5">
        <f>_xlfn.XLOOKUP(A36,'BG Stock Log'!C:C,'BG Stock Log'!H:H,,0,-1)</f>
        <v>130</v>
      </c>
      <c r="H36" s="5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 t="str" cm="1">
        <f t="array" ref="AA36">GetFilteredValues(A36)</f>
        <v>OPTIKAM</v>
      </c>
    </row>
    <row r="37" spans="1:27" x14ac:dyDescent="0.25">
      <c r="A37" s="1" t="s">
        <v>1531</v>
      </c>
      <c r="B37" s="1"/>
      <c r="C37" s="1" t="s">
        <v>1595</v>
      </c>
      <c r="D37" s="8" t="s">
        <v>1666</v>
      </c>
      <c r="E37" s="1" t="s">
        <v>1720</v>
      </c>
      <c r="F37" s="1" t="s">
        <v>1364</v>
      </c>
      <c r="G37" s="5">
        <f>_xlfn.XLOOKUP(A37,'BG Stock Log'!C:C,'BG Stock Log'!H:H,,0,-1)</f>
        <v>4400</v>
      </c>
      <c r="H37" s="5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 t="str" cm="1">
        <f t="array" ref="AA37">GetFilteredValues(A37)</f>
        <v/>
      </c>
    </row>
    <row r="38" spans="1:27" x14ac:dyDescent="0.25">
      <c r="A38" s="1" t="s">
        <v>1548</v>
      </c>
      <c r="B38" s="1"/>
      <c r="C38" s="1" t="s">
        <v>1612</v>
      </c>
      <c r="D38" s="8" t="s">
        <v>1683</v>
      </c>
      <c r="E38" s="1" t="s">
        <v>1719</v>
      </c>
      <c r="F38" s="1" t="s">
        <v>1364</v>
      </c>
      <c r="G38" s="5">
        <f>_xlfn.XLOOKUP(A38,'BG Stock Log'!C:C,'BG Stock Log'!H:H,,0,-1)</f>
        <v>870</v>
      </c>
      <c r="H38" s="5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 t="str" cm="1">
        <f t="array" ref="AA38">GetFilteredValues(A38)</f>
        <v/>
      </c>
    </row>
    <row r="39" spans="1:27" x14ac:dyDescent="0.25">
      <c r="A39" s="1" t="s">
        <v>1549</v>
      </c>
      <c r="B39" s="1"/>
      <c r="C39" s="1" t="s">
        <v>1613</v>
      </c>
      <c r="D39" s="8" t="s">
        <v>1684</v>
      </c>
      <c r="E39" s="1" t="s">
        <v>1719</v>
      </c>
      <c r="F39" s="1" t="s">
        <v>1364</v>
      </c>
      <c r="G39" s="5">
        <f>_xlfn.XLOOKUP(A39,'BG Stock Log'!C:C,'BG Stock Log'!H:H,,0,-1)</f>
        <v>3020</v>
      </c>
      <c r="H39" s="5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 t="str" cm="1">
        <f t="array" ref="AA39">GetFilteredValues(A39)</f>
        <v/>
      </c>
    </row>
    <row r="40" spans="1:27" x14ac:dyDescent="0.25">
      <c r="A40" s="1" t="s">
        <v>1529</v>
      </c>
      <c r="B40" s="1"/>
      <c r="C40" s="1" t="s">
        <v>1594</v>
      </c>
      <c r="D40" s="8" t="s">
        <v>1664</v>
      </c>
      <c r="E40" s="1" t="s">
        <v>1719</v>
      </c>
      <c r="F40" s="1" t="s">
        <v>1364</v>
      </c>
      <c r="G40" s="5">
        <f>_xlfn.XLOOKUP(A40,'BG Stock Log'!C:C,'BG Stock Log'!H:H,,0,-1)</f>
        <v>1158</v>
      </c>
      <c r="H40" s="5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 t="str" cm="1">
        <f t="array" ref="AA40">GetFilteredValues(A40)</f>
        <v/>
      </c>
    </row>
    <row r="41" spans="1:27" x14ac:dyDescent="0.25">
      <c r="A41" s="1" t="s">
        <v>1553</v>
      </c>
      <c r="B41" s="1"/>
      <c r="C41" s="1" t="s">
        <v>1617</v>
      </c>
      <c r="D41" s="8" t="s">
        <v>1688</v>
      </c>
      <c r="E41" s="1" t="s">
        <v>1730</v>
      </c>
      <c r="F41" s="1" t="s">
        <v>1364</v>
      </c>
      <c r="G41" s="5">
        <f>_xlfn.XLOOKUP(A41,'BG Stock Log'!C:C,'BG Stock Log'!H:H,,0,-1)</f>
        <v>16125</v>
      </c>
      <c r="H41" s="5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 t="str" cm="1">
        <f t="array" ref="AA41">GetFilteredValues(A41)</f>
        <v/>
      </c>
    </row>
    <row r="42" spans="1:27" x14ac:dyDescent="0.25">
      <c r="A42" s="1" t="s">
        <v>1523</v>
      </c>
      <c r="B42" s="1"/>
      <c r="C42" s="1" t="s">
        <v>1588</v>
      </c>
      <c r="D42" s="8" t="s">
        <v>1658</v>
      </c>
      <c r="E42" s="1" t="s">
        <v>209</v>
      </c>
      <c r="F42" s="1" t="s">
        <v>1364</v>
      </c>
      <c r="G42" s="5">
        <f>_xlfn.XLOOKUP(A42,'BG Stock Log'!C:C,'BG Stock Log'!H:H,,0,-1)</f>
        <v>2480</v>
      </c>
      <c r="H42" s="5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 t="str" cm="1">
        <f t="array" ref="AA42">GetFilteredValues(A42)</f>
        <v/>
      </c>
    </row>
    <row r="43" spans="1:27" x14ac:dyDescent="0.25">
      <c r="A43" s="1" t="s">
        <v>1532</v>
      </c>
      <c r="B43" s="1"/>
      <c r="C43" s="1" t="s">
        <v>1596</v>
      </c>
      <c r="D43" s="8" t="s">
        <v>1667</v>
      </c>
      <c r="E43" s="1" t="s">
        <v>1719</v>
      </c>
      <c r="F43" s="1" t="s">
        <v>1364</v>
      </c>
      <c r="G43" s="5">
        <f>_xlfn.XLOOKUP(A43,'BG Stock Log'!C:C,'BG Stock Log'!H:H,,0,-1)</f>
        <v>1100</v>
      </c>
      <c r="H43" s="5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 t="str" cm="1">
        <f t="array" ref="AA43">GetFilteredValues(A43)</f>
        <v/>
      </c>
    </row>
    <row r="44" spans="1:27" x14ac:dyDescent="0.25">
      <c r="A44" s="1" t="s">
        <v>1572</v>
      </c>
      <c r="B44" s="1"/>
      <c r="C44" s="1" t="s">
        <v>1636</v>
      </c>
      <c r="D44" s="8" t="s">
        <v>1708</v>
      </c>
      <c r="E44" s="1" t="s">
        <v>1733</v>
      </c>
      <c r="F44" s="1" t="s">
        <v>1364</v>
      </c>
      <c r="G44" s="5">
        <f>_xlfn.XLOOKUP(A44,'BG Stock Log'!C:C,'BG Stock Log'!H:H,,0,-1)</f>
        <v>1305</v>
      </c>
      <c r="H44" s="5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 t="str" cm="1">
        <f t="array" ref="AA44">GetFilteredValues(A44)</f>
        <v/>
      </c>
    </row>
    <row r="45" spans="1:27" x14ac:dyDescent="0.25">
      <c r="A45" s="1" t="s">
        <v>1507</v>
      </c>
      <c r="B45" s="1"/>
      <c r="C45" s="1" t="s">
        <v>1574</v>
      </c>
      <c r="D45" s="8" t="s">
        <v>1642</v>
      </c>
      <c r="E45" s="1" t="s">
        <v>1710</v>
      </c>
      <c r="F45" s="1" t="s">
        <v>1364</v>
      </c>
      <c r="G45" s="5">
        <f>_xlfn.XLOOKUP(A45,'BG Stock Log'!C:C,'BG Stock Log'!H:H,,0,-1)</f>
        <v>2425</v>
      </c>
      <c r="H45" s="5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 t="str" cm="1">
        <f t="array" ref="AA45">GetFilteredValues(A45)</f>
        <v/>
      </c>
    </row>
    <row r="46" spans="1:27" x14ac:dyDescent="0.25">
      <c r="A46" s="1" t="s">
        <v>1538</v>
      </c>
      <c r="B46" s="1"/>
      <c r="C46" s="1" t="s">
        <v>1602</v>
      </c>
      <c r="D46" s="8" t="s">
        <v>1673</v>
      </c>
      <c r="E46" s="1" t="s">
        <v>1719</v>
      </c>
      <c r="F46" s="1" t="s">
        <v>1364</v>
      </c>
      <c r="G46" s="5">
        <f>_xlfn.XLOOKUP(A46,'BG Stock Log'!C:C,'BG Stock Log'!H:H,,0,-1)</f>
        <v>1546</v>
      </c>
      <c r="H46" s="5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 t="str" cm="1">
        <f t="array" ref="AA46">GetFilteredValues(A46)</f>
        <v/>
      </c>
    </row>
    <row r="47" spans="1:27" x14ac:dyDescent="0.25">
      <c r="A47" s="1" t="s">
        <v>1539</v>
      </c>
      <c r="B47" s="1"/>
      <c r="C47" s="1" t="s">
        <v>1603</v>
      </c>
      <c r="D47" s="8" t="s">
        <v>1674</v>
      </c>
      <c r="E47" s="1" t="s">
        <v>1719</v>
      </c>
      <c r="F47" s="1" t="s">
        <v>1364</v>
      </c>
      <c r="G47" s="5">
        <f>_xlfn.XLOOKUP(A47,'BG Stock Log'!C:C,'BG Stock Log'!H:H,,0,-1)</f>
        <v>610</v>
      </c>
      <c r="H47" s="5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 t="str" cm="1">
        <f t="array" ref="AA47">GetFilteredValues(A47)</f>
        <v/>
      </c>
    </row>
    <row r="48" spans="1:27" x14ac:dyDescent="0.25">
      <c r="A48" s="1" t="s">
        <v>1540</v>
      </c>
      <c r="B48" s="1"/>
      <c r="C48" s="1" t="s">
        <v>1604</v>
      </c>
      <c r="D48" s="8" t="s">
        <v>1675</v>
      </c>
      <c r="E48" s="1" t="s">
        <v>1719</v>
      </c>
      <c r="F48" s="1" t="s">
        <v>1364</v>
      </c>
      <c r="G48" s="5">
        <f>_xlfn.XLOOKUP(A48,'BG Stock Log'!C:C,'BG Stock Log'!H:H,,0,-1)</f>
        <v>2581</v>
      </c>
      <c r="H48" s="5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 t="str" cm="1">
        <f t="array" ref="AA48">GetFilteredValues(A48)</f>
        <v/>
      </c>
    </row>
    <row r="49" spans="1:27" x14ac:dyDescent="0.25">
      <c r="A49" s="1" t="s">
        <v>1556</v>
      </c>
      <c r="B49" s="1"/>
      <c r="C49" s="1" t="s">
        <v>1620</v>
      </c>
      <c r="D49" s="8" t="s">
        <v>1691</v>
      </c>
      <c r="E49" s="1" t="s">
        <v>106</v>
      </c>
      <c r="F49" s="1" t="s">
        <v>1364</v>
      </c>
      <c r="G49" s="5">
        <f>_xlfn.XLOOKUP(A49,'BG Stock Log'!C:C,'BG Stock Log'!H:H,,0,-1)</f>
        <v>4125</v>
      </c>
      <c r="H49" s="5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 t="str" cm="1">
        <f t="array" ref="AA49">GetFilteredValues(A49)</f>
        <v/>
      </c>
    </row>
    <row r="50" spans="1:27" x14ac:dyDescent="0.25">
      <c r="A50" s="1" t="s">
        <v>1554</v>
      </c>
      <c r="B50" s="1"/>
      <c r="C50" s="1" t="s">
        <v>1618</v>
      </c>
      <c r="D50" s="8" t="s">
        <v>1689</v>
      </c>
      <c r="E50" s="1" t="s">
        <v>1729</v>
      </c>
      <c r="F50" s="1" t="s">
        <v>1364</v>
      </c>
      <c r="G50" s="5">
        <f>_xlfn.XLOOKUP(A50,'BG Stock Log'!C:C,'BG Stock Log'!H:H,,0,-1)</f>
        <v>3125</v>
      </c>
      <c r="H50" s="5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 t="str" cm="1">
        <f t="array" ref="AA50">GetFilteredValues(A50)</f>
        <v/>
      </c>
    </row>
    <row r="51" spans="1:27" x14ac:dyDescent="0.25">
      <c r="A51" s="1" t="s">
        <v>1552</v>
      </c>
      <c r="B51" s="1"/>
      <c r="C51" s="1" t="s">
        <v>1616</v>
      </c>
      <c r="D51" s="8" t="s">
        <v>1687</v>
      </c>
      <c r="E51" s="1" t="s">
        <v>1729</v>
      </c>
      <c r="F51" s="1" t="s">
        <v>1364</v>
      </c>
      <c r="G51" s="5">
        <f>_xlfn.XLOOKUP(A51,'BG Stock Log'!C:C,'BG Stock Log'!H:H,,0,-1)</f>
        <v>1740</v>
      </c>
      <c r="H51" s="5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 t="str" cm="1">
        <f t="array" ref="AA51">GetFilteredValues(A51)</f>
        <v/>
      </c>
    </row>
    <row r="52" spans="1:27" x14ac:dyDescent="0.25">
      <c r="A52" s="1" t="s">
        <v>1559</v>
      </c>
      <c r="B52" s="1"/>
      <c r="C52" s="1" t="s">
        <v>1623</v>
      </c>
      <c r="D52" s="8" t="s">
        <v>1694</v>
      </c>
      <c r="E52" s="1" t="s">
        <v>106</v>
      </c>
      <c r="F52" s="1" t="s">
        <v>1364</v>
      </c>
      <c r="G52" s="5">
        <f>_xlfn.XLOOKUP(A52,'BG Stock Log'!C:C,'BG Stock Log'!H:H,,0,-1)</f>
        <v>5470</v>
      </c>
      <c r="H52" s="5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 t="str" cm="1">
        <f t="array" ref="AA52">GetFilteredValues(A52)</f>
        <v/>
      </c>
    </row>
    <row r="53" spans="1:27" x14ac:dyDescent="0.25">
      <c r="A53" s="1" t="s">
        <v>1558</v>
      </c>
      <c r="B53" s="1"/>
      <c r="C53" s="1" t="s">
        <v>1622</v>
      </c>
      <c r="D53" s="8" t="s">
        <v>1693</v>
      </c>
      <c r="E53" s="1" t="s">
        <v>1731</v>
      </c>
      <c r="F53" s="1" t="s">
        <v>1364</v>
      </c>
      <c r="G53" s="5">
        <f>_xlfn.XLOOKUP(A53,'BG Stock Log'!C:C,'BG Stock Log'!H:H,,0,-1)</f>
        <v>4625</v>
      </c>
      <c r="H53" s="5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 t="str" cm="1">
        <f t="array" ref="AA53">GetFilteredValues(A53)</f>
        <v/>
      </c>
    </row>
    <row r="54" spans="1:27" x14ac:dyDescent="0.25">
      <c r="A54" s="1" t="s">
        <v>1569</v>
      </c>
      <c r="B54" s="1"/>
      <c r="C54" s="1" t="s">
        <v>1633</v>
      </c>
      <c r="D54" s="8" t="s">
        <v>1705</v>
      </c>
      <c r="E54" s="1" t="s">
        <v>1731</v>
      </c>
      <c r="F54" s="1" t="s">
        <v>1364</v>
      </c>
      <c r="G54" s="5">
        <f>_xlfn.XLOOKUP(A54,'BG Stock Log'!C:C,'BG Stock Log'!H:H,,0,-1)</f>
        <v>20400</v>
      </c>
      <c r="H54" s="5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 t="str" cm="1">
        <f t="array" ref="AA54">GetFilteredValues(A54)</f>
        <v/>
      </c>
    </row>
    <row r="55" spans="1:27" x14ac:dyDescent="0.25">
      <c r="A55" s="1" t="s">
        <v>1551</v>
      </c>
      <c r="B55" s="1"/>
      <c r="C55" s="1" t="s">
        <v>1615</v>
      </c>
      <c r="D55" s="8" t="s">
        <v>1686</v>
      </c>
      <c r="E55" s="1" t="s">
        <v>1728</v>
      </c>
      <c r="F55" s="1" t="s">
        <v>1364</v>
      </c>
      <c r="G55" s="5">
        <f>_xlfn.XLOOKUP(A55,'BG Stock Log'!C:C,'BG Stock Log'!H:H,,0,-1)</f>
        <v>52065</v>
      </c>
      <c r="H55" s="5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 t="str" cm="1">
        <f t="array" ref="AA55">GetFilteredValues(A55)</f>
        <v/>
      </c>
    </row>
    <row r="56" spans="1:27" x14ac:dyDescent="0.25">
      <c r="A56" s="1" t="s">
        <v>1560</v>
      </c>
      <c r="B56" s="1"/>
      <c r="C56" s="1" t="s">
        <v>1624</v>
      </c>
      <c r="D56" s="8" t="s">
        <v>1695</v>
      </c>
      <c r="E56" s="1" t="s">
        <v>1732</v>
      </c>
      <c r="F56" s="1" t="s">
        <v>1364</v>
      </c>
      <c r="G56" s="5">
        <f>_xlfn.XLOOKUP(A56,'BG Stock Log'!C:C,'BG Stock Log'!H:H,,0,-1)</f>
        <v>7725</v>
      </c>
      <c r="H56" s="5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 t="str" cm="1">
        <f t="array" ref="AA56">GetFilteredValues(A56)</f>
        <v/>
      </c>
    </row>
    <row r="57" spans="1:27" x14ac:dyDescent="0.25">
      <c r="A57" s="1" t="s">
        <v>1564</v>
      </c>
      <c r="B57" s="1"/>
      <c r="C57" s="1" t="s">
        <v>1628</v>
      </c>
      <c r="D57" s="8" t="s">
        <v>1699</v>
      </c>
      <c r="E57" s="1" t="s">
        <v>1135</v>
      </c>
      <c r="F57" s="1" t="s">
        <v>1364</v>
      </c>
      <c r="G57" s="5">
        <f>_xlfn.XLOOKUP(A57,'BG Stock Log'!C:C,'BG Stock Log'!H:H,,0,-1)</f>
        <v>6725</v>
      </c>
      <c r="H57" s="5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 t="str" cm="1">
        <f t="array" ref="AA57">GetFilteredValues(A57)</f>
        <v/>
      </c>
    </row>
    <row r="58" spans="1:27" x14ac:dyDescent="0.25">
      <c r="A58" s="1" t="s">
        <v>1557</v>
      </c>
      <c r="B58" s="1"/>
      <c r="C58" s="1" t="s">
        <v>1621</v>
      </c>
      <c r="D58" s="8" t="s">
        <v>1692</v>
      </c>
      <c r="E58" s="1" t="s">
        <v>1135</v>
      </c>
      <c r="F58" s="1" t="s">
        <v>1364</v>
      </c>
      <c r="G58" s="5">
        <f>_xlfn.XLOOKUP(A58,'BG Stock Log'!C:C,'BG Stock Log'!H:H,,0,-1)</f>
        <v>9125</v>
      </c>
      <c r="H58" s="5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 t="str" cm="1">
        <f t="array" ref="AA58">GetFilteredValues(A58)</f>
        <v/>
      </c>
    </row>
    <row r="59" spans="1:27" x14ac:dyDescent="0.25">
      <c r="A59" s="1" t="s">
        <v>1568</v>
      </c>
      <c r="B59" s="1"/>
      <c r="C59" s="1" t="s">
        <v>1632</v>
      </c>
      <c r="D59" s="8" t="s">
        <v>1704</v>
      </c>
      <c r="E59" s="1" t="s">
        <v>1135</v>
      </c>
      <c r="F59" s="1" t="s">
        <v>1364</v>
      </c>
      <c r="G59" s="5">
        <f>_xlfn.XLOOKUP(A59,'BG Stock Log'!C:C,'BG Stock Log'!H:H,,0,-1)</f>
        <v>12576</v>
      </c>
      <c r="H59" s="5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 t="str" cm="1">
        <f t="array" ref="AA59">GetFilteredValues(A59)</f>
        <v/>
      </c>
    </row>
    <row r="60" spans="1:27" x14ac:dyDescent="0.25">
      <c r="A60" s="1" t="s">
        <v>1570</v>
      </c>
      <c r="B60" s="1"/>
      <c r="C60" s="1" t="s">
        <v>1634</v>
      </c>
      <c r="D60" s="8" t="s">
        <v>1706</v>
      </c>
      <c r="E60" s="1" t="s">
        <v>1135</v>
      </c>
      <c r="F60" s="1" t="s">
        <v>1364</v>
      </c>
      <c r="G60" s="5">
        <f>_xlfn.XLOOKUP(A60,'BG Stock Log'!C:C,'BG Stock Log'!H:H,,0,-1)</f>
        <v>23988</v>
      </c>
      <c r="H60" s="5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 t="str" cm="1">
        <f t="array" ref="AA60">GetFilteredValues(A60)</f>
        <v/>
      </c>
    </row>
    <row r="61" spans="1:27" x14ac:dyDescent="0.25">
      <c r="A61" s="1" t="s">
        <v>1566</v>
      </c>
      <c r="B61" s="1"/>
      <c r="C61" s="1" t="s">
        <v>1630</v>
      </c>
      <c r="D61" s="8" t="s">
        <v>1701</v>
      </c>
      <c r="E61" s="1" t="s">
        <v>1135</v>
      </c>
      <c r="F61" s="1" t="s">
        <v>1364</v>
      </c>
      <c r="G61" s="5">
        <f>_xlfn.XLOOKUP(A61,'BG Stock Log'!C:C,'BG Stock Log'!H:H,,0,-1)</f>
        <v>5052</v>
      </c>
      <c r="H61" s="5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 t="str" cm="1">
        <f t="array" ref="AA61">GetFilteredValues(A61)</f>
        <v/>
      </c>
    </row>
    <row r="62" spans="1:27" x14ac:dyDescent="0.25">
      <c r="A62" s="1" t="s">
        <v>1561</v>
      </c>
      <c r="B62" s="1"/>
      <c r="C62" s="1" t="s">
        <v>1625</v>
      </c>
      <c r="D62" s="8" t="s">
        <v>1696</v>
      </c>
      <c r="E62" s="1" t="s">
        <v>1135</v>
      </c>
      <c r="F62" s="1" t="s">
        <v>1364</v>
      </c>
      <c r="G62" s="5">
        <f>_xlfn.XLOOKUP(A62,'BG Stock Log'!C:C,'BG Stock Log'!H:H,,0,-1)</f>
        <v>7695</v>
      </c>
      <c r="H62" s="5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 t="str" cm="1">
        <f t="array" ref="AA62">GetFilteredValues(A62)</f>
        <v/>
      </c>
    </row>
    <row r="63" spans="1:27" x14ac:dyDescent="0.25">
      <c r="A63" s="1" t="s">
        <v>1562</v>
      </c>
      <c r="B63" s="1"/>
      <c r="C63" s="1" t="s">
        <v>1626</v>
      </c>
      <c r="D63" s="8" t="s">
        <v>1697</v>
      </c>
      <c r="E63" s="1" t="s">
        <v>1135</v>
      </c>
      <c r="F63" s="1" t="s">
        <v>1364</v>
      </c>
      <c r="G63" s="5">
        <f>_xlfn.XLOOKUP(A63,'BG Stock Log'!C:C,'BG Stock Log'!H:H,,0,-1)</f>
        <v>5800</v>
      </c>
      <c r="H63" s="5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 t="str" cm="1">
        <f t="array" ref="AA63">GetFilteredValues(A63)</f>
        <v>OPTIKAM</v>
      </c>
    </row>
    <row r="64" spans="1:27" x14ac:dyDescent="0.25">
      <c r="A64" s="1" t="s">
        <v>1542</v>
      </c>
      <c r="B64" s="1"/>
      <c r="C64" s="1" t="s">
        <v>1606</v>
      </c>
      <c r="D64" s="8" t="s">
        <v>1677</v>
      </c>
      <c r="E64" s="1" t="s">
        <v>1719</v>
      </c>
      <c r="F64" s="1" t="s">
        <v>1364</v>
      </c>
      <c r="G64" s="5">
        <f>_xlfn.XLOOKUP(A64,'BG Stock Log'!C:C,'BG Stock Log'!H:H,,0,-1)</f>
        <v>495</v>
      </c>
      <c r="H64" s="5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 t="str" cm="1">
        <f t="array" ref="AA64">GetFilteredValues(A64)</f>
        <v/>
      </c>
    </row>
    <row r="65" spans="1:27" x14ac:dyDescent="0.25">
      <c r="A65" s="1" t="s">
        <v>1525</v>
      </c>
      <c r="B65" s="1"/>
      <c r="C65" s="1" t="s">
        <v>1590</v>
      </c>
      <c r="D65" s="8" t="s">
        <v>1660</v>
      </c>
      <c r="E65" s="1" t="s">
        <v>1716</v>
      </c>
      <c r="F65" s="1" t="s">
        <v>1364</v>
      </c>
      <c r="G65" s="5">
        <f>_xlfn.XLOOKUP(A65,'BG Stock Log'!C:C,'BG Stock Log'!H:H,,0,-1)</f>
        <v>170</v>
      </c>
      <c r="H65" s="5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 t="str" cm="1">
        <f t="array" ref="AA65">GetFilteredValues(A65)</f>
        <v/>
      </c>
    </row>
    <row r="66" spans="1:27" x14ac:dyDescent="0.25">
      <c r="A66" s="1" t="s">
        <v>1521</v>
      </c>
      <c r="B66" s="1"/>
      <c r="C66" s="1" t="s">
        <v>1586</v>
      </c>
      <c r="D66" s="8" t="s">
        <v>1656</v>
      </c>
      <c r="E66" s="1" t="s">
        <v>175</v>
      </c>
      <c r="F66" s="1" t="s">
        <v>1364</v>
      </c>
      <c r="G66" s="5">
        <f>_xlfn.XLOOKUP(A66,'BG Stock Log'!C:C,'BG Stock Log'!H:H,,0,-1)</f>
        <v>2020</v>
      </c>
      <c r="H66" s="5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 t="str" cm="1">
        <f t="array" ref="AA66">GetFilteredValues(A66)</f>
        <v/>
      </c>
    </row>
    <row r="67" spans="1:27" x14ac:dyDescent="0.25">
      <c r="A67" s="1" t="s">
        <v>1535</v>
      </c>
      <c r="B67" s="1"/>
      <c r="C67" s="1" t="s">
        <v>1599</v>
      </c>
      <c r="D67" s="8" t="s">
        <v>1670</v>
      </c>
      <c r="E67" s="1" t="s">
        <v>1722</v>
      </c>
      <c r="F67" s="1" t="s">
        <v>1364</v>
      </c>
      <c r="G67" s="5">
        <f>_xlfn.XLOOKUP(A67,'BG Stock Log'!C:C,'BG Stock Log'!H:H,,0,-1)</f>
        <v>680</v>
      </c>
      <c r="H67" s="5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 t="str" cm="1">
        <f t="array" ref="AA67">GetFilteredValues(A67)</f>
        <v/>
      </c>
    </row>
    <row r="68" spans="1:27" x14ac:dyDescent="0.25">
      <c r="A68" s="1" t="s">
        <v>1526</v>
      </c>
      <c r="B68" s="1"/>
      <c r="C68" s="1" t="s">
        <v>1591</v>
      </c>
      <c r="D68" s="8" t="s">
        <v>1661</v>
      </c>
      <c r="E68" s="1" t="s">
        <v>1717</v>
      </c>
      <c r="F68" s="1" t="s">
        <v>1364</v>
      </c>
      <c r="G68" s="5">
        <f>_xlfn.XLOOKUP(A68,'BG Stock Log'!C:C,'BG Stock Log'!H:H,,0,-1)</f>
        <v>4740</v>
      </c>
      <c r="H68" s="5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 t="str" cm="1">
        <f t="array" ref="AA68">GetFilteredValues(A68)</f>
        <v/>
      </c>
    </row>
    <row r="69" spans="1:27" x14ac:dyDescent="0.25">
      <c r="A69" s="1" t="s">
        <v>1550</v>
      </c>
      <c r="B69" s="1"/>
      <c r="C69" s="1" t="s">
        <v>1614</v>
      </c>
      <c r="D69" s="8" t="s">
        <v>1685</v>
      </c>
      <c r="E69" s="1" t="s">
        <v>1163</v>
      </c>
      <c r="F69" s="1" t="s">
        <v>1364</v>
      </c>
      <c r="G69" s="5">
        <f>_xlfn.XLOOKUP(A69,'BG Stock Log'!C:C,'BG Stock Log'!H:H,,0,-1)</f>
        <v>970</v>
      </c>
      <c r="H69" s="5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 t="str" cm="1">
        <f t="array" ref="AA69">GetFilteredValues(A69)</f>
        <v/>
      </c>
    </row>
    <row r="70" spans="1:27" x14ac:dyDescent="0.25">
      <c r="A70" s="1" t="s">
        <v>1534</v>
      </c>
      <c r="B70" s="1"/>
      <c r="C70" s="1" t="s">
        <v>1598</v>
      </c>
      <c r="D70" s="8" t="s">
        <v>1669</v>
      </c>
      <c r="E70" s="1" t="s">
        <v>1163</v>
      </c>
      <c r="F70" s="1" t="s">
        <v>1364</v>
      </c>
      <c r="G70" s="5">
        <f>_xlfn.XLOOKUP(A70,'BG Stock Log'!C:C,'BG Stock Log'!H:H,,0,-1)</f>
        <v>1850</v>
      </c>
      <c r="H70" s="5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 t="str" cm="1">
        <f t="array" ref="AA70">GetFilteredValues(A70)</f>
        <v/>
      </c>
    </row>
    <row r="71" spans="1:27" x14ac:dyDescent="0.25">
      <c r="A71" s="1" t="s">
        <v>1536</v>
      </c>
      <c r="B71" s="1"/>
      <c r="C71" s="1" t="s">
        <v>1600</v>
      </c>
      <c r="D71" s="8" t="s">
        <v>1671</v>
      </c>
      <c r="E71" s="1" t="s">
        <v>1723</v>
      </c>
      <c r="F71" s="1" t="s">
        <v>1364</v>
      </c>
      <c r="G71" s="5">
        <f>_xlfn.XLOOKUP(A71,'BG Stock Log'!C:C,'BG Stock Log'!H:H,,0,-1)</f>
        <v>877</v>
      </c>
      <c r="H71" s="5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 t="str" cm="1">
        <f t="array" ref="AA71">GetFilteredValues(A71)</f>
        <v>OPTIKAM</v>
      </c>
    </row>
    <row r="72" spans="1:27" x14ac:dyDescent="0.25">
      <c r="A72" s="1" t="s">
        <v>1546</v>
      </c>
      <c r="B72" s="1"/>
      <c r="C72" s="1" t="s">
        <v>1610</v>
      </c>
      <c r="D72" s="8" t="s">
        <v>1681</v>
      </c>
      <c r="E72" s="1" t="s">
        <v>175</v>
      </c>
      <c r="F72" s="1" t="s">
        <v>1364</v>
      </c>
      <c r="G72" s="5">
        <f>_xlfn.XLOOKUP(A72,'BG Stock Log'!C:C,'BG Stock Log'!H:H,,0,-1)</f>
        <v>260</v>
      </c>
      <c r="H72" s="5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 t="str" cm="1">
        <f t="array" ref="AA72">GetFilteredValues(A72)</f>
        <v/>
      </c>
    </row>
    <row r="73" spans="1:27" x14ac:dyDescent="0.25">
      <c r="A73" s="1" t="s">
        <v>71</v>
      </c>
      <c r="B73" s="1" t="s">
        <v>376</v>
      </c>
      <c r="C73" s="1" t="s">
        <v>871</v>
      </c>
      <c r="D73" s="8" t="s">
        <v>187</v>
      </c>
      <c r="E73" s="1" t="s">
        <v>114</v>
      </c>
      <c r="F73" s="1" t="s">
        <v>1364</v>
      </c>
      <c r="G73" s="5">
        <f>_xlfn.XLOOKUP(A73,'BG Stock Log'!C:C,'BG Stock Log'!H:H,,0,-1)</f>
        <v>3913</v>
      </c>
      <c r="H73" s="5"/>
      <c r="I73" s="1"/>
      <c r="J73" s="1">
        <v>4000</v>
      </c>
      <c r="K73" s="1">
        <f>SUMIFS('BG Stock Log'!G:G,'BG Stock Log'!C:C,'BG Dashboard'!A74,'BG Stock Log'!F:F,"ADD")</f>
        <v>3801</v>
      </c>
      <c r="L73" s="1">
        <f>_xlfn.XLOOKUP(A73,'New BG List'!A:A,'New BG List'!K:K,,0)</f>
        <v>15</v>
      </c>
      <c r="M73" s="1">
        <f>_xlfn.XLOOKUP(A73,'New BG List'!A:A,'New BG List'!J:J,0)</f>
        <v>54</v>
      </c>
      <c r="N73" s="1"/>
      <c r="O73" s="1" t="str" cm="1">
        <f t="array" ref="O73">GetLastItem(AA73)</f>
        <v/>
      </c>
      <c r="P73" s="1" cm="1">
        <f t="array" ref="P73">IFERROR(INDEX(_xlfn._xlws.SORT(_xlfn._xlws.FILTER('BG Stock Log'!G:G, ('BG Stock Log'!C:C=A73) * ('BG Stock Log'!G:G&gt;0)), 1, -1), 1),"")</f>
        <v>50</v>
      </c>
      <c r="Q73" s="1">
        <f>IFERROR(ROUND(AVERAGEIFS('BG Stock Log'!G:G,'BG Stock Log'!C:C,'BG Dashboard'!A74,'BG Stock Log'!F:F,"ADD"),0),"")</f>
        <v>1901</v>
      </c>
      <c r="R73" s="1" t="s">
        <v>511</v>
      </c>
      <c r="S73" s="1" t="s">
        <v>1074</v>
      </c>
      <c r="T73" s="37">
        <v>0.11899999999999999</v>
      </c>
      <c r="U73" s="37">
        <v>476</v>
      </c>
      <c r="V73" s="1" t="s">
        <v>593</v>
      </c>
      <c r="W73" s="37">
        <v>7.0300000000000001E-2</v>
      </c>
      <c r="X73" s="37">
        <v>281.2</v>
      </c>
      <c r="Y73" s="36">
        <f>IFERROR(SUMIFS('BG Stock Log'!L:L,'BG Stock Log'!C:C,'BG Dashboard'!A74)/SUMIFS('BG Stock Log'!G:G,'BG Stock Log'!C:C,'BG Dashboard'!A74,'BG Stock Log'!F:F,"ADD"),"")</f>
        <v>3.3296500920810317E-2</v>
      </c>
      <c r="Z73" s="36">
        <f t="shared" ref="Z73:Z104" si="0">IFERROR(T73*G73,"")</f>
        <v>465.64699999999999</v>
      </c>
      <c r="AA73" s="1" t="str" cm="1">
        <f t="array" ref="AA73">GetFilteredValues(A73)</f>
        <v/>
      </c>
    </row>
    <row r="74" spans="1:27" x14ac:dyDescent="0.25">
      <c r="A74" s="5" t="s">
        <v>304</v>
      </c>
      <c r="B74" s="1" t="s">
        <v>305</v>
      </c>
      <c r="C74" s="1" t="s">
        <v>763</v>
      </c>
      <c r="D74" s="8" t="s">
        <v>1209</v>
      </c>
      <c r="E74" s="1" t="s">
        <v>190</v>
      </c>
      <c r="F74" s="1" t="s">
        <v>1364</v>
      </c>
      <c r="G74" s="5">
        <f>_xlfn.XLOOKUP(A74,'BG Stock Log'!C:C,'BG Stock Log'!H:H,,0,-1)</f>
        <v>2307</v>
      </c>
      <c r="H74" s="5"/>
      <c r="I74" s="1"/>
      <c r="J74" s="1">
        <v>2000</v>
      </c>
      <c r="K74" s="1">
        <f>SUMIFS('BG Stock Log'!G:G,'BG Stock Log'!C:C,'BG Dashboard'!A126,'BG Stock Log'!F:F,"ADD")</f>
        <v>5601</v>
      </c>
      <c r="L74" s="1">
        <f>_xlfn.XLOOKUP(A74,'New BG List'!A:A,'New BG List'!K:K,,0)</f>
        <v>12</v>
      </c>
      <c r="M74" s="1">
        <f>_xlfn.XLOOKUP(A74,'New BG List'!A:A,'New BG List'!J:J,0)</f>
        <v>1540</v>
      </c>
      <c r="N74" s="5"/>
      <c r="O74" s="1" t="str" cm="1">
        <f t="array" ref="O74">GetLastItem(AA74)</f>
        <v>LCSC</v>
      </c>
      <c r="P74" s="1" cm="1">
        <f t="array" ref="P74">IFERROR(INDEX(_xlfn._xlws.SORT(_xlfn._xlws.FILTER('BG Stock Log'!G:G, ('BG Stock Log'!C:C=A74) * ('BG Stock Log'!G:G&gt;0)), 1, -1), 1),"")</f>
        <v>2000</v>
      </c>
      <c r="Q74" s="1">
        <f>IFERROR(ROUND(AVERAGEIFS('BG Stock Log'!G:G,'BG Stock Log'!C:C,'BG Dashboard'!A126,'BG Stock Log'!F:F,"ADD"),0),"")</f>
        <v>2801</v>
      </c>
      <c r="R74" s="1" t="s">
        <v>511</v>
      </c>
      <c r="S74" s="1" t="s">
        <v>1077</v>
      </c>
      <c r="T74" s="37">
        <v>0.125</v>
      </c>
      <c r="U74" s="37">
        <v>250</v>
      </c>
      <c r="V74" s="1" t="s">
        <v>543</v>
      </c>
      <c r="W74" s="37">
        <v>5.9799999999999999E-2</v>
      </c>
      <c r="X74" s="37">
        <v>119.6</v>
      </c>
      <c r="Y74" s="36">
        <f>IFERROR(SUMIFS('BG Stock Log'!L:L,'BG Stock Log'!C:C,'BG Dashboard'!A126)/SUMIFS('BG Stock Log'!G:G,'BG Stock Log'!C:C,'BG Dashboard'!A126,'BG Stock Log'!F:F,"ADD"),"")</f>
        <v>1.2672737011247992E-2</v>
      </c>
      <c r="Z74" s="36">
        <f t="shared" si="0"/>
        <v>288.375</v>
      </c>
      <c r="AA74" s="1" t="str" cm="1">
        <f t="array" ref="AA74">GetFilteredValues(A74)</f>
        <v>LCSC</v>
      </c>
    </row>
    <row r="75" spans="1:27" x14ac:dyDescent="0.25">
      <c r="A75" s="10" t="s">
        <v>300</v>
      </c>
      <c r="B75" s="1" t="s">
        <v>301</v>
      </c>
      <c r="C75" s="1" t="s">
        <v>763</v>
      </c>
      <c r="D75" s="8" t="s">
        <v>1190</v>
      </c>
      <c r="E75" s="1" t="s">
        <v>190</v>
      </c>
      <c r="F75" s="1" t="s">
        <v>1364</v>
      </c>
      <c r="G75" s="5">
        <f>_xlfn.XLOOKUP(A75,'BG Stock Log'!C:C,'BG Stock Log'!H:H,,0,-1)</f>
        <v>1578</v>
      </c>
      <c r="H75" s="5"/>
      <c r="I75" s="1"/>
      <c r="J75" s="1">
        <v>2000</v>
      </c>
      <c r="K75" s="1">
        <f>SUMIFS('BG Stock Log'!G:G,'BG Stock Log'!C:C,'BG Dashboard'!A139,'BG Stock Log'!F:F,"ADD")</f>
        <v>15000</v>
      </c>
      <c r="L75" s="1">
        <f>_xlfn.XLOOKUP(A75,'New BG List'!A:A,'New BG List'!K:K,,0)</f>
        <v>13</v>
      </c>
      <c r="M75" s="1">
        <f>_xlfn.XLOOKUP(A75,'New BG List'!A:A,'New BG List'!J:J,0)</f>
        <v>180</v>
      </c>
      <c r="N75" s="1"/>
      <c r="O75" s="1" t="str" cm="1">
        <f t="array" ref="O75">GetLastItem(AA75)</f>
        <v>LCSC</v>
      </c>
      <c r="P75" s="1" cm="1">
        <f t="array" ref="P75">IFERROR(INDEX(_xlfn._xlws.SORT(_xlfn._xlws.FILTER('BG Stock Log'!G:G, ('BG Stock Log'!C:C=A75) * ('BG Stock Log'!G:G&gt;0)), 1, -1), 1),"")</f>
        <v>2000</v>
      </c>
      <c r="Q75" s="1">
        <f>IFERROR(ROUND(AVERAGEIFS('BG Stock Log'!G:G,'BG Stock Log'!C:C,'BG Dashboard'!A139,'BG Stock Log'!F:F,"ADD"),0),"")</f>
        <v>7500</v>
      </c>
      <c r="R75" s="1" t="s">
        <v>511</v>
      </c>
      <c r="S75" s="1" t="s">
        <v>1082</v>
      </c>
      <c r="T75" s="37">
        <v>0.19900000000000001</v>
      </c>
      <c r="U75" s="37">
        <v>398</v>
      </c>
      <c r="V75" s="1" t="s">
        <v>541</v>
      </c>
      <c r="W75" s="37">
        <v>8.7800000000000003E-2</v>
      </c>
      <c r="X75" s="37">
        <v>175.6</v>
      </c>
      <c r="Y75" s="36">
        <f>IFERROR(SUMIFS('BG Stock Log'!L:L,'BG Stock Log'!C:C,'BG Dashboard'!A139)/SUMIFS('BG Stock Log'!G:G,'BG Stock Log'!C:C,'BG Dashboard'!A139,'BG Stock Log'!F:F,"ADD"),"")</f>
        <v>1.1004E-2</v>
      </c>
      <c r="Z75" s="36">
        <f t="shared" si="0"/>
        <v>314.02199999999999</v>
      </c>
      <c r="AA75" s="1" t="str" cm="1">
        <f t="array" ref="AA75">GetFilteredValues(A75)</f>
        <v>LCSC</v>
      </c>
    </row>
    <row r="76" spans="1:27" x14ac:dyDescent="0.25">
      <c r="A76" s="10" t="s">
        <v>269</v>
      </c>
      <c r="B76" s="1" t="s">
        <v>270</v>
      </c>
      <c r="C76" s="1" t="s">
        <v>845</v>
      </c>
      <c r="D76" s="8" t="s">
        <v>1194</v>
      </c>
      <c r="E76" s="1" t="s">
        <v>194</v>
      </c>
      <c r="F76" s="1" t="s">
        <v>1364</v>
      </c>
      <c r="G76" s="5">
        <f>_xlfn.XLOOKUP(A76,'BG Stock Log'!C:C,'BG Stock Log'!H:H,,0,-1)</f>
        <v>1763</v>
      </c>
      <c r="H76" s="5"/>
      <c r="I76" s="1"/>
      <c r="J76" s="1">
        <v>2000</v>
      </c>
      <c r="K76" s="1">
        <f>SUMIFS('BG Stock Log'!G:G,'BG Stock Log'!C:C,'BG Dashboard'!A148,'BG Stock Log'!F:F,"ADD")</f>
        <v>2119</v>
      </c>
      <c r="L76" s="1">
        <f>_xlfn.XLOOKUP(A76,'New BG List'!A:A,'New BG List'!K:K,,0)</f>
        <v>21</v>
      </c>
      <c r="M76" s="1">
        <f>_xlfn.XLOOKUP(A76,'New BG List'!A:A,'New BG List'!J:J,0)</f>
        <v>246</v>
      </c>
      <c r="N76" s="1"/>
      <c r="O76" s="1" t="str" cm="1">
        <f t="array" ref="O76">GetLastItem(AA76)</f>
        <v>LCSC</v>
      </c>
      <c r="P76" s="1" cm="1">
        <f t="array" ref="P76">IFERROR(INDEX(_xlfn._xlws.SORT(_xlfn._xlws.FILTER('BG Stock Log'!G:G, ('BG Stock Log'!C:C=A76) * ('BG Stock Log'!G:G&gt;0)), 1, -1), 1),"")</f>
        <v>2000</v>
      </c>
      <c r="Q76" s="1">
        <f>IFERROR(ROUND(AVERAGEIFS('BG Stock Log'!G:G,'BG Stock Log'!C:C,'BG Dashboard'!A148,'BG Stock Log'!F:F,"ADD"),0),"")</f>
        <v>706</v>
      </c>
      <c r="R76" s="1" t="s">
        <v>511</v>
      </c>
      <c r="S76" s="1" t="s">
        <v>1086</v>
      </c>
      <c r="T76" s="37">
        <v>0.216</v>
      </c>
      <c r="U76" s="37">
        <v>432</v>
      </c>
      <c r="V76" s="1" t="s">
        <v>525</v>
      </c>
      <c r="W76" s="37">
        <v>7.7399999999999997E-2</v>
      </c>
      <c r="X76" s="37">
        <v>154.79999999999998</v>
      </c>
      <c r="Y76" s="36">
        <f>IFERROR(SUMIFS('BG Stock Log'!L:L,'BG Stock Log'!C:C,'BG Dashboard'!A148)/SUMIFS('BG Stock Log'!G:G,'BG Stock Log'!C:C,'BG Dashboard'!A148,'BG Stock Log'!F:F,"ADD"),"")</f>
        <v>1.1901840490797546</v>
      </c>
      <c r="Z76" s="36">
        <f t="shared" si="0"/>
        <v>380.80799999999999</v>
      </c>
      <c r="AA76" s="1" t="str" cm="1">
        <f t="array" ref="AA76">GetFilteredValues(A76)</f>
        <v>LCSC</v>
      </c>
    </row>
    <row r="77" spans="1:27" x14ac:dyDescent="0.25">
      <c r="A77" s="1" t="s">
        <v>267</v>
      </c>
      <c r="B77" s="1" t="s">
        <v>268</v>
      </c>
      <c r="C77" s="1" t="s">
        <v>784</v>
      </c>
      <c r="D77" s="8" t="s">
        <v>1210</v>
      </c>
      <c r="E77" s="1" t="s">
        <v>190</v>
      </c>
      <c r="F77" s="1" t="s">
        <v>1364</v>
      </c>
      <c r="G77" s="5">
        <f>_xlfn.XLOOKUP(A77,'BG Stock Log'!C:C,'BG Stock Log'!H:H,,0,-1)</f>
        <v>181</v>
      </c>
      <c r="H77" s="5"/>
      <c r="I77" s="1"/>
      <c r="J77" s="1">
        <v>2000</v>
      </c>
      <c r="K77" s="1">
        <f>SUMIFS('BG Stock Log'!G:G,'BG Stock Log'!C:C,'BG Dashboard'!A115,'BG Stock Log'!F:F,"ADD")</f>
        <v>9000</v>
      </c>
      <c r="L77" s="1">
        <f>_xlfn.XLOOKUP(A77,'New BG List'!A:A,'New BG List'!K:K,,0)</f>
        <v>22</v>
      </c>
      <c r="M77" s="1">
        <f>_xlfn.XLOOKUP(A77,'New BG List'!A:A,'New BG List'!J:J,0)</f>
        <v>925</v>
      </c>
      <c r="N77" s="1"/>
      <c r="O77" s="1" t="str" cm="1">
        <f t="array" ref="O77">GetLastItem(AA77)</f>
        <v>TTI</v>
      </c>
      <c r="P77" s="1" cm="1">
        <f t="array" ref="P77">IFERROR(INDEX(_xlfn._xlws.SORT(_xlfn._xlws.FILTER('BG Stock Log'!G:G, ('BG Stock Log'!C:C=A77) * ('BG Stock Log'!G:G&gt;0)), 1, -1), 1),"")</f>
        <v>2000</v>
      </c>
      <c r="Q77" s="1">
        <f>IFERROR(ROUND(AVERAGEIFS('BG Stock Log'!G:G,'BG Stock Log'!C:C,'BG Dashboard'!A115,'BG Stock Log'!F:F,"ADD"),0),"")</f>
        <v>2250</v>
      </c>
      <c r="R77" s="1" t="s">
        <v>511</v>
      </c>
      <c r="S77" s="1" t="s">
        <v>1087</v>
      </c>
      <c r="T77" s="37">
        <v>0.27400000000000002</v>
      </c>
      <c r="U77" s="37">
        <v>548</v>
      </c>
      <c r="V77" s="1" t="s">
        <v>524</v>
      </c>
      <c r="W77" s="37">
        <v>8.8599999999999998E-2</v>
      </c>
      <c r="X77" s="37">
        <v>177.2</v>
      </c>
      <c r="Y77" s="36">
        <f>IFERROR(SUMIFS('BG Stock Log'!L:L,'BG Stock Log'!C:C,'BG Dashboard'!A115)/SUMIFS('BG Stock Log'!G:G,'BG Stock Log'!C:C,'BG Dashboard'!A115,'BG Stock Log'!F:F,"ADD"),"")</f>
        <v>8.1806666666666666E-2</v>
      </c>
      <c r="Z77" s="36">
        <f t="shared" si="0"/>
        <v>49.594000000000001</v>
      </c>
      <c r="AA77" s="1" t="str" cm="1">
        <f t="array" ref="AA77">GetFilteredValues(A77)</f>
        <v>TTI</v>
      </c>
    </row>
    <row r="78" spans="1:27" x14ac:dyDescent="0.25">
      <c r="A78" s="10" t="s">
        <v>308</v>
      </c>
      <c r="B78" s="1" t="s">
        <v>306</v>
      </c>
      <c r="C78" s="1" t="s">
        <v>855</v>
      </c>
      <c r="D78" s="8" t="s">
        <v>1195</v>
      </c>
      <c r="E78" s="1" t="s">
        <v>194</v>
      </c>
      <c r="F78" s="1" t="s">
        <v>1364</v>
      </c>
      <c r="G78" s="5">
        <f>_xlfn.XLOOKUP(A78,'BG Stock Log'!C:C,'BG Stock Log'!H:H,,0,-1)</f>
        <v>320</v>
      </c>
      <c r="H78" s="5"/>
      <c r="I78" s="1"/>
      <c r="J78" s="1">
        <v>500</v>
      </c>
      <c r="K78" s="1">
        <f>SUMIFS('BG Stock Log'!G:G,'BG Stock Log'!C:C,'BG Dashboard'!A145,'BG Stock Log'!F:F,"ADD")</f>
        <v>3000</v>
      </c>
      <c r="L78" s="1">
        <f>_xlfn.XLOOKUP(A78,'New BG List'!A:A,'New BG List'!K:K,,0)</f>
        <v>12</v>
      </c>
      <c r="M78" s="1">
        <f>_xlfn.XLOOKUP(A78,'New BG List'!A:A,'New BG List'!J:J,0)</f>
        <v>159</v>
      </c>
      <c r="N78" s="1"/>
      <c r="O78" s="1" t="str" cm="1">
        <f t="array" ref="O78">GetLastItem(AA78)</f>
        <v>TTI</v>
      </c>
      <c r="P78" s="1" cm="1">
        <f t="array" ref="P78">IFERROR(INDEX(_xlfn._xlws.SORT(_xlfn._xlws.FILTER('BG Stock Log'!G:G, ('BG Stock Log'!C:C=A78) * ('BG Stock Log'!G:G&gt;0)), 1, -1), 1),"")</f>
        <v>500</v>
      </c>
      <c r="Q78" s="1">
        <f>IFERROR(ROUND(AVERAGEIFS('BG Stock Log'!G:G,'BG Stock Log'!C:C,'BG Dashboard'!A145,'BG Stock Log'!F:F,"ADD"),0),"")</f>
        <v>3000</v>
      </c>
      <c r="R78" s="1" t="s">
        <v>511</v>
      </c>
      <c r="S78" s="1" t="s">
        <v>1088</v>
      </c>
      <c r="T78" s="37">
        <v>0.70499999999999996</v>
      </c>
      <c r="U78" s="37">
        <v>352.5</v>
      </c>
      <c r="V78" s="1" t="s">
        <v>545</v>
      </c>
      <c r="W78" s="37">
        <v>0.29970000000000002</v>
      </c>
      <c r="X78" s="37">
        <v>149.85000000000002</v>
      </c>
      <c r="Y78" s="36">
        <f>IFERROR(SUMIFS('BG Stock Log'!L:L,'BG Stock Log'!C:C,'BG Dashboard'!A145)/SUMIFS('BG Stock Log'!G:G,'BG Stock Log'!C:C,'BG Dashboard'!A145,'BG Stock Log'!F:F,"ADD"),"")</f>
        <v>0.36189999999999994</v>
      </c>
      <c r="Z78" s="36">
        <f t="shared" si="0"/>
        <v>225.6</v>
      </c>
      <c r="AA78" s="1" t="str" cm="1">
        <f t="array" ref="AA78">GetFilteredValues(A78)</f>
        <v>TTI</v>
      </c>
    </row>
    <row r="79" spans="1:27" x14ac:dyDescent="0.25">
      <c r="A79" s="1" t="s">
        <v>55</v>
      </c>
      <c r="B79" s="1" t="s">
        <v>312</v>
      </c>
      <c r="C79" s="1" t="s">
        <v>762</v>
      </c>
      <c r="D79" s="8" t="s">
        <v>166</v>
      </c>
      <c r="E79" s="1" t="s">
        <v>106</v>
      </c>
      <c r="F79" s="1" t="s">
        <v>1364</v>
      </c>
      <c r="G79" s="5">
        <f>_xlfn.XLOOKUP(A79,'BG Stock Log'!C:C,'BG Stock Log'!H:H,,0,-1)</f>
        <v>395</v>
      </c>
      <c r="H79" s="5"/>
      <c r="I79" s="1"/>
      <c r="J79" s="1">
        <v>4000</v>
      </c>
      <c r="K79" s="1">
        <f>SUMIFS('BG Stock Log'!G:G,'BG Stock Log'!C:C,'BG Dashboard'!A58,'BG Stock Log'!F:F,"ADD")</f>
        <v>0</v>
      </c>
      <c r="L79" s="1">
        <f>_xlfn.XLOOKUP(A79,'New BG List'!A:A,'New BG List'!K:K,,0)</f>
        <v>47</v>
      </c>
      <c r="M79" s="1">
        <f>_xlfn.XLOOKUP(A79,'New BG List'!A:A,'New BG List'!J:J,0)</f>
        <v>1552</v>
      </c>
      <c r="N79" s="1"/>
      <c r="O79" s="1" t="str" cm="1">
        <f t="array" ref="O79">GetLastItem(AA79)</f>
        <v/>
      </c>
      <c r="P79" s="1" cm="1">
        <f t="array" ref="P79">IFERROR(INDEX(_xlfn._xlws.SORT(_xlfn._xlws.FILTER('BG Stock Log'!G:G, ('BG Stock Log'!C:C=A79) * ('BG Stock Log'!G:G&gt;0)), 1, -1), 1),"")</f>
        <v>8</v>
      </c>
      <c r="Q79" s="1" t="str">
        <f>IFERROR(ROUND(AVERAGEIFS('BG Stock Log'!G:G,'BG Stock Log'!C:C,'BG Dashboard'!A58,'BG Stock Log'!F:F,"ADD"),0),"")</f>
        <v/>
      </c>
      <c r="R79" s="1" t="s">
        <v>511</v>
      </c>
      <c r="S79" s="1" t="s">
        <v>1054</v>
      </c>
      <c r="T79" s="37">
        <v>9.1999999999999998E-3</v>
      </c>
      <c r="U79" s="37">
        <v>36.799999999999997</v>
      </c>
      <c r="V79" s="1" t="s">
        <v>550</v>
      </c>
      <c r="W79" s="37">
        <v>1.8E-3</v>
      </c>
      <c r="X79" s="37">
        <v>7.2</v>
      </c>
      <c r="Y79" s="36" t="str">
        <f>IFERROR(SUMIFS('BG Stock Log'!L:L,'BG Stock Log'!C:C,'BG Dashboard'!A58)/SUMIFS('BG Stock Log'!G:G,'BG Stock Log'!C:C,'BG Dashboard'!A58,'BG Stock Log'!F:F,"ADD"),"")</f>
        <v/>
      </c>
      <c r="Z79" s="36">
        <f t="shared" si="0"/>
        <v>3.6339999999999999</v>
      </c>
      <c r="AA79" s="1" t="str" cm="1">
        <f t="array" ref="AA79">GetFilteredValues(A79)</f>
        <v/>
      </c>
    </row>
    <row r="80" spans="1:27" x14ac:dyDescent="0.25">
      <c r="A80" s="1" t="s">
        <v>2</v>
      </c>
      <c r="B80" s="1" t="s">
        <v>266</v>
      </c>
      <c r="C80" s="1" t="s">
        <v>750</v>
      </c>
      <c r="D80" s="8" t="s">
        <v>109</v>
      </c>
      <c r="E80" s="1" t="s">
        <v>108</v>
      </c>
      <c r="F80" s="1" t="s">
        <v>1364</v>
      </c>
      <c r="G80" s="5">
        <f>_xlfn.XLOOKUP(A80,'BG Stock Log'!C:C,'BG Stock Log'!H:H,,0,-1)</f>
        <v>2882</v>
      </c>
      <c r="H80" s="5"/>
      <c r="I80" s="1"/>
      <c r="J80" s="1">
        <v>4000</v>
      </c>
      <c r="K80" s="1">
        <f>SUMIFS('BG Stock Log'!G:G,'BG Stock Log'!C:C,'BG Dashboard'!A5,'BG Stock Log'!F:F,"ADD")</f>
        <v>500</v>
      </c>
      <c r="L80" s="1">
        <f>_xlfn.XLOOKUP(A80,'New BG List'!A:A,'New BG List'!K:K,,0)</f>
        <v>42</v>
      </c>
      <c r="M80" s="1">
        <f>_xlfn.XLOOKUP(A80,'New BG List'!A:A,'New BG List'!J:J,0)</f>
        <v>2035</v>
      </c>
      <c r="N80" s="1"/>
      <c r="O80" s="1" t="str" cm="1">
        <f t="array" ref="O80">GetLastItem(AA80)</f>
        <v>LCSC</v>
      </c>
      <c r="P80" s="1" cm="1">
        <f t="array" ref="P80">IFERROR(INDEX(_xlfn._xlws.SORT(_xlfn._xlws.FILTER('BG Stock Log'!G:G, ('BG Stock Log'!C:C=A80) * ('BG Stock Log'!G:G&gt;0)), 1, -1), 1),"")</f>
        <v>4000</v>
      </c>
      <c r="Q80" s="1">
        <f>IFERROR(ROUND(AVERAGEIFS('BG Stock Log'!G:G,'BG Stock Log'!C:C,'BG Dashboard'!A5,'BG Stock Log'!F:F,"ADD"),0),"")</f>
        <v>500</v>
      </c>
      <c r="R80" s="1" t="s">
        <v>1316</v>
      </c>
      <c r="S80" s="1" t="s">
        <v>1413</v>
      </c>
      <c r="T80" s="37">
        <v>6.0000000000000001E-3</v>
      </c>
      <c r="U80" s="37">
        <v>24</v>
      </c>
      <c r="V80" s="1" t="s">
        <v>523</v>
      </c>
      <c r="W80" s="37">
        <v>2.2000000000000001E-3</v>
      </c>
      <c r="X80" s="37">
        <v>8.8000000000000007</v>
      </c>
      <c r="Y80" s="36">
        <f>IFERROR(SUMIFS('BG Stock Log'!L:L,'BG Stock Log'!C:C,'BG Dashboard'!A5)/SUMIFS('BG Stock Log'!G:G,'BG Stock Log'!C:C,'BG Dashboard'!A5,'BG Stock Log'!F:F,"ADD"),"")</f>
        <v>0</v>
      </c>
      <c r="Z80" s="36">
        <f t="shared" si="0"/>
        <v>17.292000000000002</v>
      </c>
      <c r="AA80" s="1" t="str" cm="1">
        <f t="array" ref="AA80">GetFilteredValues(A80)</f>
        <v>LCSC</v>
      </c>
    </row>
    <row r="81" spans="1:27" x14ac:dyDescent="0.25">
      <c r="A81" s="1" t="s">
        <v>72</v>
      </c>
      <c r="B81" s="1" t="s">
        <v>309</v>
      </c>
      <c r="C81" s="1" t="s">
        <v>879</v>
      </c>
      <c r="D81" s="8" t="s">
        <v>188</v>
      </c>
      <c r="E81" s="1" t="s">
        <v>114</v>
      </c>
      <c r="F81" s="1" t="s">
        <v>1364</v>
      </c>
      <c r="G81" s="5">
        <f>_xlfn.XLOOKUP(A81,'BG Stock Log'!C:C,'BG Stock Log'!H:H,,0,-1)</f>
        <v>2000</v>
      </c>
      <c r="H81" s="5"/>
      <c r="I81" s="1"/>
      <c r="J81" s="1">
        <v>4000</v>
      </c>
      <c r="K81" s="1">
        <f>SUMIFS('BG Stock Log'!G:G,'BG Stock Log'!C:C,'BG Dashboard'!A75,'BG Stock Log'!F:F,"ADD")</f>
        <v>2000</v>
      </c>
      <c r="L81" s="1">
        <f>_xlfn.XLOOKUP(A81,'New BG List'!A:A,'New BG List'!K:K,,0)</f>
        <v>1</v>
      </c>
      <c r="M81" s="1">
        <f>_xlfn.XLOOKUP(A81,'New BG List'!A:A,'New BG List'!J:J,0)</f>
        <v>0</v>
      </c>
      <c r="N81" s="1"/>
      <c r="O81" s="1" t="str" cm="1">
        <f t="array" ref="O81">GetLastItem(AA81)</f>
        <v/>
      </c>
      <c r="P81" s="1" t="str" cm="1">
        <f t="array" ref="P81">IFERROR(INDEX(_xlfn._xlws.SORT(_xlfn._xlws.FILTER('BG Stock Log'!G:G, ('BG Stock Log'!C:C=A81) * ('BG Stock Log'!G:G&gt;0)), 1, -1), 1),"")</f>
        <v/>
      </c>
      <c r="Q81" s="1">
        <f>IFERROR(ROUND(AVERAGEIFS('BG Stock Log'!G:G,'BG Stock Log'!C:C,'BG Dashboard'!A75,'BG Stock Log'!F:F,"ADD"),0),"")</f>
        <v>2000</v>
      </c>
      <c r="R81" s="1" t="s">
        <v>511</v>
      </c>
      <c r="S81" s="1" t="s">
        <v>1045</v>
      </c>
      <c r="T81" s="37">
        <v>2.4E-2</v>
      </c>
      <c r="U81" s="37">
        <v>96</v>
      </c>
      <c r="V81" s="1" t="s">
        <v>546</v>
      </c>
      <c r="W81" s="37">
        <v>3.7000000000000002E-3</v>
      </c>
      <c r="X81" s="37">
        <v>14.8</v>
      </c>
      <c r="Y81" s="36">
        <f>IFERROR(SUMIFS('BG Stock Log'!L:L,'BG Stock Log'!C:C,'BG Dashboard'!A75)/SUMIFS('BG Stock Log'!G:G,'BG Stock Log'!C:C,'BG Dashboard'!A75,'BG Stock Log'!F:F,"ADD"),"")</f>
        <v>0.14377999999999999</v>
      </c>
      <c r="Z81" s="36">
        <f t="shared" si="0"/>
        <v>48</v>
      </c>
      <c r="AA81" s="1" t="str" cm="1">
        <f t="array" ref="AA81">GetFilteredValues(A81)</f>
        <v/>
      </c>
    </row>
    <row r="82" spans="1:27" x14ac:dyDescent="0.25">
      <c r="A82" s="1" t="s">
        <v>56</v>
      </c>
      <c r="B82" s="1" t="s">
        <v>313</v>
      </c>
      <c r="C82" s="1" t="s">
        <v>742</v>
      </c>
      <c r="D82" s="8" t="s">
        <v>168</v>
      </c>
      <c r="E82" s="1" t="s">
        <v>167</v>
      </c>
      <c r="F82" s="1" t="s">
        <v>1364</v>
      </c>
      <c r="G82" s="5">
        <f>_xlfn.XLOOKUP(A82,'BG Stock Log'!C:C,'BG Stock Log'!H:H,,0,-1)</f>
        <v>1688</v>
      </c>
      <c r="H82" s="5"/>
      <c r="I82" s="1"/>
      <c r="J82" s="1">
        <v>4000</v>
      </c>
      <c r="K82" s="1">
        <f>SUMIFS('BG Stock Log'!G:G,'BG Stock Log'!C:C,'BG Dashboard'!A59,'BG Stock Log'!F:F,"ADD")</f>
        <v>0</v>
      </c>
      <c r="L82" s="1">
        <f>_xlfn.XLOOKUP(A82,'New BG List'!A:A,'New BG List'!K:K,,0)</f>
        <v>66</v>
      </c>
      <c r="M82" s="1">
        <f>_xlfn.XLOOKUP(A82,'New BG List'!A:A,'New BG List'!J:J,0)</f>
        <v>2381</v>
      </c>
      <c r="N82" s="1"/>
      <c r="O82" s="1" t="str" cm="1">
        <f t="array" ref="O82">GetLastItem(AA82)</f>
        <v>LCSC</v>
      </c>
      <c r="P82" s="1" cm="1">
        <f t="array" ref="P82">IFERROR(INDEX(_xlfn._xlws.SORT(_xlfn._xlws.FILTER('BG Stock Log'!G:G, ('BG Stock Log'!C:C=A82) * ('BG Stock Log'!G:G&gt;0)), 1, -1), 1),"")</f>
        <v>4000</v>
      </c>
      <c r="Q82" s="1" t="str">
        <f>IFERROR(ROUND(AVERAGEIFS('BG Stock Log'!G:G,'BG Stock Log'!C:C,'BG Dashboard'!A59,'BG Stock Log'!F:F,"ADD"),0),"")</f>
        <v/>
      </c>
      <c r="R82" s="1" t="s">
        <v>511</v>
      </c>
      <c r="S82" s="1" t="s">
        <v>1052</v>
      </c>
      <c r="T82" s="37">
        <v>9.1999999999999998E-3</v>
      </c>
      <c r="U82" s="37">
        <v>36.799999999999997</v>
      </c>
      <c r="V82" s="1" t="s">
        <v>551</v>
      </c>
      <c r="W82" s="37">
        <v>2.3999999999999998E-3</v>
      </c>
      <c r="X82" s="37">
        <v>9.6</v>
      </c>
      <c r="Y82" s="36" t="str">
        <f>IFERROR(SUMIFS('BG Stock Log'!L:L,'BG Stock Log'!C:C,'BG Dashboard'!A59)/SUMIFS('BG Stock Log'!G:G,'BG Stock Log'!C:C,'BG Dashboard'!A59,'BG Stock Log'!F:F,"ADD"),"")</f>
        <v/>
      </c>
      <c r="Z82" s="36">
        <f t="shared" si="0"/>
        <v>15.5296</v>
      </c>
      <c r="AA82" s="1" t="str" cm="1">
        <f t="array" ref="AA82">GetFilteredValues(A82)</f>
        <v>LCSC</v>
      </c>
    </row>
    <row r="83" spans="1:27" x14ac:dyDescent="0.25">
      <c r="A83" s="1" t="s">
        <v>7</v>
      </c>
      <c r="B83" s="1" t="s">
        <v>307</v>
      </c>
      <c r="C83" s="1" t="s">
        <v>704</v>
      </c>
      <c r="D83" s="8" t="s">
        <v>115</v>
      </c>
      <c r="E83" s="1" t="s">
        <v>114</v>
      </c>
      <c r="F83" s="1" t="s">
        <v>1364</v>
      </c>
      <c r="G83" s="5">
        <f>_xlfn.XLOOKUP(A83,'BG Stock Log'!C:C,'BG Stock Log'!H:H,,0,-1)</f>
        <v>5583</v>
      </c>
      <c r="H83" s="5"/>
      <c r="I83" s="1"/>
      <c r="J83" s="1">
        <v>4000</v>
      </c>
      <c r="K83" s="1">
        <f>SUMIFS('BG Stock Log'!G:G,'BG Stock Log'!C:C,'BG Dashboard'!A10,'BG Stock Log'!F:F,"ADD")</f>
        <v>3000</v>
      </c>
      <c r="L83" s="1">
        <f>_xlfn.XLOOKUP(A83,'New BG List'!A:A,'New BG List'!K:K,,0)</f>
        <v>99</v>
      </c>
      <c r="M83" s="1">
        <f>_xlfn.XLOOKUP(A83,'New BG List'!A:A,'New BG List'!J:J,0)</f>
        <v>22379</v>
      </c>
      <c r="N83" s="1"/>
      <c r="O83" s="1" t="str" cm="1">
        <f t="array" ref="O83">GetLastItem(AA83)</f>
        <v>LCSC</v>
      </c>
      <c r="P83" s="1" cm="1">
        <f t="array" ref="P83">IFERROR(INDEX(_xlfn._xlws.SORT(_xlfn._xlws.FILTER('BG Stock Log'!G:G, ('BG Stock Log'!C:C=A83) * ('BG Stock Log'!G:G&gt;0)), 1, -1), 1),"")</f>
        <v>12000</v>
      </c>
      <c r="Q83" s="1">
        <f>IFERROR(ROUND(AVERAGEIFS('BG Stock Log'!G:G,'BG Stock Log'!C:C,'BG Dashboard'!A10,'BG Stock Log'!F:F,"ADD"),0),"")</f>
        <v>3000</v>
      </c>
      <c r="R83" s="1" t="s">
        <v>511</v>
      </c>
      <c r="S83" s="1" t="s">
        <v>1047</v>
      </c>
      <c r="T83" s="37">
        <v>7.7999999999999996E-3</v>
      </c>
      <c r="U83" s="37">
        <v>31.2</v>
      </c>
      <c r="V83" s="1" t="s">
        <v>544</v>
      </c>
      <c r="W83" s="37">
        <v>4.5999999999999999E-3</v>
      </c>
      <c r="X83" s="37">
        <v>18.399999999999999</v>
      </c>
      <c r="Y83" s="36">
        <f>IFERROR(SUMIFS('BG Stock Log'!L:L,'BG Stock Log'!C:C,'BG Dashboard'!A10)/SUMIFS('BG Stock Log'!G:G,'BG Stock Log'!C:C,'BG Dashboard'!A10,'BG Stock Log'!F:F,"ADD"),"")</f>
        <v>0</v>
      </c>
      <c r="Z83" s="36">
        <f t="shared" si="0"/>
        <v>43.547399999999996</v>
      </c>
      <c r="AA83" s="1" t="str" cm="1">
        <f t="array" ref="AA83">GetFilteredValues(A83)</f>
        <v>Future, LCSC, LCSC</v>
      </c>
    </row>
    <row r="84" spans="1:27" x14ac:dyDescent="0.25">
      <c r="A84" s="1" t="s">
        <v>273</v>
      </c>
      <c r="B84" s="1" t="s">
        <v>274</v>
      </c>
      <c r="C84" s="1" t="s">
        <v>850</v>
      </c>
      <c r="D84" s="8" t="s">
        <v>1204</v>
      </c>
      <c r="E84" s="1" t="s">
        <v>114</v>
      </c>
      <c r="F84" s="1" t="s">
        <v>1364</v>
      </c>
      <c r="G84" s="5">
        <f>_xlfn.XLOOKUP(A84,'BG Stock Log'!C:C,'BG Stock Log'!H:H,,0,-1)</f>
        <v>2653</v>
      </c>
      <c r="H84" s="5"/>
      <c r="I84" s="1"/>
      <c r="J84" s="1">
        <v>4000</v>
      </c>
      <c r="K84" s="1">
        <f>SUMIFS('BG Stock Log'!G:G,'BG Stock Log'!C:C,'BG Dashboard'!A127,'BG Stock Log'!F:F,"ADD")</f>
        <v>12000</v>
      </c>
      <c r="L84" s="1">
        <f>_xlfn.XLOOKUP(A84,'New BG List'!A:A,'New BG List'!K:K,,0)</f>
        <v>21</v>
      </c>
      <c r="M84" s="1">
        <f>_xlfn.XLOOKUP(A84,'New BG List'!A:A,'New BG List'!J:J,0)</f>
        <v>193</v>
      </c>
      <c r="N84" s="1"/>
      <c r="O84" s="1" t="str" cm="1">
        <f t="array" ref="O84">GetLastItem(AA84)</f>
        <v>LCSC</v>
      </c>
      <c r="P84" s="1" cm="1">
        <f t="array" ref="P84">IFERROR(INDEX(_xlfn._xlws.SORT(_xlfn._xlws.FILTER('BG Stock Log'!G:G, ('BG Stock Log'!C:C=A84) * ('BG Stock Log'!G:G&gt;0)), 1, -1), 1),"")</f>
        <v>4000</v>
      </c>
      <c r="Q84" s="1">
        <f>IFERROR(ROUND(AVERAGEIFS('BG Stock Log'!G:G,'BG Stock Log'!C:C,'BG Dashboard'!A127,'BG Stock Log'!F:F,"ADD"),0),"")</f>
        <v>3000</v>
      </c>
      <c r="R84" s="1" t="s">
        <v>511</v>
      </c>
      <c r="S84" s="1" t="s">
        <v>1043</v>
      </c>
      <c r="T84" s="37">
        <v>2.4E-2</v>
      </c>
      <c r="U84" s="37">
        <v>96</v>
      </c>
      <c r="V84" s="1" t="s">
        <v>1434</v>
      </c>
      <c r="W84" s="37">
        <v>1.6999999999999999E-3</v>
      </c>
      <c r="X84" s="37">
        <v>6.8</v>
      </c>
      <c r="Y84" s="36">
        <f>IFERROR(SUMIFS('BG Stock Log'!L:L,'BG Stock Log'!C:C,'BG Dashboard'!A127)/SUMIFS('BG Stock Log'!G:G,'BG Stock Log'!C:C,'BG Dashboard'!A127,'BG Stock Log'!F:F,"ADD"),"")</f>
        <v>3.3595000000000007E-2</v>
      </c>
      <c r="Z84" s="36">
        <f t="shared" si="0"/>
        <v>63.672000000000004</v>
      </c>
      <c r="AA84" s="1" t="str" cm="1">
        <f t="array" ref="AA84">GetFilteredValues(A84)</f>
        <v>LCSC</v>
      </c>
    </row>
    <row r="85" spans="1:27" x14ac:dyDescent="0.25">
      <c r="A85" s="1" t="s">
        <v>57</v>
      </c>
      <c r="B85" s="1" t="s">
        <v>314</v>
      </c>
      <c r="C85" s="1" t="s">
        <v>768</v>
      </c>
      <c r="D85" s="8" t="s">
        <v>169</v>
      </c>
      <c r="E85" s="1" t="s">
        <v>108</v>
      </c>
      <c r="F85" s="1" t="s">
        <v>1364</v>
      </c>
      <c r="G85" s="5">
        <f>_xlfn.XLOOKUP(A85,'BG Stock Log'!C:C,'BG Stock Log'!H:H,,0,-1)</f>
        <v>4316</v>
      </c>
      <c r="H85" s="5"/>
      <c r="I85" s="1"/>
      <c r="J85" s="1">
        <v>4000</v>
      </c>
      <c r="K85" s="1">
        <f>SUMIFS('BG Stock Log'!G:G,'BG Stock Log'!C:C,'BG Dashboard'!A60,'BG Stock Log'!F:F,"ADD")</f>
        <v>0</v>
      </c>
      <c r="L85" s="1">
        <f>_xlfn.XLOOKUP(A85,'New BG List'!A:A,'New BG List'!K:K,,0)</f>
        <v>32</v>
      </c>
      <c r="M85" s="1">
        <f>_xlfn.XLOOKUP(A85,'New BG List'!A:A,'New BG List'!J:J,0)</f>
        <v>1414</v>
      </c>
      <c r="N85" s="1"/>
      <c r="O85" s="1" t="str" cm="1">
        <f t="array" ref="O85">GetLastItem(AA85)</f>
        <v/>
      </c>
      <c r="P85" s="1" cm="1">
        <f t="array" ref="P85">IFERROR(INDEX(_xlfn._xlws.SORT(_xlfn._xlws.FILTER('BG Stock Log'!G:G, ('BG Stock Log'!C:C=A85) * ('BG Stock Log'!G:G&gt;0)), 1, -1), 1),"")</f>
        <v>1964</v>
      </c>
      <c r="Q85" s="1" t="str">
        <f>IFERROR(ROUND(AVERAGEIFS('BG Stock Log'!G:G,'BG Stock Log'!C:C,'BG Dashboard'!A60,'BG Stock Log'!F:F,"ADD"),0),"")</f>
        <v/>
      </c>
      <c r="R85" s="1" t="s">
        <v>511</v>
      </c>
      <c r="S85" s="1" t="s">
        <v>1055</v>
      </c>
      <c r="T85" s="37">
        <v>8.2000000000000007E-3</v>
      </c>
      <c r="U85" s="37">
        <v>32.800000000000004</v>
      </c>
      <c r="V85" s="1" t="s">
        <v>552</v>
      </c>
      <c r="W85" s="37">
        <v>3.0000000000000001E-3</v>
      </c>
      <c r="X85" s="37">
        <v>12</v>
      </c>
      <c r="Y85" s="36" t="str">
        <f>IFERROR(SUMIFS('BG Stock Log'!L:L,'BG Stock Log'!C:C,'BG Dashboard'!A60)/SUMIFS('BG Stock Log'!G:G,'BG Stock Log'!C:C,'BG Dashboard'!A60,'BG Stock Log'!F:F,"ADD"),"")</f>
        <v/>
      </c>
      <c r="Z85" s="36">
        <f t="shared" si="0"/>
        <v>35.391200000000005</v>
      </c>
      <c r="AA85" s="1" t="str" cm="1">
        <f t="array" ref="AA85">GetFilteredValues(A85)</f>
        <v/>
      </c>
    </row>
    <row r="86" spans="1:27" x14ac:dyDescent="0.25">
      <c r="A86" s="1" t="s">
        <v>230</v>
      </c>
      <c r="B86" s="1" t="s">
        <v>255</v>
      </c>
      <c r="C86" s="1" t="s">
        <v>725</v>
      </c>
      <c r="D86" s="8" t="s">
        <v>1124</v>
      </c>
      <c r="E86" s="1" t="s">
        <v>167</v>
      </c>
      <c r="F86" s="1" t="s">
        <v>1364</v>
      </c>
      <c r="G86" s="5">
        <f>_xlfn.XLOOKUP(A86,'BG Stock Log'!C:C,'BG Stock Log'!H:H,,0,-1)</f>
        <v>2141</v>
      </c>
      <c r="H86" s="5"/>
      <c r="I86" s="1"/>
      <c r="J86" s="1">
        <v>4000</v>
      </c>
      <c r="K86" s="1">
        <f>SUMIFS('BG Stock Log'!G:G,'BG Stock Log'!C:C,'BG Dashboard'!A109,'BG Stock Log'!F:F,"ADD")</f>
        <v>3000</v>
      </c>
      <c r="L86" s="1">
        <f>_xlfn.XLOOKUP(A86,'New BG List'!A:A,'New BG List'!K:K,,0)</f>
        <v>70</v>
      </c>
      <c r="M86" s="1">
        <f>_xlfn.XLOOKUP(A86,'New BG List'!A:A,'New BG List'!J:J,0)</f>
        <v>6348</v>
      </c>
      <c r="N86" s="1"/>
      <c r="O86" s="1" t="str" cm="1">
        <f t="array" ref="O86">GetLastItem(AA86)</f>
        <v/>
      </c>
      <c r="P86" s="1" cm="1">
        <f t="array" ref="P86">IFERROR(INDEX(_xlfn._xlws.SORT(_xlfn._xlws.FILTER('BG Stock Log'!G:G, ('BG Stock Log'!C:C=A86) * ('BG Stock Log'!G:G&gt;0)), 1, -1), 1),"")</f>
        <v>12000</v>
      </c>
      <c r="Q86" s="1">
        <f>IFERROR(ROUND(AVERAGEIFS('BG Stock Log'!G:G,'BG Stock Log'!C:C,'BG Dashboard'!A109,'BG Stock Log'!F:F,"ADD"),0),"")</f>
        <v>3000</v>
      </c>
      <c r="R86" s="1" t="s">
        <v>511</v>
      </c>
      <c r="S86" s="1" t="s">
        <v>1051</v>
      </c>
      <c r="T86" s="37">
        <v>4.7999999999999996E-3</v>
      </c>
      <c r="U86" s="37">
        <v>19.2</v>
      </c>
      <c r="V86" s="1" t="s">
        <v>517</v>
      </c>
      <c r="W86" s="37">
        <v>2.3E-3</v>
      </c>
      <c r="X86" s="37">
        <v>9.1999999999999993</v>
      </c>
      <c r="Y86" s="36">
        <f>IFERROR(SUMIFS('BG Stock Log'!L:L,'BG Stock Log'!C:C,'BG Dashboard'!A109)/SUMIFS('BG Stock Log'!G:G,'BG Stock Log'!C:C,'BG Dashboard'!A109,'BG Stock Log'!F:F,"ADD"),"")</f>
        <v>9.1559999999999989E-2</v>
      </c>
      <c r="Z86" s="36">
        <f t="shared" si="0"/>
        <v>10.2768</v>
      </c>
      <c r="AA86" s="1" t="str" cm="1">
        <f t="array" ref="AA86">GetFilteredValues(A86)</f>
        <v/>
      </c>
    </row>
    <row r="87" spans="1:27" x14ac:dyDescent="0.25">
      <c r="A87" s="1" t="s">
        <v>1</v>
      </c>
      <c r="B87" s="1" t="s">
        <v>250</v>
      </c>
      <c r="C87" s="1" t="s">
        <v>702</v>
      </c>
      <c r="D87" s="8" t="s">
        <v>107</v>
      </c>
      <c r="E87" s="1" t="s">
        <v>106</v>
      </c>
      <c r="F87" s="1" t="s">
        <v>1364</v>
      </c>
      <c r="G87" s="5">
        <f>_xlfn.XLOOKUP(A87,'BG Stock Log'!C:C,'BG Stock Log'!H:H,,0,-1)</f>
        <v>3350</v>
      </c>
      <c r="H87" s="5"/>
      <c r="I87" s="1"/>
      <c r="J87" s="1">
        <v>4000</v>
      </c>
      <c r="K87" s="1">
        <f>SUMIFS('BG Stock Log'!G:G,'BG Stock Log'!C:C,'BG Dashboard'!A4,'BG Stock Log'!F:F,"ADD")</f>
        <v>0</v>
      </c>
      <c r="L87" s="1">
        <f>_xlfn.XLOOKUP(A87,'New BG List'!A:A,'New BG List'!K:K,,0)</f>
        <v>129</v>
      </c>
      <c r="M87" s="1">
        <f>_xlfn.XLOOKUP(A87,'New BG List'!A:A,'New BG List'!J:J,0)</f>
        <v>78779</v>
      </c>
      <c r="N87" s="1"/>
      <c r="O87" s="1" t="str" cm="1">
        <f t="array" ref="O87">GetLastItem(AA87)</f>
        <v>LCSC</v>
      </c>
      <c r="P87" s="1" cm="1">
        <f t="array" ref="P87">IFERROR(INDEX(_xlfn._xlws.SORT(_xlfn._xlws.FILTER('BG Stock Log'!G:G, ('BG Stock Log'!C:C=A87) * ('BG Stock Log'!G:G&gt;0)), 1, -1), 1),"")</f>
        <v>45000</v>
      </c>
      <c r="Q87" s="1" t="str">
        <f>IFERROR(ROUND(AVERAGEIFS('BG Stock Log'!G:G,'BG Stock Log'!C:C,'BG Dashboard'!A4,'BG Stock Log'!F:F,"ADD"),0),"")</f>
        <v/>
      </c>
      <c r="R87" s="1" t="s">
        <v>1316</v>
      </c>
      <c r="S87" s="1" t="s">
        <v>1412</v>
      </c>
      <c r="T87" s="37">
        <v>8.9999999999999993E-3</v>
      </c>
      <c r="U87" s="37">
        <v>36</v>
      </c>
      <c r="V87" s="1" t="s">
        <v>512</v>
      </c>
      <c r="W87" s="37">
        <v>1.4E-3</v>
      </c>
      <c r="X87" s="37">
        <v>5.6</v>
      </c>
      <c r="Y87" s="36" t="str">
        <f>IFERROR(SUMIFS('BG Stock Log'!L:L,'BG Stock Log'!C:C,'BG Dashboard'!A4)/SUMIFS('BG Stock Log'!G:G,'BG Stock Log'!C:C,'BG Dashboard'!A4,'BG Stock Log'!F:F,"ADD"),"")</f>
        <v/>
      </c>
      <c r="Z87" s="36">
        <f t="shared" si="0"/>
        <v>30.15</v>
      </c>
      <c r="AA87" s="1" t="str" cm="1">
        <f t="array" ref="AA87">GetFilteredValues(A87)</f>
        <v>Future, LCSC, Future, LCSC, LCSC, LCSC, LCSC</v>
      </c>
    </row>
    <row r="88" spans="1:27" x14ac:dyDescent="0.25">
      <c r="A88" s="1" t="s">
        <v>73</v>
      </c>
      <c r="B88" s="1" t="s">
        <v>310</v>
      </c>
      <c r="C88" s="1" t="s">
        <v>864</v>
      </c>
      <c r="D88" s="8" t="s">
        <v>189</v>
      </c>
      <c r="E88" s="1" t="s">
        <v>106</v>
      </c>
      <c r="F88" s="1" t="s">
        <v>1364</v>
      </c>
      <c r="G88" s="5">
        <f>_xlfn.XLOOKUP(A88,'BG Stock Log'!C:C,'BG Stock Log'!H:H,,0,-1)</f>
        <v>5900</v>
      </c>
      <c r="H88" s="5"/>
      <c r="I88" s="1"/>
      <c r="J88" s="1">
        <v>4000</v>
      </c>
      <c r="K88" s="1">
        <f>SUMIFS('BG Stock Log'!G:G,'BG Stock Log'!C:C,'BG Dashboard'!A76,'BG Stock Log'!F:F,"ADD")</f>
        <v>2000</v>
      </c>
      <c r="L88" s="1">
        <f>_xlfn.XLOOKUP(A88,'New BG List'!A:A,'New BG List'!K:K,,0)</f>
        <v>2</v>
      </c>
      <c r="M88" s="1">
        <f>_xlfn.XLOOKUP(A88,'New BG List'!A:A,'New BG List'!J:J,0)</f>
        <v>120</v>
      </c>
      <c r="N88" s="1"/>
      <c r="O88" s="1" t="str" cm="1">
        <f t="array" ref="O88">GetLastItem(AA88)</f>
        <v/>
      </c>
      <c r="P88" s="1" cm="1">
        <f t="array" ref="P88">IFERROR(INDEX(_xlfn._xlws.SORT(_xlfn._xlws.FILTER('BG Stock Log'!G:G, ('BG Stock Log'!C:C=A88) * ('BG Stock Log'!G:G&gt;0)), 1, -1), 1),"")</f>
        <v>1900</v>
      </c>
      <c r="Q88" s="1">
        <f>IFERROR(ROUND(AVERAGEIFS('BG Stock Log'!G:G,'BG Stock Log'!C:C,'BG Dashboard'!A76,'BG Stock Log'!F:F,"ADD"),0),"")</f>
        <v>1000</v>
      </c>
      <c r="R88" s="1" t="s">
        <v>511</v>
      </c>
      <c r="S88" s="1" t="s">
        <v>1044</v>
      </c>
      <c r="T88" s="37">
        <v>5.1999999999999998E-2</v>
      </c>
      <c r="U88" s="37">
        <v>208</v>
      </c>
      <c r="V88" s="1" t="s">
        <v>547</v>
      </c>
      <c r="W88" s="37">
        <v>5.3E-3</v>
      </c>
      <c r="X88" s="37">
        <v>21.2</v>
      </c>
      <c r="Y88" s="36">
        <f>IFERROR(SUMIFS('BG Stock Log'!L:L,'BG Stock Log'!C:C,'BG Dashboard'!A76)/SUMIFS('BG Stock Log'!G:G,'BG Stock Log'!C:C,'BG Dashboard'!A76,'BG Stock Log'!F:F,"ADD"),"")</f>
        <v>8.3299999999999999E-2</v>
      </c>
      <c r="Z88" s="36">
        <f t="shared" si="0"/>
        <v>306.8</v>
      </c>
      <c r="AA88" s="1" t="str" cm="1">
        <f t="array" ref="AA88">GetFilteredValues(A88)</f>
        <v/>
      </c>
    </row>
    <row r="89" spans="1:27" x14ac:dyDescent="0.25">
      <c r="A89" s="1" t="s">
        <v>58</v>
      </c>
      <c r="B89" s="1" t="s">
        <v>315</v>
      </c>
      <c r="C89" s="1" t="s">
        <v>724</v>
      </c>
      <c r="D89" s="8" t="s">
        <v>171</v>
      </c>
      <c r="E89" s="1" t="s">
        <v>170</v>
      </c>
      <c r="F89" s="1" t="s">
        <v>1364</v>
      </c>
      <c r="G89" s="5">
        <f>_xlfn.XLOOKUP(A89,'BG Stock Log'!C:C,'BG Stock Log'!H:H,,0,-1)</f>
        <v>2929</v>
      </c>
      <c r="H89" s="5"/>
      <c r="I89" s="1"/>
      <c r="J89" s="1">
        <v>4000</v>
      </c>
      <c r="K89" s="1">
        <f>SUMIFS('BG Stock Log'!G:G,'BG Stock Log'!C:C,'BG Dashboard'!A61,'BG Stock Log'!F:F,"ADD")</f>
        <v>0</v>
      </c>
      <c r="L89" s="1">
        <f>_xlfn.XLOOKUP(A89,'New BG List'!A:A,'New BG List'!K:K,,0)</f>
        <v>21</v>
      </c>
      <c r="M89" s="1">
        <f>_xlfn.XLOOKUP(A89,'New BG List'!A:A,'New BG List'!J:J,0)</f>
        <v>6649</v>
      </c>
      <c r="N89" s="1"/>
      <c r="O89" s="1" t="str" cm="1">
        <f t="array" ref="O89">GetLastItem(AA89)</f>
        <v>LCSC</v>
      </c>
      <c r="P89" s="1" cm="1">
        <f t="array" ref="P89">IFERROR(INDEX(_xlfn._xlws.SORT(_xlfn._xlws.FILTER('BG Stock Log'!G:G, ('BG Stock Log'!C:C=A89) * ('BG Stock Log'!G:G&gt;0)), 1, -1), 1),"")</f>
        <v>12000</v>
      </c>
      <c r="Q89" s="1" t="str">
        <f>IFERROR(ROUND(AVERAGEIFS('BG Stock Log'!G:G,'BG Stock Log'!C:C,'BG Dashboard'!A61,'BG Stock Log'!F:F,"ADD"),0),"")</f>
        <v/>
      </c>
      <c r="R89" s="1" t="s">
        <v>511</v>
      </c>
      <c r="S89" s="1" t="s">
        <v>1050</v>
      </c>
      <c r="T89" s="37">
        <v>2.7E-2</v>
      </c>
      <c r="U89" s="37">
        <v>108</v>
      </c>
      <c r="V89" s="1" t="s">
        <v>553</v>
      </c>
      <c r="W89" s="37">
        <v>4.4999999999999997E-3</v>
      </c>
      <c r="X89" s="37">
        <v>18</v>
      </c>
      <c r="Y89" s="36" t="str">
        <f>IFERROR(SUMIFS('BG Stock Log'!L:L,'BG Stock Log'!C:C,'BG Dashboard'!A61)/SUMIFS('BG Stock Log'!G:G,'BG Stock Log'!C:C,'BG Dashboard'!A61,'BG Stock Log'!F:F,"ADD"),"")</f>
        <v/>
      </c>
      <c r="Z89" s="36">
        <f t="shared" si="0"/>
        <v>79.082999999999998</v>
      </c>
      <c r="AA89" s="1" t="str" cm="1">
        <f t="array" ref="AA89">GetFilteredValues(A89)</f>
        <v>LCSC</v>
      </c>
    </row>
    <row r="90" spans="1:27" x14ac:dyDescent="0.25">
      <c r="A90" s="1" t="s">
        <v>8</v>
      </c>
      <c r="B90" s="1" t="s">
        <v>311</v>
      </c>
      <c r="C90" s="1" t="s">
        <v>722</v>
      </c>
      <c r="D90" s="8" t="s">
        <v>116</v>
      </c>
      <c r="E90" s="1" t="s">
        <v>106</v>
      </c>
      <c r="F90" s="1" t="s">
        <v>1364</v>
      </c>
      <c r="G90" s="5">
        <f>_xlfn.XLOOKUP(A90,'BG Stock Log'!C:C,'BG Stock Log'!H:H,,0,-1)</f>
        <v>7666</v>
      </c>
      <c r="H90" s="5"/>
      <c r="I90" s="1"/>
      <c r="J90" s="1">
        <v>4000</v>
      </c>
      <c r="K90" s="1">
        <f>SUMIFS('BG Stock Log'!G:G,'BG Stock Log'!C:C,'BG Dashboard'!A11,'BG Stock Log'!F:F,"ADD")</f>
        <v>0</v>
      </c>
      <c r="L90" s="1">
        <f>_xlfn.XLOOKUP(A90,'New BG List'!A:A,'New BG List'!K:K,,0)</f>
        <v>50</v>
      </c>
      <c r="M90" s="1">
        <f>_xlfn.XLOOKUP(A90,'New BG List'!A:A,'New BG List'!J:J,0)</f>
        <v>6897</v>
      </c>
      <c r="N90" s="1"/>
      <c r="O90" s="1" t="str" cm="1">
        <f t="array" ref="O90">GetLastItem(AA90)</f>
        <v>LCSC</v>
      </c>
      <c r="P90" s="1" cm="1">
        <f t="array" ref="P90">IFERROR(INDEX(_xlfn._xlws.SORT(_xlfn._xlws.FILTER('BG Stock Log'!G:G, ('BG Stock Log'!C:C=A90) * ('BG Stock Log'!G:G&gt;0)), 1, -1), 1),"")</f>
        <v>8000</v>
      </c>
      <c r="Q90" s="1" t="str">
        <f>IFERROR(ROUND(AVERAGEIFS('BG Stock Log'!G:G,'BG Stock Log'!C:C,'BG Dashboard'!A11,'BG Stock Log'!F:F,"ADD"),0),"")</f>
        <v/>
      </c>
      <c r="R90" s="1" t="s">
        <v>511</v>
      </c>
      <c r="S90" s="1" t="s">
        <v>1049</v>
      </c>
      <c r="T90" s="37">
        <v>0.05</v>
      </c>
      <c r="U90" s="37">
        <v>200</v>
      </c>
      <c r="V90" s="1" t="s">
        <v>549</v>
      </c>
      <c r="W90" s="37">
        <v>3.3999999999999998E-3</v>
      </c>
      <c r="X90" s="37">
        <v>13.6</v>
      </c>
      <c r="Y90" s="36" t="str">
        <f>IFERROR(SUMIFS('BG Stock Log'!L:L,'BG Stock Log'!C:C,'BG Dashboard'!A11)/SUMIFS('BG Stock Log'!G:G,'BG Stock Log'!C:C,'BG Dashboard'!A11,'BG Stock Log'!F:F,"ADD"),"")</f>
        <v/>
      </c>
      <c r="Z90" s="36">
        <f t="shared" si="0"/>
        <v>383.3</v>
      </c>
      <c r="AA90" s="1" t="str" cm="1">
        <f t="array" ref="AA90">GetFilteredValues(A90)</f>
        <v>LCSC</v>
      </c>
    </row>
    <row r="91" spans="1:27" x14ac:dyDescent="0.25">
      <c r="A91" s="1" t="s">
        <v>3</v>
      </c>
      <c r="B91" s="1" t="s">
        <v>287</v>
      </c>
      <c r="C91" s="1" t="s">
        <v>709</v>
      </c>
      <c r="D91" s="8" t="s">
        <v>110</v>
      </c>
      <c r="E91" s="1" t="s">
        <v>108</v>
      </c>
      <c r="F91" s="1" t="s">
        <v>1364</v>
      </c>
      <c r="G91" s="5">
        <f>_xlfn.XLOOKUP(A91,'BG Stock Log'!C:C,'BG Stock Log'!H:H,,0,-1)</f>
        <v>10298</v>
      </c>
      <c r="H91" s="5"/>
      <c r="I91" s="1"/>
      <c r="J91" s="1">
        <v>15000</v>
      </c>
      <c r="K91" s="1">
        <f>SUMIFS('BG Stock Log'!G:G,'BG Stock Log'!C:C,'BG Dashboard'!A6,'BG Stock Log'!F:F,"ADD")</f>
        <v>0</v>
      </c>
      <c r="L91" s="1">
        <f>_xlfn.XLOOKUP(A91,'New BG List'!A:A,'New BG List'!K:K,,0)</f>
        <v>19</v>
      </c>
      <c r="M91" s="1">
        <f>_xlfn.XLOOKUP(A91,'New BG List'!A:A,'New BG List'!J:J,0)</f>
        <v>10825</v>
      </c>
      <c r="N91" s="1"/>
      <c r="O91" s="1" t="str" cm="1">
        <f t="array" ref="O91">GetLastItem(AA91)</f>
        <v>LCSC</v>
      </c>
      <c r="P91" s="1" cm="1">
        <f t="array" ref="P91">IFERROR(INDEX(_xlfn._xlws.SORT(_xlfn._xlws.FILTER('BG Stock Log'!G:G, ('BG Stock Log'!C:C=A91) * ('BG Stock Log'!G:G&gt;0)), 1, -1), 1),"")</f>
        <v>20000</v>
      </c>
      <c r="Q91" s="1" t="str">
        <f>IFERROR(ROUND(AVERAGEIFS('BG Stock Log'!G:G,'BG Stock Log'!C:C,'BG Dashboard'!A6,'BG Stock Log'!F:F,"ADD"),0),"")</f>
        <v/>
      </c>
      <c r="R91" s="1" t="s">
        <v>511</v>
      </c>
      <c r="S91" s="1" t="s">
        <v>1048</v>
      </c>
      <c r="T91" s="37">
        <v>9.1000000000000004E-3</v>
      </c>
      <c r="U91" s="37">
        <v>136.5</v>
      </c>
      <c r="V91" s="1" t="s">
        <v>534</v>
      </c>
      <c r="W91" s="37">
        <v>3.7999999999999999E-2</v>
      </c>
      <c r="X91" s="37">
        <v>570</v>
      </c>
      <c r="Y91" s="36" t="str">
        <f>IFERROR(SUMIFS('BG Stock Log'!L:L,'BG Stock Log'!C:C,'BG Dashboard'!A6)/SUMIFS('BG Stock Log'!G:G,'BG Stock Log'!C:C,'BG Dashboard'!A6,'BG Stock Log'!F:F,"ADD"),"")</f>
        <v/>
      </c>
      <c r="Z91" s="36">
        <f t="shared" si="0"/>
        <v>93.711800000000011</v>
      </c>
      <c r="AA91" s="1" t="str" cm="1">
        <f t="array" ref="AA91">GetFilteredValues(A91)</f>
        <v>LCSC, LCSC</v>
      </c>
    </row>
    <row r="92" spans="1:27" x14ac:dyDescent="0.25">
      <c r="A92" s="1" t="s">
        <v>283</v>
      </c>
      <c r="B92" s="1" t="s">
        <v>284</v>
      </c>
      <c r="C92" s="1" t="s">
        <v>816</v>
      </c>
      <c r="D92" s="8" t="s">
        <v>1207</v>
      </c>
      <c r="E92" s="1" t="s">
        <v>108</v>
      </c>
      <c r="F92" s="1" t="s">
        <v>1364</v>
      </c>
      <c r="G92" s="5">
        <f>_xlfn.XLOOKUP(A92,'BG Stock Log'!C:C,'BG Stock Log'!H:H,,0,-1)</f>
        <v>2110</v>
      </c>
      <c r="H92" s="5"/>
      <c r="I92" s="1"/>
      <c r="J92" s="1">
        <v>4000</v>
      </c>
      <c r="K92" s="1">
        <f>SUMIFS('BG Stock Log'!G:G,'BG Stock Log'!C:C,'BG Dashboard'!A116,'BG Stock Log'!F:F,"ADD")</f>
        <v>4000</v>
      </c>
      <c r="L92" s="1">
        <f>_xlfn.XLOOKUP(A92,'New BG List'!A:A,'New BG List'!K:K,,0)</f>
        <v>18</v>
      </c>
      <c r="M92" s="1">
        <f>_xlfn.XLOOKUP(A92,'New BG List'!A:A,'New BG List'!J:J,0)</f>
        <v>468</v>
      </c>
      <c r="N92" s="1"/>
      <c r="O92" s="1" t="str" cm="1">
        <f t="array" ref="O92">GetLastItem(AA92)</f>
        <v>LCSC</v>
      </c>
      <c r="P92" s="1" cm="1">
        <f t="array" ref="P92">IFERROR(INDEX(_xlfn._xlws.SORT(_xlfn._xlws.FILTER('BG Stock Log'!G:G, ('BG Stock Log'!C:C=A92) * ('BG Stock Log'!G:G&gt;0)), 1, -1), 1),"")</f>
        <v>4000</v>
      </c>
      <c r="Q92" s="1">
        <f>IFERROR(ROUND(AVERAGEIFS('BG Stock Log'!G:G,'BG Stock Log'!C:C,'BG Dashboard'!A116,'BG Stock Log'!F:F,"ADD"),0),"")</f>
        <v>4000</v>
      </c>
      <c r="R92" s="1" t="s">
        <v>511</v>
      </c>
      <c r="S92" s="1" t="s">
        <v>1062</v>
      </c>
      <c r="T92" s="37">
        <v>1.4999999999999999E-2</v>
      </c>
      <c r="U92" s="37">
        <v>60</v>
      </c>
      <c r="V92" s="1" t="s">
        <v>532</v>
      </c>
      <c r="W92" s="37">
        <v>4.7999999999999996E-3</v>
      </c>
      <c r="X92" s="37">
        <v>19.2</v>
      </c>
      <c r="Y92" s="36">
        <f>IFERROR(SUMIFS('BG Stock Log'!L:L,'BG Stock Log'!C:C,'BG Dashboard'!A116)/SUMIFS('BG Stock Log'!G:G,'BG Stock Log'!C:C,'BG Dashboard'!A116,'BG Stock Log'!F:F,"ADD"),"")</f>
        <v>6.6500000000000004E-2</v>
      </c>
      <c r="Z92" s="36">
        <f t="shared" si="0"/>
        <v>31.65</v>
      </c>
      <c r="AA92" s="1" t="str" cm="1">
        <f t="array" ref="AA92">GetFilteredValues(A92)</f>
        <v>LCSC</v>
      </c>
    </row>
    <row r="93" spans="1:27" x14ac:dyDescent="0.25">
      <c r="A93" s="1" t="s">
        <v>74</v>
      </c>
      <c r="B93" s="1" t="s">
        <v>1333</v>
      </c>
      <c r="C93" s="1" t="s">
        <v>880</v>
      </c>
      <c r="D93" s="8" t="s">
        <v>191</v>
      </c>
      <c r="E93" s="1" t="s">
        <v>190</v>
      </c>
      <c r="F93" s="1" t="s">
        <v>1364</v>
      </c>
      <c r="G93" s="5">
        <f>_xlfn.XLOOKUP(A93,'BG Stock Log'!C:C,'BG Stock Log'!H:H,,0,-1)</f>
        <v>6000</v>
      </c>
      <c r="H93" s="5"/>
      <c r="I93" s="1"/>
      <c r="J93" s="1">
        <v>4000</v>
      </c>
      <c r="K93" s="1">
        <f>SUMIFS('BG Stock Log'!G:G,'BG Stock Log'!C:C,'BG Dashboard'!A77,'BG Stock Log'!F:F,"ADD")</f>
        <v>2000</v>
      </c>
      <c r="L93" s="1">
        <f>_xlfn.XLOOKUP(A93,'New BG List'!A:A,'New BG List'!K:K,,0)</f>
        <v>2</v>
      </c>
      <c r="M93" s="1">
        <f>_xlfn.XLOOKUP(A93,'New BG List'!A:A,'New BG List'!J:J,0)</f>
        <v>0</v>
      </c>
      <c r="N93" s="1"/>
      <c r="O93" s="1" t="str" cm="1">
        <f t="array" ref="O93">GetLastItem(AA93)</f>
        <v/>
      </c>
      <c r="P93" s="1" cm="1">
        <f t="array" ref="P93">IFERROR(INDEX(_xlfn._xlws.SORT(_xlfn._xlws.FILTER('BG Stock Log'!G:G, ('BG Stock Log'!C:C=A93) * ('BG Stock Log'!G:G&gt;0)), 1, -1), 1),"")</f>
        <v>2000</v>
      </c>
      <c r="Q93" s="1">
        <f>IFERROR(ROUND(AVERAGEIFS('BG Stock Log'!G:G,'BG Stock Log'!C:C,'BG Dashboard'!A77,'BG Stock Log'!F:F,"ADD"),0),"")</f>
        <v>2000</v>
      </c>
      <c r="R93" s="1" t="s">
        <v>511</v>
      </c>
      <c r="S93" s="1" t="s">
        <v>1423</v>
      </c>
      <c r="T93" s="37">
        <v>3.3000000000000002E-2</v>
      </c>
      <c r="U93" s="37">
        <v>132</v>
      </c>
      <c r="V93" s="1" t="s">
        <v>548</v>
      </c>
      <c r="W93" s="37">
        <v>1.4200000000000001E-2</v>
      </c>
      <c r="X93" s="37">
        <v>56.800000000000004</v>
      </c>
      <c r="Y93" s="36">
        <f>IFERROR(SUMIFS('BG Stock Log'!L:L,'BG Stock Log'!C:C,'BG Dashboard'!A77)/SUMIFS('BG Stock Log'!G:G,'BG Stock Log'!C:C,'BG Dashboard'!A77,'BG Stock Log'!F:F,"ADD"),"")</f>
        <v>0.15959999999999999</v>
      </c>
      <c r="Z93" s="36">
        <f t="shared" si="0"/>
        <v>198</v>
      </c>
      <c r="AA93" s="1" t="str" cm="1">
        <f t="array" ref="AA93">GetFilteredValues(A93)</f>
        <v/>
      </c>
    </row>
    <row r="94" spans="1:27" x14ac:dyDescent="0.25">
      <c r="A94" s="1" t="s">
        <v>75</v>
      </c>
      <c r="B94" s="1" t="s">
        <v>251</v>
      </c>
      <c r="C94" s="1" t="s">
        <v>827</v>
      </c>
      <c r="D94" s="8" t="s">
        <v>192</v>
      </c>
      <c r="E94" s="1" t="s">
        <v>190</v>
      </c>
      <c r="F94" s="1" t="s">
        <v>1364</v>
      </c>
      <c r="G94" s="5">
        <f>_xlfn.XLOOKUP(A94,'BG Stock Log'!C:C,'BG Stock Log'!H:H,,0,-1)</f>
        <v>2238</v>
      </c>
      <c r="H94" s="5"/>
      <c r="I94" s="1"/>
      <c r="J94" s="1">
        <v>4000</v>
      </c>
      <c r="K94" s="1">
        <f>SUMIFS('BG Stock Log'!G:G,'BG Stock Log'!C:C,'BG Dashboard'!A78,'BG Stock Log'!F:F,"ADD")</f>
        <v>500</v>
      </c>
      <c r="L94" s="1">
        <f>_xlfn.XLOOKUP(A94,'New BG List'!A:A,'New BG List'!K:K,,0)</f>
        <v>19</v>
      </c>
      <c r="M94" s="1">
        <f>_xlfn.XLOOKUP(A94,'New BG List'!A:A,'New BG List'!J:J,0)</f>
        <v>402</v>
      </c>
      <c r="N94" s="1"/>
      <c r="O94" s="1" t="str" cm="1">
        <f t="array" ref="O94">GetLastItem(AA94)</f>
        <v/>
      </c>
      <c r="P94" s="1" t="str" cm="1">
        <f t="array" ref="P94">IFERROR(INDEX(_xlfn._xlws.SORT(_xlfn._xlws.FILTER('BG Stock Log'!G:G, ('BG Stock Log'!C:C=A94) * ('BG Stock Log'!G:G&gt;0)), 1, -1), 1),"")</f>
        <v/>
      </c>
      <c r="Q94" s="1">
        <f>IFERROR(ROUND(AVERAGEIFS('BG Stock Log'!G:G,'BG Stock Log'!C:C,'BG Dashboard'!A78,'BG Stock Log'!F:F,"ADD"),0),"")</f>
        <v>500</v>
      </c>
      <c r="R94" s="1" t="s">
        <v>511</v>
      </c>
      <c r="S94" s="1" t="s">
        <v>1073</v>
      </c>
      <c r="T94" s="37">
        <v>9.4E-2</v>
      </c>
      <c r="U94" s="37">
        <v>376</v>
      </c>
      <c r="V94" s="1" t="s">
        <v>513</v>
      </c>
      <c r="W94" s="37">
        <v>5.1999999999999998E-3</v>
      </c>
      <c r="X94" s="37">
        <v>20.8</v>
      </c>
      <c r="Y94" s="36">
        <f>IFERROR(SUMIFS('BG Stock Log'!L:L,'BG Stock Log'!C:C,'BG Dashboard'!A78)/SUMIFS('BG Stock Log'!G:G,'BG Stock Log'!C:C,'BG Dashboard'!A78,'BG Stock Log'!F:F,"ADD"),"")</f>
        <v>0.39059999999999995</v>
      </c>
      <c r="Z94" s="36">
        <f t="shared" si="0"/>
        <v>210.37200000000001</v>
      </c>
      <c r="AA94" s="1" t="str" cm="1">
        <f t="array" ref="AA94">GetFilteredValues(A94)</f>
        <v/>
      </c>
    </row>
    <row r="95" spans="1:27" x14ac:dyDescent="0.25">
      <c r="A95" s="10" t="s">
        <v>285</v>
      </c>
      <c r="B95" s="1" t="s">
        <v>286</v>
      </c>
      <c r="C95" s="1" t="s">
        <v>861</v>
      </c>
      <c r="D95" s="8" t="s">
        <v>1177</v>
      </c>
      <c r="E95" s="1" t="s">
        <v>106</v>
      </c>
      <c r="F95" s="1" t="s">
        <v>1364</v>
      </c>
      <c r="G95" s="5">
        <f>_xlfn.XLOOKUP(A95,'BG Stock Log'!C:C,'BG Stock Log'!H:H,,0,-1)</f>
        <v>2700</v>
      </c>
      <c r="H95" s="5"/>
      <c r="I95" s="1"/>
      <c r="J95" s="1">
        <v>4000</v>
      </c>
      <c r="K95" s="1">
        <f>SUMIFS('BG Stock Log'!G:G,'BG Stock Log'!C:C,'BG Dashboard'!A171,'BG Stock Log'!F:F,"ADD")</f>
        <v>0</v>
      </c>
      <c r="L95" s="1">
        <f>_xlfn.XLOOKUP(A95,'New BG List'!A:A,'New BG List'!K:K,,0)</f>
        <v>16</v>
      </c>
      <c r="M95" s="1">
        <f>_xlfn.XLOOKUP(A95,'New BG List'!A:A,'New BG List'!J:J,0)</f>
        <v>142</v>
      </c>
      <c r="N95" s="1"/>
      <c r="O95" s="1" t="str" cm="1">
        <f t="array" ref="O95">GetLastItem(AA95)</f>
        <v>LCSC</v>
      </c>
      <c r="P95" s="1" cm="1">
        <f t="array" ref="P95">IFERROR(INDEX(_xlfn._xlws.SORT(_xlfn._xlws.FILTER('BG Stock Log'!G:G, ('BG Stock Log'!C:C=A95) * ('BG Stock Log'!G:G&gt;0)), 1, -1), 1),"")</f>
        <v>4000</v>
      </c>
      <c r="Q95" s="1" t="str">
        <f>IFERROR(ROUND(AVERAGEIFS('BG Stock Log'!G:G,'BG Stock Log'!C:C,'BG Dashboard'!A171,'BG Stock Log'!F:F,"ADD"),0),"")</f>
        <v/>
      </c>
      <c r="R95" s="1" t="s">
        <v>511</v>
      </c>
      <c r="S95" s="1" t="s">
        <v>1065</v>
      </c>
      <c r="T95" s="37">
        <v>2.5999999999999999E-2</v>
      </c>
      <c r="U95" s="37">
        <v>104</v>
      </c>
      <c r="V95" s="1" t="s">
        <v>533</v>
      </c>
      <c r="W95" s="37">
        <v>4.7000000000000002E-3</v>
      </c>
      <c r="X95" s="37">
        <v>18.8</v>
      </c>
      <c r="Y95" s="36" t="str">
        <f>IFERROR(SUMIFS('BG Stock Log'!L:L,'BG Stock Log'!C:C,'BG Dashboard'!A171)/SUMIFS('BG Stock Log'!G:G,'BG Stock Log'!C:C,'BG Dashboard'!A171,'BG Stock Log'!F:F,"ADD"),"")</f>
        <v/>
      </c>
      <c r="Z95" s="36">
        <f t="shared" si="0"/>
        <v>70.2</v>
      </c>
      <c r="AA95" s="1" t="str" cm="1">
        <f t="array" ref="AA95">GetFilteredValues(A95)</f>
        <v>LCSC</v>
      </c>
    </row>
    <row r="96" spans="1:27" x14ac:dyDescent="0.25">
      <c r="A96" s="10" t="s">
        <v>256</v>
      </c>
      <c r="B96" s="1" t="s">
        <v>257</v>
      </c>
      <c r="C96" s="1" t="s">
        <v>781</v>
      </c>
      <c r="D96" s="8" t="s">
        <v>1165</v>
      </c>
      <c r="E96" s="1" t="s">
        <v>194</v>
      </c>
      <c r="F96" s="1" t="s">
        <v>1364</v>
      </c>
      <c r="G96" s="5">
        <f>_xlfn.XLOOKUP(A96,'BG Stock Log'!C:C,'BG Stock Log'!H:H,,0,-1)</f>
        <v>1548</v>
      </c>
      <c r="H96" s="5"/>
      <c r="I96" s="1"/>
      <c r="J96" s="1">
        <v>4000</v>
      </c>
      <c r="K96" s="1">
        <f>SUMIFS('BG Stock Log'!G:G,'BG Stock Log'!C:C,'BG Dashboard'!A176,'BG Stock Log'!F:F,"ADD")</f>
        <v>0</v>
      </c>
      <c r="L96" s="1">
        <f>_xlfn.XLOOKUP(A96,'New BG List'!A:A,'New BG List'!K:K,,0)</f>
        <v>28</v>
      </c>
      <c r="M96" s="1">
        <f>_xlfn.XLOOKUP(A96,'New BG List'!A:A,'New BG List'!J:J,0)</f>
        <v>1073</v>
      </c>
      <c r="N96" s="1"/>
      <c r="O96" s="1" t="str" cm="1">
        <f t="array" ref="O96">GetLastItem(AA96)</f>
        <v>LCSC</v>
      </c>
      <c r="P96" s="1" cm="1">
        <f t="array" ref="P96">IFERROR(INDEX(_xlfn._xlws.SORT(_xlfn._xlws.FILTER('BG Stock Log'!G:G, ('BG Stock Log'!C:C=A96) * ('BG Stock Log'!G:G&gt;0)), 1, -1), 1),"")</f>
        <v>4000</v>
      </c>
      <c r="Q96" s="1" t="str">
        <f>IFERROR(ROUND(AVERAGEIFS('BG Stock Log'!G:G,'BG Stock Log'!C:C,'BG Dashboard'!A176,'BG Stock Log'!F:F,"ADD"),0),"")</f>
        <v/>
      </c>
      <c r="R96" s="1" t="s">
        <v>511</v>
      </c>
      <c r="S96" s="1" t="s">
        <v>1058</v>
      </c>
      <c r="T96" s="37">
        <v>1.4999999999999999E-2</v>
      </c>
      <c r="U96" s="37">
        <v>60</v>
      </c>
      <c r="V96" s="1" t="s">
        <v>518</v>
      </c>
      <c r="W96" s="37">
        <v>4.3E-3</v>
      </c>
      <c r="X96" s="37">
        <v>17.2</v>
      </c>
      <c r="Y96" s="36" t="str">
        <f>IFERROR(SUMIFS('BG Stock Log'!L:L,'BG Stock Log'!C:C,'BG Dashboard'!A176)/SUMIFS('BG Stock Log'!G:G,'BG Stock Log'!C:C,'BG Dashboard'!A176,'BG Stock Log'!F:F,"ADD"),"")</f>
        <v/>
      </c>
      <c r="Z96" s="36">
        <f t="shared" si="0"/>
        <v>23.22</v>
      </c>
      <c r="AA96" s="1" t="str" cm="1">
        <f t="array" ref="AA96">GetFilteredValues(A96)</f>
        <v>LCSC</v>
      </c>
    </row>
    <row r="97" spans="1:27" x14ac:dyDescent="0.25">
      <c r="A97" s="10" t="s">
        <v>288</v>
      </c>
      <c r="B97" s="1" t="s">
        <v>289</v>
      </c>
      <c r="C97" s="1" t="s">
        <v>867</v>
      </c>
      <c r="D97" s="8" t="s">
        <v>1182</v>
      </c>
      <c r="E97" s="1" t="s">
        <v>106</v>
      </c>
      <c r="F97" s="1" t="s">
        <v>1364</v>
      </c>
      <c r="G97" s="5">
        <f>_xlfn.XLOOKUP(A97,'BG Stock Log'!C:C,'BG Stock Log'!H:H,,0,-1)</f>
        <v>3975</v>
      </c>
      <c r="H97" s="5"/>
      <c r="I97" s="1"/>
      <c r="J97" s="1">
        <v>4000</v>
      </c>
      <c r="K97" s="1">
        <f>SUMIFS('BG Stock Log'!G:G,'BG Stock Log'!C:C,'BG Dashboard'!A168,'BG Stock Log'!F:F,"ADD")</f>
        <v>0</v>
      </c>
      <c r="L97" s="1">
        <f>_xlfn.XLOOKUP(A97,'New BG List'!A:A,'New BG List'!K:K,,0)</f>
        <v>15</v>
      </c>
      <c r="M97" s="1">
        <f>_xlfn.XLOOKUP(A97,'New BG List'!A:A,'New BG List'!J:J,0)</f>
        <v>90</v>
      </c>
      <c r="N97" s="1"/>
      <c r="O97" s="1" t="str" cm="1">
        <f t="array" ref="O97">GetLastItem(AA97)</f>
        <v>Ling</v>
      </c>
      <c r="P97" s="1" cm="1">
        <f t="array" ref="P97">IFERROR(INDEX(_xlfn._xlws.SORT(_xlfn._xlws.FILTER('BG Stock Log'!G:G, ('BG Stock Log'!C:C=A97) * ('BG Stock Log'!G:G&gt;0)), 1, -1), 1),"")</f>
        <v>4000</v>
      </c>
      <c r="Q97" s="1" t="str">
        <f>IFERROR(ROUND(AVERAGEIFS('BG Stock Log'!G:G,'BG Stock Log'!C:C,'BG Dashboard'!A168,'BG Stock Log'!F:F,"ADD"),0),"")</f>
        <v/>
      </c>
      <c r="R97" s="1" t="s">
        <v>511</v>
      </c>
      <c r="S97" s="1" t="s">
        <v>1067</v>
      </c>
      <c r="T97" s="37">
        <v>4.5999999999999999E-2</v>
      </c>
      <c r="U97" s="37">
        <v>184</v>
      </c>
      <c r="V97" s="1" t="s">
        <v>535</v>
      </c>
      <c r="W97" s="37">
        <v>7.1000000000000004E-3</v>
      </c>
      <c r="X97" s="37">
        <v>28.400000000000002</v>
      </c>
      <c r="Y97" s="36" t="str">
        <f>IFERROR(SUMIFS('BG Stock Log'!L:L,'BG Stock Log'!C:C,'BG Dashboard'!A168)/SUMIFS('BG Stock Log'!G:G,'BG Stock Log'!C:C,'BG Dashboard'!A168,'BG Stock Log'!F:F,"ADD"),"")</f>
        <v/>
      </c>
      <c r="Z97" s="36">
        <f t="shared" si="0"/>
        <v>182.85</v>
      </c>
      <c r="AA97" s="1" t="str" cm="1">
        <f t="array" ref="AA97">GetFilteredValues(A97)</f>
        <v>Ling</v>
      </c>
    </row>
    <row r="98" spans="1:27" x14ac:dyDescent="0.25">
      <c r="A98" s="10" t="s">
        <v>290</v>
      </c>
      <c r="B98" s="1" t="s">
        <v>291</v>
      </c>
      <c r="C98" s="1" t="s">
        <v>862</v>
      </c>
      <c r="D98" s="8" t="s">
        <v>1180</v>
      </c>
      <c r="E98" s="1" t="s">
        <v>190</v>
      </c>
      <c r="F98" s="1" t="s">
        <v>1364</v>
      </c>
      <c r="G98" s="5">
        <f>_xlfn.XLOOKUP(A98,'BG Stock Log'!C:C,'BG Stock Log'!H:H,,0,-1)</f>
        <v>1760</v>
      </c>
      <c r="H98" s="5"/>
      <c r="I98" s="1"/>
      <c r="J98" s="1">
        <v>3000</v>
      </c>
      <c r="K98" s="1">
        <f>SUMIFS('BG Stock Log'!G:G,'BG Stock Log'!C:C,'BG Dashboard'!A161,'BG Stock Log'!F:F,"ADD")</f>
        <v>33308</v>
      </c>
      <c r="L98" s="1">
        <f>_xlfn.XLOOKUP(A98,'New BG List'!A:A,'New BG List'!K:K,,0)</f>
        <v>15</v>
      </c>
      <c r="M98" s="1">
        <f>_xlfn.XLOOKUP(A98,'New BG List'!A:A,'New BG List'!J:J,0)</f>
        <v>142</v>
      </c>
      <c r="N98" s="1"/>
      <c r="O98" s="1" t="str" cm="1">
        <f t="array" ref="O98">GetLastItem(AA98)</f>
        <v>LCSC</v>
      </c>
      <c r="P98" s="1" cm="1">
        <f t="array" ref="P98">IFERROR(INDEX(_xlfn._xlws.SORT(_xlfn._xlws.FILTER('BG Stock Log'!G:G, ('BG Stock Log'!C:C=A98) * ('BG Stock Log'!G:G&gt;0)), 1, -1), 1),"")</f>
        <v>4000</v>
      </c>
      <c r="Q98" s="1">
        <f>IFERROR(ROUND(AVERAGEIFS('BG Stock Log'!G:G,'BG Stock Log'!C:C,'BG Dashboard'!A161,'BG Stock Log'!F:F,"ADD"),0),"")</f>
        <v>5551</v>
      </c>
      <c r="R98" s="1" t="s">
        <v>511</v>
      </c>
      <c r="S98" s="1" t="s">
        <v>1066</v>
      </c>
      <c r="T98" s="37">
        <v>6.6000000000000003E-2</v>
      </c>
      <c r="U98" s="37">
        <v>198</v>
      </c>
      <c r="V98" s="1" t="s">
        <v>536</v>
      </c>
      <c r="W98" s="37">
        <v>1.66E-2</v>
      </c>
      <c r="X98" s="37">
        <v>49.8</v>
      </c>
      <c r="Y98" s="36">
        <f>IFERROR(SUMIFS('BG Stock Log'!L:L,'BG Stock Log'!C:C,'BG Dashboard'!A161)/SUMIFS('BG Stock Log'!G:G,'BG Stock Log'!C:C,'BG Dashboard'!A161,'BG Stock Log'!F:F,"ADD"),"")</f>
        <v>1.9731596012969858E-2</v>
      </c>
      <c r="Z98" s="36">
        <f t="shared" si="0"/>
        <v>116.16000000000001</v>
      </c>
      <c r="AA98" s="1" t="str" cm="1">
        <f t="array" ref="AA98">GetFilteredValues(A98)</f>
        <v>LCSC</v>
      </c>
    </row>
    <row r="99" spans="1:27" x14ac:dyDescent="0.25">
      <c r="A99" s="1" t="s">
        <v>76</v>
      </c>
      <c r="B99" s="1" t="s">
        <v>252</v>
      </c>
      <c r="C99" s="1" t="s">
        <v>814</v>
      </c>
      <c r="D99" s="8" t="s">
        <v>193</v>
      </c>
      <c r="E99" s="1" t="s">
        <v>114</v>
      </c>
      <c r="F99" s="1" t="s">
        <v>1364</v>
      </c>
      <c r="G99" s="5">
        <f>_xlfn.XLOOKUP(A99,'BG Stock Log'!C:C,'BG Stock Log'!H:H,,0,-1)</f>
        <v>2320</v>
      </c>
      <c r="H99" s="5"/>
      <c r="I99" s="1"/>
      <c r="J99" s="1">
        <v>4000</v>
      </c>
      <c r="K99" s="1">
        <f>SUMIFS('BG Stock Log'!G:G,'BG Stock Log'!C:C,'BG Dashboard'!A79,'BG Stock Log'!F:F,"ADD")</f>
        <v>8</v>
      </c>
      <c r="L99" s="1">
        <f>_xlfn.XLOOKUP(A99,'New BG List'!A:A,'New BG List'!K:K,,0)</f>
        <v>10</v>
      </c>
      <c r="M99" s="1">
        <f>_xlfn.XLOOKUP(A99,'New BG List'!A:A,'New BG List'!J:J,0)</f>
        <v>472</v>
      </c>
      <c r="N99" s="1"/>
      <c r="O99" s="1" t="str" cm="1">
        <f t="array" ref="O99">GetLastItem(AA99)</f>
        <v/>
      </c>
      <c r="P99" s="1" t="str" cm="1">
        <f t="array" ref="P99">IFERROR(INDEX(_xlfn._xlws.SORT(_xlfn._xlws.FILTER('BG Stock Log'!G:G, ('BG Stock Log'!C:C=A99) * ('BG Stock Log'!G:G&gt;0)), 1, -1), 1),"")</f>
        <v/>
      </c>
      <c r="Q99" s="1">
        <f>IFERROR(ROUND(AVERAGEIFS('BG Stock Log'!G:G,'BG Stock Log'!C:C,'BG Dashboard'!A79,'BG Stock Log'!F:F,"ADD"),0),"")</f>
        <v>8</v>
      </c>
      <c r="R99" s="1" t="s">
        <v>511</v>
      </c>
      <c r="S99" s="1" t="s">
        <v>1071</v>
      </c>
      <c r="T99" s="37">
        <v>3.5999999999999997E-2</v>
      </c>
      <c r="U99" s="37">
        <v>144</v>
      </c>
      <c r="V99" s="1" t="s">
        <v>514</v>
      </c>
      <c r="W99" s="37">
        <v>1.18E-2</v>
      </c>
      <c r="X99" s="37">
        <v>47.199999999999996</v>
      </c>
      <c r="Y99" s="36">
        <f>IFERROR(SUMIFS('BG Stock Log'!L:L,'BG Stock Log'!C:C,'BG Dashboard'!A79)/SUMIFS('BG Stock Log'!G:G,'BG Stock Log'!C:C,'BG Dashboard'!A79,'BG Stock Log'!F:F,"ADD"),"")</f>
        <v>0</v>
      </c>
      <c r="Z99" s="36">
        <f t="shared" si="0"/>
        <v>83.52</v>
      </c>
      <c r="AA99" s="1" t="str" cm="1">
        <f t="array" ref="AA99">GetFilteredValues(A99)</f>
        <v/>
      </c>
    </row>
    <row r="100" spans="1:27" x14ac:dyDescent="0.25">
      <c r="A100" s="1" t="s">
        <v>258</v>
      </c>
      <c r="B100" s="1" t="s">
        <v>259</v>
      </c>
      <c r="C100" s="1" t="s">
        <v>748</v>
      </c>
      <c r="D100" s="8" t="s">
        <v>1205</v>
      </c>
      <c r="E100" s="1" t="s">
        <v>106</v>
      </c>
      <c r="F100" s="1" t="s">
        <v>1364</v>
      </c>
      <c r="G100" s="5">
        <f>_xlfn.XLOOKUP(A100,'BG Stock Log'!C:C,'BG Stock Log'!H:H,,0,-1)</f>
        <v>3008</v>
      </c>
      <c r="H100" s="5"/>
      <c r="I100" s="1"/>
      <c r="J100" s="1">
        <v>4000</v>
      </c>
      <c r="K100" s="1">
        <f>SUMIFS('BG Stock Log'!G:G,'BG Stock Log'!C:C,'BG Dashboard'!A122,'BG Stock Log'!F:F,"ADD")</f>
        <v>2500</v>
      </c>
      <c r="L100" s="1">
        <f>_xlfn.XLOOKUP(A100,'New BG List'!A:A,'New BG List'!K:K,,0)</f>
        <v>25</v>
      </c>
      <c r="M100" s="1">
        <f>_xlfn.XLOOKUP(A100,'New BG List'!A:A,'New BG List'!J:J,0)</f>
        <v>2092</v>
      </c>
      <c r="N100" s="1"/>
      <c r="O100" s="1" t="str" cm="1">
        <f t="array" ref="O100">GetLastItem(AA100)</f>
        <v>LCSC</v>
      </c>
      <c r="P100" s="1" cm="1">
        <f t="array" ref="P100">IFERROR(INDEX(_xlfn._xlws.SORT(_xlfn._xlws.FILTER('BG Stock Log'!G:G, ('BG Stock Log'!C:C=A100) * ('BG Stock Log'!G:G&gt;0)), 1, -1), 1),"")</f>
        <v>4000</v>
      </c>
      <c r="Q100" s="1">
        <f>IFERROR(ROUND(AVERAGEIFS('BG Stock Log'!G:G,'BG Stock Log'!C:C,'BG Dashboard'!A122,'BG Stock Log'!F:F,"ADD"),0),"")</f>
        <v>2500</v>
      </c>
      <c r="R100" s="1" t="s">
        <v>511</v>
      </c>
      <c r="S100" s="1" t="s">
        <v>1056</v>
      </c>
      <c r="T100" s="37">
        <v>2.5000000000000001E-2</v>
      </c>
      <c r="U100" s="37">
        <v>100</v>
      </c>
      <c r="V100" s="1" t="s">
        <v>519</v>
      </c>
      <c r="W100" s="37">
        <v>4.8999999999999998E-3</v>
      </c>
      <c r="X100" s="37">
        <v>19.599999999999998</v>
      </c>
      <c r="Y100" s="36">
        <f>IFERROR(SUMIFS('BG Stock Log'!L:L,'BG Stock Log'!C:C,'BG Dashboard'!A122)/SUMIFS('BG Stock Log'!G:G,'BG Stock Log'!C:C,'BG Dashboard'!A122,'BG Stock Log'!F:F,"ADD"),"")</f>
        <v>0</v>
      </c>
      <c r="Z100" s="36">
        <f t="shared" si="0"/>
        <v>75.2</v>
      </c>
      <c r="AA100" s="1" t="str" cm="1">
        <f t="array" ref="AA100">GetFilteredValues(A100)</f>
        <v>LCSC</v>
      </c>
    </row>
    <row r="101" spans="1:27" x14ac:dyDescent="0.25">
      <c r="A101" s="1" t="s">
        <v>277</v>
      </c>
      <c r="B101" s="1" t="s">
        <v>278</v>
      </c>
      <c r="C101" s="1" t="s">
        <v>778</v>
      </c>
      <c r="D101" s="8" t="s">
        <v>1206</v>
      </c>
      <c r="E101" s="1" t="s">
        <v>194</v>
      </c>
      <c r="F101" s="1" t="s">
        <v>1364</v>
      </c>
      <c r="G101" s="5">
        <f>_xlfn.XLOOKUP(A101,'BG Stock Log'!C:C,'BG Stock Log'!H:H,,0,-1)</f>
        <v>2058</v>
      </c>
      <c r="H101" s="5"/>
      <c r="I101" s="1"/>
      <c r="J101" s="1">
        <v>4000</v>
      </c>
      <c r="K101" s="1">
        <f>SUMIFS('BG Stock Log'!G:G,'BG Stock Log'!C:C,'BG Dashboard'!A124,'BG Stock Log'!F:F,"ADD")</f>
        <v>2387</v>
      </c>
      <c r="L101" s="1">
        <f>_xlfn.XLOOKUP(A101,'New BG List'!A:A,'New BG List'!K:K,,0)</f>
        <v>20</v>
      </c>
      <c r="M101" s="1">
        <f>_xlfn.XLOOKUP(A101,'New BG List'!A:A,'New BG List'!J:J,0)</f>
        <v>1204</v>
      </c>
      <c r="N101" s="1"/>
      <c r="O101" s="1" t="str" cm="1">
        <f t="array" ref="O101">GetLastItem(AA101)</f>
        <v>LCSC</v>
      </c>
      <c r="P101" s="1" cm="1">
        <f t="array" ref="P101">IFERROR(INDEX(_xlfn._xlws.SORT(_xlfn._xlws.FILTER('BG Stock Log'!G:G, ('BG Stock Log'!C:C=A101) * ('BG Stock Log'!G:G&gt;0)), 1, -1), 1),"")</f>
        <v>4000</v>
      </c>
      <c r="Q101" s="1">
        <f>IFERROR(ROUND(AVERAGEIFS('BG Stock Log'!G:G,'BG Stock Log'!C:C,'BG Dashboard'!A124,'BG Stock Log'!F:F,"ADD"),0),"")</f>
        <v>2387</v>
      </c>
      <c r="R101" s="1" t="s">
        <v>511</v>
      </c>
      <c r="S101" s="1" t="s">
        <v>1057</v>
      </c>
      <c r="T101" s="37">
        <v>5.1999999999999998E-2</v>
      </c>
      <c r="U101" s="37">
        <v>208</v>
      </c>
      <c r="V101" s="1" t="s">
        <v>1432</v>
      </c>
      <c r="W101" s="37">
        <v>2.7099999999999999E-2</v>
      </c>
      <c r="X101" s="37">
        <v>108.39999999999999</v>
      </c>
      <c r="Y101" s="36">
        <f>IFERROR(SUMIFS('BG Stock Log'!L:L,'BG Stock Log'!C:C,'BG Dashboard'!A124)/SUMIFS('BG Stock Log'!G:G,'BG Stock Log'!C:C,'BG Dashboard'!A124,'BG Stock Log'!F:F,"ADD"),"")</f>
        <v>0</v>
      </c>
      <c r="Z101" s="36">
        <f t="shared" si="0"/>
        <v>107.01599999999999</v>
      </c>
      <c r="AA101" s="1" t="str" cm="1">
        <f t="array" ref="AA101">GetFilteredValues(A101)</f>
        <v>LCSC</v>
      </c>
    </row>
    <row r="102" spans="1:27" x14ac:dyDescent="0.25">
      <c r="A102" s="10" t="s">
        <v>264</v>
      </c>
      <c r="B102" s="1" t="s">
        <v>265</v>
      </c>
      <c r="C102" s="1" t="s">
        <v>810</v>
      </c>
      <c r="D102" s="8" t="s">
        <v>1171</v>
      </c>
      <c r="E102" s="1" t="s">
        <v>194</v>
      </c>
      <c r="F102" s="1" t="s">
        <v>1364</v>
      </c>
      <c r="G102" s="5">
        <f>_xlfn.XLOOKUP(A102,'BG Stock Log'!C:C,'BG Stock Log'!H:H,,0,-1)</f>
        <v>2275</v>
      </c>
      <c r="H102" s="5"/>
      <c r="I102" s="1"/>
      <c r="J102" s="1">
        <v>4000</v>
      </c>
      <c r="K102" s="1">
        <f>SUMIFS('BG Stock Log'!G:G,'BG Stock Log'!C:C,'BG Dashboard'!A177,'BG Stock Log'!F:F,"ADD")</f>
        <v>0</v>
      </c>
      <c r="L102" s="1">
        <f>_xlfn.XLOOKUP(A102,'New BG List'!A:A,'New BG List'!K:K,,0)</f>
        <v>23</v>
      </c>
      <c r="M102" s="1">
        <f>_xlfn.XLOOKUP(A102,'New BG List'!A:A,'New BG List'!J:J,0)</f>
        <v>502</v>
      </c>
      <c r="N102" s="1"/>
      <c r="O102" s="1" t="str" cm="1">
        <f t="array" ref="O102">GetLastItem(AA102)</f>
        <v>LCSC</v>
      </c>
      <c r="P102" s="1" cm="1">
        <f t="array" ref="P102">IFERROR(INDEX(_xlfn._xlws.SORT(_xlfn._xlws.FILTER('BG Stock Log'!G:G, ('BG Stock Log'!C:C=A102) * ('BG Stock Log'!G:G&gt;0)), 1, -1), 1),"")</f>
        <v>4000</v>
      </c>
      <c r="Q102" s="1" t="str">
        <f>IFERROR(ROUND(AVERAGEIFS('BG Stock Log'!G:G,'BG Stock Log'!C:C,'BG Dashboard'!A177,'BG Stock Log'!F:F,"ADD"),0),"")</f>
        <v/>
      </c>
      <c r="R102" s="1" t="s">
        <v>511</v>
      </c>
      <c r="S102" s="1" t="s">
        <v>1061</v>
      </c>
      <c r="T102" s="37">
        <v>1.4710000000000001E-2</v>
      </c>
      <c r="U102" s="37">
        <v>58.84</v>
      </c>
      <c r="V102" s="1" t="s">
        <v>522</v>
      </c>
      <c r="W102" s="37">
        <v>2.8999999999999998E-3</v>
      </c>
      <c r="X102" s="37">
        <v>11.6</v>
      </c>
      <c r="Y102" s="36" t="str">
        <f>IFERROR(SUMIFS('BG Stock Log'!L:L,'BG Stock Log'!C:C,'BG Dashboard'!A177)/SUMIFS('BG Stock Log'!G:G,'BG Stock Log'!C:C,'BG Dashboard'!A177,'BG Stock Log'!F:F,"ADD"),"")</f>
        <v/>
      </c>
      <c r="Z102" s="36">
        <f t="shared" si="0"/>
        <v>33.465250000000005</v>
      </c>
      <c r="AA102" s="1" t="str" cm="1">
        <f t="array" ref="AA102">GetFilteredValues(A102)</f>
        <v>LCSC</v>
      </c>
    </row>
    <row r="103" spans="1:27" x14ac:dyDescent="0.25">
      <c r="A103" s="10" t="s">
        <v>271</v>
      </c>
      <c r="B103" s="1" t="s">
        <v>272</v>
      </c>
      <c r="C103" s="1" t="s">
        <v>841</v>
      </c>
      <c r="D103" s="8" t="s">
        <v>1174</v>
      </c>
      <c r="E103" s="1" t="s">
        <v>106</v>
      </c>
      <c r="F103" s="1" t="s">
        <v>1364</v>
      </c>
      <c r="G103" s="5">
        <f>_xlfn.XLOOKUP(A103,'BG Stock Log'!C:C,'BG Stock Log'!H:H,,0,-1)</f>
        <v>2346</v>
      </c>
      <c r="H103" s="5"/>
      <c r="I103" s="1"/>
      <c r="J103" s="1">
        <v>3000</v>
      </c>
      <c r="K103" s="1">
        <f>SUMIFS('BG Stock Log'!G:G,'BG Stock Log'!C:C,'BG Dashboard'!A174,'BG Stock Log'!F:F,"ADD")</f>
        <v>0</v>
      </c>
      <c r="L103" s="1">
        <f>_xlfn.XLOOKUP(A103,'New BG List'!A:A,'New BG List'!K:K,,0)</f>
        <v>21</v>
      </c>
      <c r="M103" s="1">
        <f>_xlfn.XLOOKUP(A103,'New BG List'!A:A,'New BG List'!J:J,0)</f>
        <v>273</v>
      </c>
      <c r="N103" s="1"/>
      <c r="O103" s="1" t="str" cm="1">
        <f t="array" ref="O103">GetLastItem(AA103)</f>
        <v>Ling</v>
      </c>
      <c r="P103" s="1" cm="1">
        <f t="array" ref="P103">IFERROR(INDEX(_xlfn._xlws.SORT(_xlfn._xlws.FILTER('BG Stock Log'!G:G, ('BG Stock Log'!C:C=A103) * ('BG Stock Log'!G:G&gt;0)), 1, -1), 1),"")</f>
        <v>3000</v>
      </c>
      <c r="Q103" s="1" t="str">
        <f>IFERROR(ROUND(AVERAGEIFS('BG Stock Log'!G:G,'BG Stock Log'!C:C,'BG Dashboard'!A174,'BG Stock Log'!F:F,"ADD"),0),"")</f>
        <v/>
      </c>
      <c r="R103" s="1" t="s">
        <v>511</v>
      </c>
      <c r="S103" s="1" t="s">
        <v>1064</v>
      </c>
      <c r="T103" s="37">
        <v>3.7999999999999999E-2</v>
      </c>
      <c r="U103" s="37">
        <v>114</v>
      </c>
      <c r="V103" s="1" t="s">
        <v>526</v>
      </c>
      <c r="W103" s="37">
        <v>6.4999999999999997E-3</v>
      </c>
      <c r="X103" s="37">
        <v>19.5</v>
      </c>
      <c r="Y103" s="36" t="str">
        <f>IFERROR(SUMIFS('BG Stock Log'!L:L,'BG Stock Log'!C:C,'BG Dashboard'!A174)/SUMIFS('BG Stock Log'!G:G,'BG Stock Log'!C:C,'BG Dashboard'!A174,'BG Stock Log'!F:F,"ADD"),"")</f>
        <v/>
      </c>
      <c r="Z103" s="36">
        <f t="shared" si="0"/>
        <v>89.147999999999996</v>
      </c>
      <c r="AA103" s="1" t="str" cm="1">
        <f t="array" ref="AA103">GetFilteredValues(A103)</f>
        <v>Ling</v>
      </c>
    </row>
    <row r="104" spans="1:27" x14ac:dyDescent="0.25">
      <c r="A104" s="1" t="s">
        <v>77</v>
      </c>
      <c r="B104" s="1" t="s">
        <v>253</v>
      </c>
      <c r="C104" s="1" t="s">
        <v>730</v>
      </c>
      <c r="D104" s="8" t="s">
        <v>1214</v>
      </c>
      <c r="E104" s="1" t="s">
        <v>194</v>
      </c>
      <c r="F104" s="1" t="s">
        <v>1364</v>
      </c>
      <c r="G104" s="5">
        <f>_xlfn.XLOOKUP(A104,'BG Stock Log'!C:C,'BG Stock Log'!H:H,,0,-1)</f>
        <v>4883</v>
      </c>
      <c r="H104" s="5"/>
      <c r="I104" s="1"/>
      <c r="J104" s="1">
        <v>4000</v>
      </c>
      <c r="K104" s="1">
        <f>SUMIFS('BG Stock Log'!G:G,'BG Stock Log'!C:C,'BG Dashboard'!A80,'BG Stock Log'!F:F,"ADD")</f>
        <v>4000</v>
      </c>
      <c r="L104" s="1">
        <f>_xlfn.XLOOKUP(A104,'New BG List'!A:A,'New BG List'!K:K,,0)</f>
        <v>36</v>
      </c>
      <c r="M104" s="1">
        <f>_xlfn.XLOOKUP(A104,'New BG List'!A:A,'New BG List'!J:J,0)</f>
        <v>3817</v>
      </c>
      <c r="N104" s="1"/>
      <c r="O104" s="1" t="str" cm="1">
        <f t="array" ref="O104">GetLastItem(AA104)</f>
        <v/>
      </c>
      <c r="P104" s="1" cm="1">
        <f t="array" ref="P104">IFERROR(INDEX(_xlfn._xlws.SORT(_xlfn._xlws.FILTER('BG Stock Log'!G:G, ('BG Stock Log'!C:C=A104) * ('BG Stock Log'!G:G&gt;0)), 1, -1), 1),"")</f>
        <v>4054</v>
      </c>
      <c r="Q104" s="1">
        <f>IFERROR(ROUND(AVERAGEIFS('BG Stock Log'!G:G,'BG Stock Log'!C:C,'BG Dashboard'!A80,'BG Stock Log'!F:F,"ADD"),0),"")</f>
        <v>4000</v>
      </c>
      <c r="R104" s="1" t="s">
        <v>511</v>
      </c>
      <c r="S104" s="1" t="s">
        <v>1070</v>
      </c>
      <c r="T104" s="37">
        <v>3.1E-2</v>
      </c>
      <c r="U104" s="37">
        <v>124</v>
      </c>
      <c r="V104" s="1" t="s">
        <v>515</v>
      </c>
      <c r="W104" s="37">
        <v>2.3999999999999998E-3</v>
      </c>
      <c r="X104" s="37">
        <v>9.6</v>
      </c>
      <c r="Y104" s="36">
        <f>IFERROR(SUMIFS('BG Stock Log'!L:L,'BG Stock Log'!C:C,'BG Dashboard'!A80)/SUMIFS('BG Stock Log'!G:G,'BG Stock Log'!C:C,'BG Dashboard'!A80,'BG Stock Log'!F:F,"ADD"),"")</f>
        <v>3.0800000000000003E-3</v>
      </c>
      <c r="Z104" s="36">
        <f t="shared" si="0"/>
        <v>151.37299999999999</v>
      </c>
      <c r="AA104" s="1" t="str" cm="1">
        <f t="array" ref="AA104">GetFilteredValues(A104)</f>
        <v/>
      </c>
    </row>
    <row r="105" spans="1:27" x14ac:dyDescent="0.25">
      <c r="A105" s="1" t="s">
        <v>78</v>
      </c>
      <c r="B105" s="1" t="s">
        <v>254</v>
      </c>
      <c r="C105" s="1" t="s">
        <v>822</v>
      </c>
      <c r="D105" s="8" t="s">
        <v>195</v>
      </c>
      <c r="E105" s="1" t="s">
        <v>194</v>
      </c>
      <c r="F105" s="1" t="s">
        <v>1364</v>
      </c>
      <c r="G105" s="5">
        <f>_xlfn.XLOOKUP(A105,'BG Stock Log'!C:C,'BG Stock Log'!H:H,,0,-1)</f>
        <v>3515</v>
      </c>
      <c r="H105" s="5"/>
      <c r="I105" s="1"/>
      <c r="J105" s="1">
        <v>2500</v>
      </c>
      <c r="K105" s="1">
        <f>SUMIFS('BG Stock Log'!G:G,'BG Stock Log'!C:C,'BG Dashboard'!A81,'BG Stock Log'!F:F,"ADD")</f>
        <v>0</v>
      </c>
      <c r="L105" s="1">
        <f>_xlfn.XLOOKUP(A105,'New BG List'!A:A,'New BG List'!K:K,,0)</f>
        <v>17</v>
      </c>
      <c r="M105" s="1">
        <f>_xlfn.XLOOKUP(A105,'New BG List'!A:A,'New BG List'!J:J,0)</f>
        <v>428</v>
      </c>
      <c r="N105" s="1"/>
      <c r="O105" s="1" t="str" cm="1">
        <f t="array" ref="O105">GetLastItem(AA105)</f>
        <v/>
      </c>
      <c r="P105" s="1" t="str" cm="1">
        <f t="array" ref="P105">IFERROR(INDEX(_xlfn._xlws.SORT(_xlfn._xlws.FILTER('BG Stock Log'!G:G, ('BG Stock Log'!C:C=A105) * ('BG Stock Log'!G:G&gt;0)), 1, -1), 1),"")</f>
        <v/>
      </c>
      <c r="Q105" s="1" t="str">
        <f>IFERROR(ROUND(AVERAGEIFS('BG Stock Log'!G:G,'BG Stock Log'!C:C,'BG Dashboard'!A81,'BG Stock Log'!F:F,"ADD"),0),"")</f>
        <v/>
      </c>
      <c r="R105" s="1" t="s">
        <v>511</v>
      </c>
      <c r="S105" s="1" t="s">
        <v>1072</v>
      </c>
      <c r="T105" s="37">
        <v>3.1E-2</v>
      </c>
      <c r="U105" s="37">
        <v>77.5</v>
      </c>
      <c r="V105" s="1" t="s">
        <v>516</v>
      </c>
      <c r="W105" s="37">
        <v>5.5999999999999999E-3</v>
      </c>
      <c r="X105" s="37">
        <v>14</v>
      </c>
      <c r="Y105" s="36" t="str">
        <f>IFERROR(SUMIFS('BG Stock Log'!L:L,'BG Stock Log'!C:C,'BG Dashboard'!A81)/SUMIFS('BG Stock Log'!G:G,'BG Stock Log'!C:C,'BG Dashboard'!A81,'BG Stock Log'!F:F,"ADD"),"")</f>
        <v/>
      </c>
      <c r="Z105" s="36">
        <f t="shared" ref="Z105:Z136" si="1">IFERROR(T105*G105,"")</f>
        <v>108.965</v>
      </c>
      <c r="AA105" s="1" t="str" cm="1">
        <f t="array" ref="AA105">GetFilteredValues(A105)</f>
        <v/>
      </c>
    </row>
    <row r="106" spans="1:27" x14ac:dyDescent="0.25">
      <c r="A106" s="10" t="s">
        <v>279</v>
      </c>
      <c r="B106" s="1" t="s">
        <v>280</v>
      </c>
      <c r="C106" s="1" t="s">
        <v>834</v>
      </c>
      <c r="D106" s="8" t="s">
        <v>1173</v>
      </c>
      <c r="E106" s="1" t="s">
        <v>106</v>
      </c>
      <c r="F106" s="1" t="s">
        <v>1364</v>
      </c>
      <c r="G106" s="5">
        <f>_xlfn.XLOOKUP(A106,'BG Stock Log'!C:C,'BG Stock Log'!H:H,,0,-1)</f>
        <v>5860</v>
      </c>
      <c r="H106" s="5"/>
      <c r="I106" s="1"/>
      <c r="J106" s="1">
        <v>3000</v>
      </c>
      <c r="K106" s="1">
        <f>SUMIFS('BG Stock Log'!G:G,'BG Stock Log'!C:C,'BG Dashboard'!A155,'BG Stock Log'!F:F,"ADD")</f>
        <v>4000</v>
      </c>
      <c r="L106" s="1">
        <f>_xlfn.XLOOKUP(A106,'New BG List'!A:A,'New BG List'!K:K,,0)</f>
        <v>20</v>
      </c>
      <c r="M106" s="1">
        <f>_xlfn.XLOOKUP(A106,'New BG List'!A:A,'New BG List'!J:J,0)</f>
        <v>320</v>
      </c>
      <c r="N106" s="1"/>
      <c r="O106" s="1" t="str" cm="1">
        <f t="array" ref="O106">GetLastItem(AA106)</f>
        <v>LCSC</v>
      </c>
      <c r="P106" s="1" cm="1">
        <f t="array" ref="P106">IFERROR(INDEX(_xlfn._xlws.SORT(_xlfn._xlws.FILTER('BG Stock Log'!G:G, ('BG Stock Log'!C:C=A106) * ('BG Stock Log'!G:G&gt;0)), 1, -1), 1),"")</f>
        <v>6000</v>
      </c>
      <c r="Q106" s="1">
        <f>IFERROR(ROUND(AVERAGEIFS('BG Stock Log'!G:G,'BG Stock Log'!C:C,'BG Dashboard'!A155,'BG Stock Log'!F:F,"ADD"),0),"")</f>
        <v>4000</v>
      </c>
      <c r="R106" s="1" t="s">
        <v>511</v>
      </c>
      <c r="S106" s="1" t="s">
        <v>1063</v>
      </c>
      <c r="T106" s="37">
        <v>5.3999999999999999E-2</v>
      </c>
      <c r="U106" s="37">
        <v>162</v>
      </c>
      <c r="V106" s="1" t="s">
        <v>530</v>
      </c>
      <c r="W106" s="37">
        <v>2.4400000000000002E-2</v>
      </c>
      <c r="X106" s="37">
        <v>73.2</v>
      </c>
      <c r="Y106" s="36">
        <f>IFERROR(SUMIFS('BG Stock Log'!L:L,'BG Stock Log'!C:C,'BG Dashboard'!A155)/SUMIFS('BG Stock Log'!G:G,'BG Stock Log'!C:C,'BG Dashboard'!A155,'BG Stock Log'!F:F,"ADD"),"")</f>
        <v>2.5759999999999998E-2</v>
      </c>
      <c r="Z106" s="36">
        <f t="shared" si="1"/>
        <v>316.44</v>
      </c>
      <c r="AA106" s="1" t="str" cm="1">
        <f t="array" ref="AA106">GetFilteredValues(A106)</f>
        <v>LCSC</v>
      </c>
    </row>
    <row r="107" spans="1:27" x14ac:dyDescent="0.25">
      <c r="A107" s="10" t="s">
        <v>281</v>
      </c>
      <c r="B107" s="1" t="s">
        <v>282</v>
      </c>
      <c r="C107" s="1" t="s">
        <v>808</v>
      </c>
      <c r="D107" s="8" t="s">
        <v>1170</v>
      </c>
      <c r="E107" s="1" t="s">
        <v>114</v>
      </c>
      <c r="F107" s="1" t="s">
        <v>1364</v>
      </c>
      <c r="G107" s="5">
        <f>_xlfn.XLOOKUP(A107,'BG Stock Log'!C:C,'BG Stock Log'!H:H,,0,-1)</f>
        <v>1118</v>
      </c>
      <c r="H107" s="5"/>
      <c r="I107" s="1"/>
      <c r="J107" s="1">
        <v>10000</v>
      </c>
      <c r="K107" s="1">
        <f>SUMIFS('BG Stock Log'!G:G,'BG Stock Log'!C:C,'BG Dashboard'!A143,'BG Stock Log'!F:F,"ADD")</f>
        <v>13552</v>
      </c>
      <c r="L107" s="1">
        <f>_xlfn.XLOOKUP(A107,'New BG List'!A:A,'New BG List'!K:K,,0)</f>
        <v>19</v>
      </c>
      <c r="M107" s="1">
        <f>_xlfn.XLOOKUP(A107,'New BG List'!A:A,'New BG List'!J:J,0)</f>
        <v>514</v>
      </c>
      <c r="N107" s="1"/>
      <c r="O107" s="1" t="str" cm="1">
        <f t="array" ref="O107">GetLastItem(AA107)</f>
        <v>LCSC</v>
      </c>
      <c r="P107" s="1" cm="1">
        <f t="array" ref="P107">IFERROR(INDEX(_xlfn._xlws.SORT(_xlfn._xlws.FILTER('BG Stock Log'!G:G, ('BG Stock Log'!C:C=A107) * ('BG Stock Log'!G:G&gt;0)), 1, -1), 1),"")</f>
        <v>3000</v>
      </c>
      <c r="Q107" s="1">
        <f>IFERROR(ROUND(AVERAGEIFS('BG Stock Log'!G:G,'BG Stock Log'!C:C,'BG Dashboard'!A143,'BG Stock Log'!F:F,"ADD"),0),"")</f>
        <v>4517</v>
      </c>
      <c r="R107" s="1" t="s">
        <v>511</v>
      </c>
      <c r="S107" s="1" t="s">
        <v>1060</v>
      </c>
      <c r="T107" s="37">
        <v>3.9E-2</v>
      </c>
      <c r="U107" s="37">
        <v>390</v>
      </c>
      <c r="V107" s="1" t="s">
        <v>531</v>
      </c>
      <c r="W107" s="37">
        <v>1.6799999999999999E-2</v>
      </c>
      <c r="X107" s="37">
        <v>168</v>
      </c>
      <c r="Y107" s="36">
        <f>IFERROR(SUMIFS('BG Stock Log'!L:L,'BG Stock Log'!C:C,'BG Dashboard'!A143)/SUMIFS('BG Stock Log'!G:G,'BG Stock Log'!C:C,'BG Dashboard'!A143,'BG Stock Log'!F:F,"ADD"),"")</f>
        <v>2.1952479338842975E-2</v>
      </c>
      <c r="Z107" s="36">
        <f t="shared" si="1"/>
        <v>43.601999999999997</v>
      </c>
      <c r="AA107" s="1" t="str" cm="1">
        <f t="array" ref="AA107">GetFilteredValues(A107)</f>
        <v>LCSC</v>
      </c>
    </row>
    <row r="108" spans="1:27" x14ac:dyDescent="0.25">
      <c r="A108" s="10" t="s">
        <v>302</v>
      </c>
      <c r="B108" s="1" t="s">
        <v>303</v>
      </c>
      <c r="C108" s="1" t="s">
        <v>826</v>
      </c>
      <c r="D108" s="8" t="s">
        <v>1188</v>
      </c>
      <c r="E108" s="1" t="s">
        <v>106</v>
      </c>
      <c r="F108" s="1" t="s">
        <v>1364</v>
      </c>
      <c r="G108" s="5">
        <f>_xlfn.XLOOKUP(A108,'BG Stock Log'!C:C,'BG Stock Log'!H:H,,0,-1)</f>
        <v>2422</v>
      </c>
      <c r="H108" s="5"/>
      <c r="I108" s="1"/>
      <c r="J108" s="1">
        <v>4000</v>
      </c>
      <c r="K108" s="1">
        <f>SUMIFS('BG Stock Log'!G:G,'BG Stock Log'!C:C,'BG Dashboard'!A156,'BG Stock Log'!F:F,"ADD")</f>
        <v>6557</v>
      </c>
      <c r="L108" s="1">
        <f>_xlfn.XLOOKUP(A108,'New BG List'!A:A,'New BG List'!K:K,,0)</f>
        <v>13</v>
      </c>
      <c r="M108" s="1">
        <f>_xlfn.XLOOKUP(A108,'New BG List'!A:A,'New BG List'!J:J,0)</f>
        <v>407</v>
      </c>
      <c r="N108" s="1"/>
      <c r="O108" s="1" t="str" cm="1">
        <f t="array" ref="O108">GetLastItem(AA108)</f>
        <v>LCSC</v>
      </c>
      <c r="P108" s="1" cm="1">
        <f t="array" ref="P108">IFERROR(INDEX(_xlfn._xlws.SORT(_xlfn._xlws.FILTER('BG Stock Log'!G:G, ('BG Stock Log'!C:C=A108) * ('BG Stock Log'!G:G&gt;0)), 1, -1), 1),"")</f>
        <v>3000</v>
      </c>
      <c r="Q108" s="1">
        <f>IFERROR(ROUND(AVERAGEIFS('BG Stock Log'!G:G,'BG Stock Log'!C:C,'BG Dashboard'!A156,'BG Stock Log'!F:F,"ADD"),0),"")</f>
        <v>2186</v>
      </c>
      <c r="R108" s="1" t="s">
        <v>511</v>
      </c>
      <c r="S108" s="1" t="s">
        <v>1080</v>
      </c>
      <c r="T108" s="37">
        <v>6.2E-2</v>
      </c>
      <c r="U108" s="37">
        <v>248</v>
      </c>
      <c r="V108" s="1" t="s">
        <v>542</v>
      </c>
      <c r="W108" s="37">
        <v>1.8100000000000002E-2</v>
      </c>
      <c r="X108" s="37">
        <v>72.400000000000006</v>
      </c>
      <c r="Y108" s="36">
        <f>IFERROR(SUMIFS('BG Stock Log'!L:L,'BG Stock Log'!C:C,'BG Dashboard'!A156)/SUMIFS('BG Stock Log'!G:G,'BG Stock Log'!C:C,'BG Dashboard'!A156,'BG Stock Log'!F:F,"ADD"),"")</f>
        <v>7.2302882415738914E-2</v>
      </c>
      <c r="Z108" s="36">
        <f t="shared" si="1"/>
        <v>150.16399999999999</v>
      </c>
      <c r="AA108" s="1" t="str" cm="1">
        <f t="array" ref="AA108">GetFilteredValues(A108)</f>
        <v>LCSC</v>
      </c>
    </row>
    <row r="109" spans="1:27" x14ac:dyDescent="0.25">
      <c r="A109" s="10" t="s">
        <v>275</v>
      </c>
      <c r="B109" s="1" t="s">
        <v>276</v>
      </c>
      <c r="C109" s="1" t="s">
        <v>815</v>
      </c>
      <c r="D109" s="8" t="s">
        <v>1185</v>
      </c>
      <c r="E109" s="1" t="s">
        <v>106</v>
      </c>
      <c r="F109" s="1" t="s">
        <v>1364</v>
      </c>
      <c r="G109" s="5">
        <f>_xlfn.XLOOKUP(A109,'BG Stock Log'!C:C,'BG Stock Log'!H:H,,0,-1)</f>
        <v>2033</v>
      </c>
      <c r="H109" s="5"/>
      <c r="I109" s="1"/>
      <c r="J109" s="1">
        <v>4000</v>
      </c>
      <c r="K109" s="1">
        <f>SUMIFS('BG Stock Log'!G:G,'BG Stock Log'!C:C,'BG Dashboard'!A157,'BG Stock Log'!F:F,"ADD")</f>
        <v>2000</v>
      </c>
      <c r="L109" s="1">
        <f>_xlfn.XLOOKUP(A109,'New BG List'!A:A,'New BG List'!K:K,,0)</f>
        <v>20</v>
      </c>
      <c r="M109" s="1">
        <f>_xlfn.XLOOKUP(A109,'New BG List'!A:A,'New BG List'!J:J,0)</f>
        <v>470</v>
      </c>
      <c r="N109" s="1"/>
      <c r="O109" s="1" t="str" cm="1">
        <f t="array" ref="O109">GetLastItem(AA109)</f>
        <v>LCSC</v>
      </c>
      <c r="P109" s="1" cm="1">
        <f t="array" ref="P109">IFERROR(INDEX(_xlfn._xlws.SORT(_xlfn._xlws.FILTER('BG Stock Log'!G:G, ('BG Stock Log'!C:C=A109) * ('BG Stock Log'!G:G&gt;0)), 1, -1), 1),"")</f>
        <v>3000</v>
      </c>
      <c r="Q109" s="1">
        <f>IFERROR(ROUND(AVERAGEIFS('BG Stock Log'!G:G,'BG Stock Log'!C:C,'BG Dashboard'!A157,'BG Stock Log'!F:F,"ADD"),0),"")</f>
        <v>1000</v>
      </c>
      <c r="R109" s="1" t="s">
        <v>511</v>
      </c>
      <c r="S109" s="1" t="s">
        <v>1079</v>
      </c>
      <c r="T109" s="37">
        <v>7.4999999999999997E-2</v>
      </c>
      <c r="U109" s="37">
        <v>300</v>
      </c>
      <c r="V109" s="1" t="s">
        <v>528</v>
      </c>
      <c r="W109" s="37">
        <v>1.6899999999999998E-2</v>
      </c>
      <c r="X109" s="37">
        <v>67.599999999999994</v>
      </c>
      <c r="Y109" s="36">
        <f>IFERROR(SUMIFS('BG Stock Log'!L:L,'BG Stock Log'!C:C,'BG Dashboard'!A157)/SUMIFS('BG Stock Log'!G:G,'BG Stock Log'!C:C,'BG Dashboard'!A157,'BG Stock Log'!F:F,"ADD"),"")</f>
        <v>0.126</v>
      </c>
      <c r="Z109" s="36">
        <f t="shared" si="1"/>
        <v>152.47499999999999</v>
      </c>
      <c r="AA109" s="1" t="str" cm="1">
        <f t="array" ref="AA109">GetFilteredValues(A109)</f>
        <v>LCSC</v>
      </c>
    </row>
    <row r="110" spans="1:27" x14ac:dyDescent="0.25">
      <c r="A110" s="1" t="s">
        <v>260</v>
      </c>
      <c r="B110" s="1" t="s">
        <v>261</v>
      </c>
      <c r="C110" s="1" t="s">
        <v>736</v>
      </c>
      <c r="D110" s="8" t="s">
        <v>1208</v>
      </c>
      <c r="E110" s="1" t="s">
        <v>194</v>
      </c>
      <c r="F110" s="1" t="s">
        <v>1364</v>
      </c>
      <c r="G110" s="5">
        <f>_xlfn.XLOOKUP(A110,'BG Stock Log'!C:C,'BG Stock Log'!H:H,,0,-1)</f>
        <v>3324</v>
      </c>
      <c r="H110" s="5"/>
      <c r="I110" s="1"/>
      <c r="J110" s="1">
        <v>2500</v>
      </c>
      <c r="K110" s="1">
        <f>SUMIFS('BG Stock Log'!G:G,'BG Stock Log'!C:C,'BG Dashboard'!A125,'BG Stock Log'!F:F,"ADD")</f>
        <v>2280</v>
      </c>
      <c r="L110" s="1">
        <f>_xlfn.XLOOKUP(A110,'New BG List'!A:A,'New BG List'!K:K,,0)</f>
        <v>25</v>
      </c>
      <c r="M110" s="1">
        <f>_xlfn.XLOOKUP(A110,'New BG List'!A:A,'New BG List'!J:J,0)</f>
        <v>2625</v>
      </c>
      <c r="N110" s="1"/>
      <c r="O110" s="1" t="str" cm="1">
        <f t="array" ref="O110">GetLastItem(AA110)</f>
        <v>LCSC</v>
      </c>
      <c r="P110" s="1" cm="1">
        <f t="array" ref="P110">IFERROR(INDEX(_xlfn._xlws.SORT(_xlfn._xlws.FILTER('BG Stock Log'!G:G, ('BG Stock Log'!C:C=A110) * ('BG Stock Log'!G:G&gt;0)), 1, -1), 1),"")</f>
        <v>4000</v>
      </c>
      <c r="Q110" s="1">
        <f>IFERROR(ROUND(AVERAGEIFS('BG Stock Log'!G:G,'BG Stock Log'!C:C,'BG Dashboard'!A125,'BG Stock Log'!F:F,"ADD"),0),"")</f>
        <v>2280</v>
      </c>
      <c r="R110" s="1" t="s">
        <v>511</v>
      </c>
      <c r="S110" s="1" t="s">
        <v>1076</v>
      </c>
      <c r="T110" s="37">
        <v>0.28799999999999998</v>
      </c>
      <c r="U110" s="37">
        <v>720</v>
      </c>
      <c r="V110" s="1" t="s">
        <v>1433</v>
      </c>
      <c r="W110" s="37">
        <v>1.2200000000000001E-2</v>
      </c>
      <c r="X110" s="37">
        <v>30.500000000000004</v>
      </c>
      <c r="Y110" s="36">
        <f>IFERROR(SUMIFS('BG Stock Log'!L:L,'BG Stock Log'!C:C,'BG Dashboard'!A125)/SUMIFS('BG Stock Log'!G:G,'BG Stock Log'!C:C,'BG Dashboard'!A125,'BG Stock Log'!F:F,"ADD"),"")</f>
        <v>0</v>
      </c>
      <c r="Z110" s="36">
        <f t="shared" si="1"/>
        <v>957.3119999999999</v>
      </c>
      <c r="AA110" s="1" t="str" cm="1">
        <f t="array" ref="AA110">GetFilteredValues(A110)</f>
        <v>LCSC, LCSC</v>
      </c>
    </row>
    <row r="111" spans="1:27" x14ac:dyDescent="0.25">
      <c r="A111" s="10" t="s">
        <v>294</v>
      </c>
      <c r="B111" s="1" t="s">
        <v>295</v>
      </c>
      <c r="C111" s="1" t="s">
        <v>835</v>
      </c>
      <c r="D111" s="8" t="s">
        <v>1189</v>
      </c>
      <c r="E111" s="1" t="s">
        <v>106</v>
      </c>
      <c r="F111" s="1" t="s">
        <v>1364</v>
      </c>
      <c r="G111" s="5">
        <f>_xlfn.XLOOKUP(A111,'BG Stock Log'!C:C,'BG Stock Log'!H:H,,0,-1)</f>
        <v>2210</v>
      </c>
      <c r="H111" s="5"/>
      <c r="I111" s="1"/>
      <c r="J111" s="1">
        <v>3000</v>
      </c>
      <c r="K111" s="1">
        <f>SUMIFS('BG Stock Log'!G:G,'BG Stock Log'!C:C,'BG Dashboard'!A162,'BG Stock Log'!F:F,"ADD")</f>
        <v>5699</v>
      </c>
      <c r="L111" s="1">
        <f>_xlfn.XLOOKUP(A111,'New BG List'!A:A,'New BG List'!K:K,,0)</f>
        <v>15</v>
      </c>
      <c r="M111" s="1">
        <f>_xlfn.XLOOKUP(A111,'New BG List'!A:A,'New BG List'!J:J,0)</f>
        <v>317</v>
      </c>
      <c r="N111" s="1"/>
      <c r="O111" s="1" t="str" cm="1">
        <f t="array" ref="O111">GetLastItem(AA111)</f>
        <v>LCSC</v>
      </c>
      <c r="P111" s="1" cm="1">
        <f t="array" ref="P111">IFERROR(INDEX(_xlfn._xlws.SORT(_xlfn._xlws.FILTER('BG Stock Log'!G:G, ('BG Stock Log'!C:C=A111) * ('BG Stock Log'!G:G&gt;0)), 1, -1), 1),"")</f>
        <v>3000</v>
      </c>
      <c r="Q111" s="1">
        <f>IFERROR(ROUND(AVERAGEIFS('BG Stock Log'!G:G,'BG Stock Log'!C:C,'BG Dashboard'!A162,'BG Stock Log'!F:F,"ADD"),0),"")</f>
        <v>2850</v>
      </c>
      <c r="R111" s="1" t="s">
        <v>511</v>
      </c>
      <c r="S111" s="1" t="s">
        <v>1081</v>
      </c>
      <c r="T111" s="37">
        <v>5.7000000000000002E-2</v>
      </c>
      <c r="U111" s="37">
        <v>171</v>
      </c>
      <c r="V111" s="1" t="s">
        <v>538</v>
      </c>
      <c r="W111" s="37">
        <v>1.7899999999999999E-2</v>
      </c>
      <c r="X111" s="37">
        <v>53.699999999999996</v>
      </c>
      <c r="Y111" s="36">
        <f>IFERROR(SUMIFS('BG Stock Log'!L:L,'BG Stock Log'!C:C,'BG Dashboard'!A162)/SUMIFS('BG Stock Log'!G:G,'BG Stock Log'!C:C,'BG Dashboard'!A162,'BG Stock Log'!F:F,"ADD"),"")</f>
        <v>1.8669942095104402E-2</v>
      </c>
      <c r="Z111" s="36">
        <f t="shared" si="1"/>
        <v>125.97</v>
      </c>
      <c r="AA111" s="1" t="str" cm="1">
        <f t="array" ref="AA111">GetFilteredValues(A111)</f>
        <v>LCSC</v>
      </c>
    </row>
    <row r="112" spans="1:27" x14ac:dyDescent="0.25">
      <c r="A112" s="10" t="s">
        <v>292</v>
      </c>
      <c r="B112" s="1" t="s">
        <v>293</v>
      </c>
      <c r="C112" s="1" t="s">
        <v>735</v>
      </c>
      <c r="D112" s="8" t="s">
        <v>1183</v>
      </c>
      <c r="E112" s="1" t="s">
        <v>108</v>
      </c>
      <c r="F112" s="1" t="s">
        <v>1364</v>
      </c>
      <c r="G112" s="5">
        <f>_xlfn.XLOOKUP(A112,'BG Stock Log'!C:C,'BG Stock Log'!H:H,,0,-1)</f>
        <v>5510</v>
      </c>
      <c r="H112" s="5"/>
      <c r="I112" s="1"/>
      <c r="J112" s="1">
        <v>2000</v>
      </c>
      <c r="K112" s="1">
        <f>SUMIFS('BG Stock Log'!G:G,'BG Stock Log'!C:C,'BG Dashboard'!A169,'BG Stock Log'!F:F,"ADD")</f>
        <v>0</v>
      </c>
      <c r="L112" s="1">
        <f>_xlfn.XLOOKUP(A112,'New BG List'!A:A,'New BG List'!K:K,,0)</f>
        <v>15</v>
      </c>
      <c r="M112" s="1">
        <f>_xlfn.XLOOKUP(A112,'New BG List'!A:A,'New BG List'!J:J,0)</f>
        <v>2670</v>
      </c>
      <c r="N112" s="1"/>
      <c r="O112" s="1" t="str" cm="1">
        <f t="array" ref="O112">GetLastItem(AA112)</f>
        <v>LCSC</v>
      </c>
      <c r="P112" s="1" cm="1">
        <f t="array" ref="P112">IFERROR(INDEX(_xlfn._xlws.SORT(_xlfn._xlws.FILTER('BG Stock Log'!G:G, ('BG Stock Log'!C:C=A112) * ('BG Stock Log'!G:G&gt;0)), 1, -1), 1),"")</f>
        <v>8000</v>
      </c>
      <c r="Q112" s="1" t="str">
        <f>IFERROR(ROUND(AVERAGEIFS('BG Stock Log'!G:G,'BG Stock Log'!C:C,'BG Dashboard'!A169,'BG Stock Log'!F:F,"ADD"),0),"")</f>
        <v/>
      </c>
      <c r="R112" s="1" t="s">
        <v>511</v>
      </c>
      <c r="S112" s="1" t="s">
        <v>1075</v>
      </c>
      <c r="T112" s="37">
        <v>5.8000000000000003E-2</v>
      </c>
      <c r="U112" s="37">
        <v>116</v>
      </c>
      <c r="V112" s="1" t="s">
        <v>537</v>
      </c>
      <c r="W112" s="37">
        <v>1.9800000000000002E-2</v>
      </c>
      <c r="X112" s="37">
        <v>39.6</v>
      </c>
      <c r="Y112" s="36" t="str">
        <f>IFERROR(SUMIFS('BG Stock Log'!L:L,'BG Stock Log'!C:C,'BG Dashboard'!A169)/SUMIFS('BG Stock Log'!G:G,'BG Stock Log'!C:C,'BG Dashboard'!A169,'BG Stock Log'!F:F,"ADD"),"")</f>
        <v/>
      </c>
      <c r="Z112" s="36">
        <f t="shared" si="1"/>
        <v>319.58000000000004</v>
      </c>
      <c r="AA112" s="1" t="str" cm="1">
        <f t="array" ref="AA112">GetFilteredValues(A112)</f>
        <v>LCSC, LCSC</v>
      </c>
    </row>
    <row r="113" spans="1:27" x14ac:dyDescent="0.25">
      <c r="A113" s="10" t="s">
        <v>262</v>
      </c>
      <c r="B113" s="1" t="s">
        <v>263</v>
      </c>
      <c r="C113" s="1" t="s">
        <v>866</v>
      </c>
      <c r="D113" s="8" t="s">
        <v>1193</v>
      </c>
      <c r="E113" s="1" t="s">
        <v>190</v>
      </c>
      <c r="F113" s="1" t="s">
        <v>1364</v>
      </c>
      <c r="G113" s="5">
        <f>_xlfn.XLOOKUP(A113,'BG Stock Log'!C:C,'BG Stock Log'!H:H,,0,-1)</f>
        <v>2779</v>
      </c>
      <c r="H113" s="5"/>
      <c r="I113" s="1"/>
      <c r="J113" s="1">
        <v>2000</v>
      </c>
      <c r="K113" s="1">
        <f>SUMIFS('BG Stock Log'!G:G,'BG Stock Log'!C:C,'BG Dashboard'!A144,'BG Stock Log'!F:F,"ADD")</f>
        <v>3000</v>
      </c>
      <c r="L113" s="1">
        <f>_xlfn.XLOOKUP(A113,'New BG List'!A:A,'New BG List'!K:K,,0)</f>
        <v>25</v>
      </c>
      <c r="M113" s="1">
        <f>_xlfn.XLOOKUP(A113,'New BG List'!A:A,'New BG List'!J:J,0)</f>
        <v>90</v>
      </c>
      <c r="N113" s="1"/>
      <c r="O113" s="1" t="str" cm="1">
        <f t="array" ref="O113">GetLastItem(AA113)</f>
        <v>LCSC</v>
      </c>
      <c r="P113" s="1" cm="1">
        <f t="array" ref="P113">IFERROR(INDEX(_xlfn._xlws.SORT(_xlfn._xlws.FILTER('BG Stock Log'!G:G, ('BG Stock Log'!C:C=A113) * ('BG Stock Log'!G:G&gt;0)), 1, -1), 1),"")</f>
        <v>3000</v>
      </c>
      <c r="Q113" s="1">
        <f>IFERROR(ROUND(AVERAGEIFS('BG Stock Log'!G:G,'BG Stock Log'!C:C,'BG Dashboard'!A144,'BG Stock Log'!F:F,"ADD"),0),"")</f>
        <v>3000</v>
      </c>
      <c r="R113" s="1" t="s">
        <v>511</v>
      </c>
      <c r="S113" s="1" t="s">
        <v>1085</v>
      </c>
      <c r="T113" s="37">
        <v>0.20300000000000001</v>
      </c>
      <c r="U113" s="37">
        <v>406</v>
      </c>
      <c r="V113" s="1" t="s">
        <v>521</v>
      </c>
      <c r="W113" s="37">
        <v>6.2799999999999995E-2</v>
      </c>
      <c r="X113" s="37">
        <v>125.6</v>
      </c>
      <c r="Y113" s="36">
        <f>IFERROR(SUMIFS('BG Stock Log'!L:L,'BG Stock Log'!C:C,'BG Dashboard'!A144)/SUMIFS('BG Stock Log'!G:G,'BG Stock Log'!C:C,'BG Dashboard'!A144,'BG Stock Log'!F:F,"ADD"),"")</f>
        <v>0.123</v>
      </c>
      <c r="Z113" s="36">
        <f t="shared" si="1"/>
        <v>564.13700000000006</v>
      </c>
      <c r="AA113" s="1" t="str" cm="1">
        <f t="array" ref="AA113">GetFilteredValues(A113)</f>
        <v>LCSC, LCSC</v>
      </c>
    </row>
    <row r="114" spans="1:27" x14ac:dyDescent="0.25">
      <c r="A114" s="10" t="s">
        <v>298</v>
      </c>
      <c r="B114" s="1" t="s">
        <v>299</v>
      </c>
      <c r="C114" s="1" t="s">
        <v>832</v>
      </c>
      <c r="D114" s="8" t="s">
        <v>1196</v>
      </c>
      <c r="E114" s="1" t="s">
        <v>1197</v>
      </c>
      <c r="F114" s="1" t="s">
        <v>1364</v>
      </c>
      <c r="G114" s="5">
        <f>_xlfn.XLOOKUP(A114,'BG Stock Log'!C:C,'BG Stock Log'!H:H,,0,-1)</f>
        <v>708</v>
      </c>
      <c r="H114" s="5"/>
      <c r="I114" s="1"/>
      <c r="J114" s="1">
        <v>1000</v>
      </c>
      <c r="K114" s="1">
        <f>SUMIFS('BG Stock Log'!G:G,'BG Stock Log'!C:C,'BG Dashboard'!A159,'BG Stock Log'!F:F,"ADD")</f>
        <v>852</v>
      </c>
      <c r="L114" s="1">
        <f>_xlfn.XLOOKUP(A114,'New BG List'!A:A,'New BG List'!K:K,,0)</f>
        <v>14</v>
      </c>
      <c r="M114" s="1">
        <f>_xlfn.XLOOKUP(A114,'New BG List'!A:A,'New BG List'!J:J,0)</f>
        <v>334</v>
      </c>
      <c r="N114" s="1"/>
      <c r="O114" s="1" t="str" cm="1">
        <f t="array" ref="O114">GetLastItem(AA114)</f>
        <v>LCSC</v>
      </c>
      <c r="P114" s="1" cm="1">
        <f t="array" ref="P114">IFERROR(INDEX(_xlfn._xlws.SORT(_xlfn._xlws.FILTER('BG Stock Log'!G:G, ('BG Stock Log'!C:C=A114) * ('BG Stock Log'!G:G&gt;0)), 1, -1), 1),"")</f>
        <v>2000</v>
      </c>
      <c r="Q114" s="1">
        <f>IFERROR(ROUND(AVERAGEIFS('BG Stock Log'!G:G,'BG Stock Log'!C:C,'BG Dashboard'!A159,'BG Stock Log'!F:F,"ADD"),0),"")</f>
        <v>852</v>
      </c>
      <c r="R114" s="1" t="s">
        <v>511</v>
      </c>
      <c r="S114" s="1" t="s">
        <v>1089</v>
      </c>
      <c r="T114" s="37">
        <v>2.234</v>
      </c>
      <c r="U114" s="37">
        <v>2234</v>
      </c>
      <c r="V114" s="1" t="s">
        <v>540</v>
      </c>
      <c r="W114" s="37">
        <v>4.8899999999999999E-2</v>
      </c>
      <c r="X114" s="37">
        <v>48.9</v>
      </c>
      <c r="Y114" s="36">
        <f>IFERROR(SUMIFS('BG Stock Log'!L:L,'BG Stock Log'!C:C,'BG Dashboard'!A159)/SUMIFS('BG Stock Log'!G:G,'BG Stock Log'!C:C,'BG Dashboard'!A159,'BG Stock Log'!F:F,"ADD"),"")</f>
        <v>0</v>
      </c>
      <c r="Z114" s="36">
        <f t="shared" si="1"/>
        <v>1581.672</v>
      </c>
      <c r="AA114" s="1" t="str" cm="1">
        <f t="array" ref="AA114">GetFilteredValues(A114)</f>
        <v>LCSC</v>
      </c>
    </row>
    <row r="115" spans="1:27" x14ac:dyDescent="0.25">
      <c r="A115" s="10" t="s">
        <v>296</v>
      </c>
      <c r="B115" s="1" t="s">
        <v>297</v>
      </c>
      <c r="C115" s="1" t="s">
        <v>751</v>
      </c>
      <c r="D115" s="8" t="s">
        <v>1191</v>
      </c>
      <c r="E115" s="1" t="s">
        <v>190</v>
      </c>
      <c r="F115" s="1" t="s">
        <v>1364</v>
      </c>
      <c r="G115" s="5">
        <f>_xlfn.XLOOKUP(A115,'BG Stock Log'!C:C,'BG Stock Log'!H:H,,0,-1)</f>
        <v>2268</v>
      </c>
      <c r="H115" s="5"/>
      <c r="I115" s="1"/>
      <c r="J115" s="1">
        <v>1000</v>
      </c>
      <c r="K115" s="1">
        <f>SUMIFS('BG Stock Log'!G:G,'BG Stock Log'!C:C,'BG Dashboard'!A149,'BG Stock Log'!F:F,"ADD")</f>
        <v>3000</v>
      </c>
      <c r="L115" s="1">
        <f>_xlfn.XLOOKUP(A115,'New BG List'!A:A,'New BG List'!K:K,,0)</f>
        <v>14</v>
      </c>
      <c r="M115" s="1">
        <f>_xlfn.XLOOKUP(A115,'New BG List'!A:A,'New BG List'!J:J,0)</f>
        <v>1998</v>
      </c>
      <c r="N115" s="1"/>
      <c r="O115" s="1" t="str" cm="1">
        <f t="array" ref="O115">GetLastItem(AA115)</f>
        <v>LCSC</v>
      </c>
      <c r="P115" s="1" cm="1">
        <f t="array" ref="P115">IFERROR(INDEX(_xlfn._xlws.SORT(_xlfn._xlws.FILTER('BG Stock Log'!G:G, ('BG Stock Log'!C:C=A115) * ('BG Stock Log'!G:G&gt;0)), 1, -1), 1),"")</f>
        <v>5000</v>
      </c>
      <c r="Q115" s="1">
        <f>IFERROR(ROUND(AVERAGEIFS('BG Stock Log'!G:G,'BG Stock Log'!C:C,'BG Dashboard'!A149,'BG Stock Log'!F:F,"ADD"),0),"")</f>
        <v>3000</v>
      </c>
      <c r="R115" s="1" t="s">
        <v>511</v>
      </c>
      <c r="S115" s="1" t="s">
        <v>1084</v>
      </c>
      <c r="T115" s="37">
        <v>0.63900000000000001</v>
      </c>
      <c r="U115" s="37">
        <v>639</v>
      </c>
      <c r="V115" s="1" t="s">
        <v>539</v>
      </c>
      <c r="W115" s="37">
        <v>0.14610000000000001</v>
      </c>
      <c r="X115" s="37">
        <v>146.1</v>
      </c>
      <c r="Y115" s="36">
        <f>IFERROR(SUMIFS('BG Stock Log'!L:L,'BG Stock Log'!C:C,'BG Dashboard'!A149)/SUMIFS('BG Stock Log'!G:G,'BG Stock Log'!C:C,'BG Dashboard'!A149,'BG Stock Log'!F:F,"ADD"),"")</f>
        <v>3.1E-2</v>
      </c>
      <c r="Z115" s="36">
        <f t="shared" si="1"/>
        <v>1449.252</v>
      </c>
      <c r="AA115" s="1" t="str" cm="1">
        <f t="array" ref="AA115">GetFilteredValues(A115)</f>
        <v>LCSC, LCSC, LCSC, LCSC</v>
      </c>
    </row>
    <row r="116" spans="1:27" x14ac:dyDescent="0.25">
      <c r="A116" s="1" t="s">
        <v>328</v>
      </c>
      <c r="B116" s="1" t="s">
        <v>329</v>
      </c>
      <c r="C116" s="1" t="s">
        <v>801</v>
      </c>
      <c r="D116" s="8" t="s">
        <v>1192</v>
      </c>
      <c r="E116" s="1" t="s">
        <v>175</v>
      </c>
      <c r="F116" s="1" t="s">
        <v>1364</v>
      </c>
      <c r="G116" s="5">
        <f>_xlfn.XLOOKUP(A116,'BG Stock Log'!C:C,'BG Stock Log'!H:H,,0,-1)</f>
        <v>3048</v>
      </c>
      <c r="H116" s="5"/>
      <c r="I116" s="1"/>
      <c r="J116" s="1">
        <v>5000</v>
      </c>
      <c r="K116" s="1">
        <f>SUMIFS('BG Stock Log'!G:G,'BG Stock Log'!C:C,'BG Dashboard'!A110,'BG Stock Log'!F:F,"ADD")</f>
        <v>6000</v>
      </c>
      <c r="L116" s="1">
        <f>_xlfn.XLOOKUP(A116,'New BG List'!A:A,'New BG List'!K:K,,0)</f>
        <v>22</v>
      </c>
      <c r="M116" s="1">
        <f>_xlfn.XLOOKUP(A116,'New BG List'!A:A,'New BG List'!J:J,0)</f>
        <v>644</v>
      </c>
      <c r="N116" s="1"/>
      <c r="O116" s="1" t="str" cm="1">
        <f t="array" ref="O116">GetLastItem(AA116)</f>
        <v>Ling</v>
      </c>
      <c r="P116" s="1" cm="1">
        <f t="array" ref="P116">IFERROR(INDEX(_xlfn._xlws.SORT(_xlfn._xlws.FILTER('BG Stock Log'!G:G, ('BG Stock Log'!C:C=A116) * ('BG Stock Log'!G:G&gt;0)), 1, -1), 1),"")</f>
        <v>4000</v>
      </c>
      <c r="Q116" s="1">
        <f>IFERROR(ROUND(AVERAGEIFS('BG Stock Log'!G:G,'BG Stock Log'!C:C,'BG Dashboard'!A110,'BG Stock Log'!F:F,"ADD"),0),"")</f>
        <v>3000</v>
      </c>
      <c r="R116" s="1" t="s">
        <v>511</v>
      </c>
      <c r="S116" s="1" t="s">
        <v>1014</v>
      </c>
      <c r="T116" s="37">
        <v>0.185</v>
      </c>
      <c r="U116" s="37">
        <v>925</v>
      </c>
      <c r="V116" s="1" t="s">
        <v>563</v>
      </c>
      <c r="W116" s="37">
        <v>4.87E-2</v>
      </c>
      <c r="X116" s="37">
        <v>243.5</v>
      </c>
      <c r="Y116" s="36">
        <f>IFERROR(SUMIFS('BG Stock Log'!L:L,'BG Stock Log'!C:C,'BG Dashboard'!A110)/SUMIFS('BG Stock Log'!G:G,'BG Stock Log'!C:C,'BG Dashboard'!A110,'BG Stock Log'!F:F,"ADD"),"")</f>
        <v>1.7173333333333332E-2</v>
      </c>
      <c r="Z116" s="36">
        <f t="shared" si="1"/>
        <v>563.88</v>
      </c>
      <c r="AA116" s="1" t="str" cm="1">
        <f t="array" ref="AA116">GetFilteredValues(A116)</f>
        <v>Ling</v>
      </c>
    </row>
    <row r="117" spans="1:27" x14ac:dyDescent="0.25">
      <c r="A117" s="1" t="s">
        <v>324</v>
      </c>
      <c r="B117" s="1" t="s">
        <v>325</v>
      </c>
      <c r="C117" s="1" t="s">
        <v>740</v>
      </c>
      <c r="D117" s="8" t="s">
        <v>1198</v>
      </c>
      <c r="E117" s="1" t="s">
        <v>173</v>
      </c>
      <c r="F117" s="1" t="s">
        <v>1364</v>
      </c>
      <c r="G117" s="5">
        <f>_xlfn.XLOOKUP(A117,'BG Stock Log'!C:C,'BG Stock Log'!H:H,,0,-1)</f>
        <v>246</v>
      </c>
      <c r="H117" s="5"/>
      <c r="I117" s="1"/>
      <c r="J117" s="1">
        <v>3000</v>
      </c>
      <c r="K117" s="1">
        <f>SUMIFS('BG Stock Log'!G:G,'BG Stock Log'!C:C,'BG Dashboard'!A129,'BG Stock Log'!F:F,"ADD")</f>
        <v>27000</v>
      </c>
      <c r="L117" s="1">
        <f>_xlfn.XLOOKUP(A117,'New BG List'!A:A,'New BG List'!K:K,,0)</f>
        <v>35</v>
      </c>
      <c r="M117" s="1">
        <f>_xlfn.XLOOKUP(A117,'New BG List'!A:A,'New BG List'!J:J,0)</f>
        <v>2460</v>
      </c>
      <c r="N117" s="1"/>
      <c r="O117" s="1" t="str" cm="1">
        <f t="array" ref="O117">GetLastItem(AA117)</f>
        <v>LCSC</v>
      </c>
      <c r="P117" s="1" cm="1">
        <f t="array" ref="P117">IFERROR(INDEX(_xlfn._xlws.SORT(_xlfn._xlws.FILTER('BG Stock Log'!G:G, ('BG Stock Log'!C:C=A117) * ('BG Stock Log'!G:G&gt;0)), 1, -1), 1),"")</f>
        <v>3000</v>
      </c>
      <c r="Q117" s="1">
        <f>IFERROR(ROUND(AVERAGEIFS('BG Stock Log'!G:G,'BG Stock Log'!C:C,'BG Dashboard'!A129,'BG Stock Log'!F:F,"ADD"),0),"")</f>
        <v>9000</v>
      </c>
      <c r="R117" s="1" t="s">
        <v>511</v>
      </c>
      <c r="S117" s="1" t="s">
        <v>1031</v>
      </c>
      <c r="T117" s="37">
        <v>2.3E-2</v>
      </c>
      <c r="U117" s="37">
        <v>69</v>
      </c>
      <c r="V117" s="1" t="s">
        <v>561</v>
      </c>
      <c r="W117" s="37">
        <v>1.67E-2</v>
      </c>
      <c r="X117" s="37">
        <v>50.1</v>
      </c>
      <c r="Y117" s="36">
        <f>IFERROR(SUMIFS('BG Stock Log'!L:L,'BG Stock Log'!C:C,'BG Dashboard'!A129)/SUMIFS('BG Stock Log'!G:G,'BG Stock Log'!C:C,'BG Dashboard'!A129,'BG Stock Log'!F:F,"ADD"),"")</f>
        <v>1.2506666666666668E-2</v>
      </c>
      <c r="Z117" s="36">
        <f t="shared" si="1"/>
        <v>5.6579999999999995</v>
      </c>
      <c r="AA117" s="1" t="str" cm="1">
        <f t="array" ref="AA117">GetFilteredValues(A117)</f>
        <v>LCSC</v>
      </c>
    </row>
    <row r="118" spans="1:27" x14ac:dyDescent="0.25">
      <c r="A118" s="1" t="s">
        <v>79</v>
      </c>
      <c r="B118" s="1" t="s">
        <v>358</v>
      </c>
      <c r="C118" s="1" t="s">
        <v>716</v>
      </c>
      <c r="D118" s="8" t="s">
        <v>196</v>
      </c>
      <c r="E118" s="1" t="s">
        <v>175</v>
      </c>
      <c r="F118" s="1" t="s">
        <v>1364</v>
      </c>
      <c r="G118" s="5">
        <f>_xlfn.XLOOKUP(A118,'BG Stock Log'!C:C,'BG Stock Log'!H:H,,0,-1)</f>
        <v>1778</v>
      </c>
      <c r="H118" s="5"/>
      <c r="I118" s="1"/>
      <c r="J118" s="1">
        <v>3000</v>
      </c>
      <c r="K118" s="1">
        <f>SUMIFS('BG Stock Log'!G:G,'BG Stock Log'!C:C,'BG Dashboard'!A82,'BG Stock Log'!F:F,"ADD")</f>
        <v>4003</v>
      </c>
      <c r="L118" s="1">
        <f>_xlfn.XLOOKUP(A118,'New BG List'!A:A,'New BG List'!K:K,,0)</f>
        <v>21</v>
      </c>
      <c r="M118" s="1">
        <f>_xlfn.XLOOKUP(A118,'New BG List'!A:A,'New BG List'!J:J,0)</f>
        <v>244</v>
      </c>
      <c r="N118" s="1"/>
      <c r="O118" s="1" t="str" cm="1">
        <f t="array" ref="O118">GetLastItem(AA118)</f>
        <v/>
      </c>
      <c r="P118" s="1" t="str" cm="1">
        <f t="array" ref="P118">IFERROR(INDEX(_xlfn._xlws.SORT(_xlfn._xlws.FILTER('BG Stock Log'!G:G, ('BG Stock Log'!C:C=A118) * ('BG Stock Log'!G:G&gt;0)), 1, -1), 1),"")</f>
        <v/>
      </c>
      <c r="Q118" s="1">
        <f>IFERROR(ROUND(AVERAGEIFS('BG Stock Log'!G:G,'BG Stock Log'!C:C,'BG Dashboard'!A82,'BG Stock Log'!F:F,"ADD"),0),"")</f>
        <v>2002</v>
      </c>
      <c r="R118" s="1" t="s">
        <v>511</v>
      </c>
      <c r="S118" s="1" t="s">
        <v>1030</v>
      </c>
      <c r="T118" s="37">
        <v>3.2000000000000001E-2</v>
      </c>
      <c r="U118" s="37">
        <v>96</v>
      </c>
      <c r="V118" s="1" t="s">
        <v>583</v>
      </c>
      <c r="W118" s="37">
        <v>1.3100000000000001E-2</v>
      </c>
      <c r="X118" s="37">
        <v>39.300000000000004</v>
      </c>
      <c r="Y118" s="36">
        <f>IFERROR(SUMIFS('BG Stock Log'!L:L,'BG Stock Log'!C:C,'BG Dashboard'!A82)/SUMIFS('BG Stock Log'!G:G,'BG Stock Log'!C:C,'BG Dashboard'!A82,'BG Stock Log'!F:F,"ADD"),"")</f>
        <v>3.2175868098925802E-3</v>
      </c>
      <c r="Z118" s="36">
        <f t="shared" si="1"/>
        <v>56.896000000000001</v>
      </c>
      <c r="AA118" s="1" t="str" cm="1">
        <f t="array" ref="AA118">GetFilteredValues(A118)</f>
        <v/>
      </c>
    </row>
    <row r="119" spans="1:27" x14ac:dyDescent="0.25">
      <c r="A119" s="1" t="s">
        <v>60</v>
      </c>
      <c r="B119" s="1" t="s">
        <v>350</v>
      </c>
      <c r="C119" s="1" t="s">
        <v>716</v>
      </c>
      <c r="D119" s="8" t="s">
        <v>174</v>
      </c>
      <c r="E119" s="1" t="s">
        <v>173</v>
      </c>
      <c r="F119" s="1" t="s">
        <v>1364</v>
      </c>
      <c r="G119" s="5">
        <f>_xlfn.XLOOKUP(A119,'BG Stock Log'!C:C,'BG Stock Log'!H:H,,0,-1)</f>
        <v>1725</v>
      </c>
      <c r="H119" s="5"/>
      <c r="I119" s="1"/>
      <c r="J119" s="1">
        <v>3000</v>
      </c>
      <c r="K119" s="1">
        <f>SUMIFS('BG Stock Log'!G:G,'BG Stock Log'!C:C,'BG Dashboard'!A63,'BG Stock Log'!F:F,"ADD")</f>
        <v>7000</v>
      </c>
      <c r="L119" s="1">
        <f>_xlfn.XLOOKUP(A119,'New BG List'!A:A,'New BG List'!K:K,,0)</f>
        <v>78</v>
      </c>
      <c r="M119" s="1">
        <f>_xlfn.XLOOKUP(A119,'New BG List'!A:A,'New BG List'!J:J,0)</f>
        <v>9233</v>
      </c>
      <c r="N119" s="1"/>
      <c r="O119" s="1" t="str" cm="1">
        <f t="array" ref="O119">GetLastItem(AA119)</f>
        <v>LCSC</v>
      </c>
      <c r="P119" s="1" cm="1">
        <f t="array" ref="P119">IFERROR(INDEX(_xlfn._xlws.SORT(_xlfn._xlws.FILTER('BG Stock Log'!G:G, ('BG Stock Log'!C:C=A119) * ('BG Stock Log'!G:G&gt;0)), 1, -1), 1),"")</f>
        <v>6000</v>
      </c>
      <c r="Q119" s="1">
        <f>IFERROR(ROUND(AVERAGEIFS('BG Stock Log'!G:G,'BG Stock Log'!C:C,'BG Dashboard'!A63,'BG Stock Log'!F:F,"ADD"),0),"")</f>
        <v>7000</v>
      </c>
      <c r="R119" s="1" t="s">
        <v>1316</v>
      </c>
      <c r="S119" s="1" t="s">
        <v>1420</v>
      </c>
      <c r="T119" s="37">
        <v>3.7999999999999999E-2</v>
      </c>
      <c r="U119" s="37">
        <v>114</v>
      </c>
      <c r="V119" s="1" t="s">
        <v>576</v>
      </c>
      <c r="W119" s="37">
        <v>1.47E-2</v>
      </c>
      <c r="X119" s="37">
        <v>44.1</v>
      </c>
      <c r="Y119" s="36">
        <f>IFERROR(SUMIFS('BG Stock Log'!L:L,'BG Stock Log'!C:C,'BG Dashboard'!A63)/SUMIFS('BG Stock Log'!G:G,'BG Stock Log'!C:C,'BG Dashboard'!A63,'BG Stock Log'!F:F,"ADD"),"")</f>
        <v>0</v>
      </c>
      <c r="Z119" s="36">
        <f t="shared" si="1"/>
        <v>65.55</v>
      </c>
      <c r="AA119" s="1" t="str" cm="1">
        <f t="array" ref="AA119">GetFilteredValues(A119)</f>
        <v>Future, Ling, LCSC</v>
      </c>
    </row>
    <row r="120" spans="1:27" x14ac:dyDescent="0.25">
      <c r="A120" s="10" t="s">
        <v>333</v>
      </c>
      <c r="B120" s="1" t="s">
        <v>334</v>
      </c>
      <c r="C120" s="1" t="s">
        <v>783</v>
      </c>
      <c r="D120" s="8" t="s">
        <v>1159</v>
      </c>
      <c r="E120" s="1" t="s">
        <v>175</v>
      </c>
      <c r="F120" s="1" t="s">
        <v>1364</v>
      </c>
      <c r="G120" s="5">
        <f>_xlfn.XLOOKUP(A120,'BG Stock Log'!C:C,'BG Stock Log'!H:H,,0,-1)</f>
        <v>5875</v>
      </c>
      <c r="H120" s="5"/>
      <c r="I120" s="1"/>
      <c r="J120" s="1">
        <v>3000</v>
      </c>
      <c r="K120" s="1">
        <f>SUMIFS('BG Stock Log'!G:G,'BG Stock Log'!C:C,'BG Dashboard'!A167,'BG Stock Log'!F:F,"ADD")</f>
        <v>15000</v>
      </c>
      <c r="L120" s="1">
        <f>_xlfn.XLOOKUP(A120,'New BG List'!A:A,'New BG List'!K:K,,0)</f>
        <v>19</v>
      </c>
      <c r="M120" s="1">
        <f>_xlfn.XLOOKUP(A120,'New BG List'!A:A,'New BG List'!J:J,0)</f>
        <v>955</v>
      </c>
      <c r="N120" s="1"/>
      <c r="O120" s="1" t="str" cm="1">
        <f t="array" ref="O120">GetLastItem(AA120)</f>
        <v>Ling</v>
      </c>
      <c r="P120" s="1" cm="1">
        <f t="array" ref="P120">IFERROR(INDEX(_xlfn._xlws.SORT(_xlfn._xlws.FILTER('BG Stock Log'!G:G, ('BG Stock Log'!C:C=A120) * ('BG Stock Log'!G:G&gt;0)), 1, -1), 1),"")</f>
        <v>9000</v>
      </c>
      <c r="Q120" s="1">
        <f>IFERROR(ROUND(AVERAGEIFS('BG Stock Log'!G:G,'BG Stock Log'!C:C,'BG Dashboard'!A167,'BG Stock Log'!F:F,"ADD"),0),"")</f>
        <v>15000</v>
      </c>
      <c r="R120" s="1" t="s">
        <v>511</v>
      </c>
      <c r="S120" s="1" t="s">
        <v>1028</v>
      </c>
      <c r="T120" s="37">
        <v>2.7E-2</v>
      </c>
      <c r="U120" s="37">
        <v>81</v>
      </c>
      <c r="V120" s="1" t="s">
        <v>566</v>
      </c>
      <c r="W120" s="37">
        <v>1.2800000000000001E-2</v>
      </c>
      <c r="X120" s="37">
        <v>38.4</v>
      </c>
      <c r="Y120" s="36">
        <f>IFERROR(SUMIFS('BG Stock Log'!L:L,'BG Stock Log'!C:C,'BG Dashboard'!A167)/SUMIFS('BG Stock Log'!G:G,'BG Stock Log'!C:C,'BG Dashboard'!A167,'BG Stock Log'!F:F,"ADD"),"")</f>
        <v>8.3999999999999993E-4</v>
      </c>
      <c r="Z120" s="36">
        <f t="shared" si="1"/>
        <v>158.625</v>
      </c>
      <c r="AA120" s="1" t="str" cm="1">
        <f t="array" ref="AA120">GetFilteredValues(A120)</f>
        <v>Ling, Ling</v>
      </c>
    </row>
    <row r="121" spans="1:27" x14ac:dyDescent="0.25">
      <c r="A121" s="1" t="s">
        <v>61</v>
      </c>
      <c r="B121" s="1" t="s">
        <v>353</v>
      </c>
      <c r="C121" s="1" t="s">
        <v>719</v>
      </c>
      <c r="D121" s="8" t="s">
        <v>176</v>
      </c>
      <c r="E121" s="1" t="s">
        <v>175</v>
      </c>
      <c r="F121" s="1" t="s">
        <v>1364</v>
      </c>
      <c r="G121" s="5">
        <f>_xlfn.XLOOKUP(A121,'BG Stock Log'!C:C,'BG Stock Log'!H:H,,0,-1)</f>
        <v>4405</v>
      </c>
      <c r="H121" s="5"/>
      <c r="I121" s="1"/>
      <c r="J121" s="1">
        <v>3000</v>
      </c>
      <c r="K121" s="1">
        <f>SUMIFS('BG Stock Log'!G:G,'BG Stock Log'!C:C,'BG Dashboard'!A64,'BG Stock Log'!F:F,"ADD")</f>
        <v>0</v>
      </c>
      <c r="L121" s="1">
        <f>_xlfn.XLOOKUP(A121,'New BG List'!A:A,'New BG List'!K:K,,0)</f>
        <v>21</v>
      </c>
      <c r="M121" s="1">
        <f>_xlfn.XLOOKUP(A121,'New BG List'!A:A,'New BG List'!J:J,0)</f>
        <v>8562</v>
      </c>
      <c r="N121" s="1"/>
      <c r="O121" s="1" t="str" cm="1">
        <f t="array" ref="O121">GetLastItem(AA121)</f>
        <v>LCSC</v>
      </c>
      <c r="P121" s="1" cm="1">
        <f t="array" ref="P121">IFERROR(INDEX(_xlfn._xlws.SORT(_xlfn._xlws.FILTER('BG Stock Log'!G:G, ('BG Stock Log'!C:C=A121) * ('BG Stock Log'!G:G&gt;0)), 1, -1), 1),"")</f>
        <v>9000</v>
      </c>
      <c r="Q121" s="1" t="str">
        <f>IFERROR(ROUND(AVERAGEIFS('BG Stock Log'!G:G,'BG Stock Log'!C:C,'BG Dashboard'!A64,'BG Stock Log'!F:F,"ADD"),0),"")</f>
        <v/>
      </c>
      <c r="R121" s="1" t="s">
        <v>1316</v>
      </c>
      <c r="S121" s="1" t="s">
        <v>1421</v>
      </c>
      <c r="T121" s="37">
        <v>3.7999999999999999E-2</v>
      </c>
      <c r="U121" s="37">
        <v>114</v>
      </c>
      <c r="V121" s="1" t="s">
        <v>578</v>
      </c>
      <c r="W121" s="37">
        <v>1.6299999999999999E-2</v>
      </c>
      <c r="X121" s="37">
        <v>48.9</v>
      </c>
      <c r="Y121" s="36" t="str">
        <f>IFERROR(SUMIFS('BG Stock Log'!L:L,'BG Stock Log'!C:C,'BG Dashboard'!A64)/SUMIFS('BG Stock Log'!G:G,'BG Stock Log'!C:C,'BG Dashboard'!A64,'BG Stock Log'!F:F,"ADD"),"")</f>
        <v/>
      </c>
      <c r="Z121" s="36">
        <f t="shared" si="1"/>
        <v>167.39</v>
      </c>
      <c r="AA121" s="1" t="str" cm="1">
        <f t="array" ref="AA121">GetFilteredValues(A121)</f>
        <v>Future, Digikey, LCSC, LCSC</v>
      </c>
    </row>
    <row r="122" spans="1:27" x14ac:dyDescent="0.25">
      <c r="A122" s="1" t="s">
        <v>80</v>
      </c>
      <c r="B122" s="1" t="s">
        <v>348</v>
      </c>
      <c r="C122" s="1" t="s">
        <v>868</v>
      </c>
      <c r="D122" s="8" t="s">
        <v>197</v>
      </c>
      <c r="E122" s="1" t="s">
        <v>175</v>
      </c>
      <c r="F122" s="1" t="s">
        <v>1364</v>
      </c>
      <c r="G122" s="5">
        <f>_xlfn.XLOOKUP(A122,'BG Stock Log'!C:C,'BG Stock Log'!H:H,,0,-1)</f>
        <v>12363</v>
      </c>
      <c r="H122" s="5"/>
      <c r="I122" s="1"/>
      <c r="J122" s="1">
        <v>10000</v>
      </c>
      <c r="K122" s="1">
        <f>SUMIFS('BG Stock Log'!G:G,'BG Stock Log'!C:C,'BG Dashboard'!A83,'BG Stock Log'!F:F,"ADD")</f>
        <v>38045</v>
      </c>
      <c r="L122" s="1">
        <f>_xlfn.XLOOKUP(A122,'New BG List'!A:A,'New BG List'!K:K,,0)</f>
        <v>7</v>
      </c>
      <c r="M122" s="1">
        <f>_xlfn.XLOOKUP(A122,'New BG List'!A:A,'New BG List'!J:J,0)</f>
        <v>45</v>
      </c>
      <c r="N122" s="1"/>
      <c r="O122" s="1" t="str" cm="1">
        <f t="array" ref="O122">GetLastItem(AA122)</f>
        <v/>
      </c>
      <c r="P122" s="1" cm="1">
        <f t="array" ref="P122">IFERROR(INDEX(_xlfn._xlws.SORT(_xlfn._xlws.FILTER('BG Stock Log'!G:G, ('BG Stock Log'!C:C=A122) * ('BG Stock Log'!G:G&gt;0)), 1, -1), 1),"")</f>
        <v>2500</v>
      </c>
      <c r="Q122" s="1">
        <f>IFERROR(ROUND(AVERAGEIFS('BG Stock Log'!G:G,'BG Stock Log'!C:C,'BG Dashboard'!A83,'BG Stock Log'!F:F,"ADD"),0),"")</f>
        <v>9511</v>
      </c>
      <c r="R122" s="1" t="s">
        <v>511</v>
      </c>
      <c r="S122" s="1" t="s">
        <v>1021</v>
      </c>
      <c r="T122" s="37">
        <v>2.9000000000000001E-2</v>
      </c>
      <c r="U122" s="37">
        <v>290</v>
      </c>
      <c r="V122" s="1" t="s">
        <v>574</v>
      </c>
      <c r="W122" s="37">
        <v>1.5299999999999999E-2</v>
      </c>
      <c r="X122" s="37">
        <v>153</v>
      </c>
      <c r="Y122" s="36">
        <f>IFERROR(SUMIFS('BG Stock Log'!L:L,'BG Stock Log'!C:C,'BG Dashboard'!A83)/SUMIFS('BG Stock Log'!G:G,'BG Stock Log'!C:C,'BG Dashboard'!A83,'BG Stock Log'!F:F,"ADD"),"")</f>
        <v>4.3527401761072415E-3</v>
      </c>
      <c r="Z122" s="36">
        <f t="shared" si="1"/>
        <v>358.52700000000004</v>
      </c>
      <c r="AA122" s="1" t="str" cm="1">
        <f t="array" ref="AA122">GetFilteredValues(A122)</f>
        <v/>
      </c>
    </row>
    <row r="123" spans="1:27" x14ac:dyDescent="0.25">
      <c r="A123" s="10" t="s">
        <v>339</v>
      </c>
      <c r="B123" s="1" t="s">
        <v>340</v>
      </c>
      <c r="C123" s="1" t="s">
        <v>797</v>
      </c>
      <c r="D123" s="8" t="s">
        <v>1154</v>
      </c>
      <c r="E123" s="1" t="s">
        <v>175</v>
      </c>
      <c r="F123" s="1" t="s">
        <v>1364</v>
      </c>
      <c r="G123" s="5">
        <f>_xlfn.XLOOKUP(A123,'BG Stock Log'!C:C,'BG Stock Log'!H:H,,0,-1)</f>
        <v>1774</v>
      </c>
      <c r="H123" s="5"/>
      <c r="I123" s="1"/>
      <c r="J123" s="1">
        <v>3000</v>
      </c>
      <c r="K123" s="1">
        <f>SUMIFS('BG Stock Log'!G:G,'BG Stock Log'!C:C,'BG Dashboard'!A137,'BG Stock Log'!F:F,"ADD")</f>
        <v>4704</v>
      </c>
      <c r="L123" s="1">
        <f>_xlfn.XLOOKUP(A123,'New BG List'!A:A,'New BG List'!K:K,,0)</f>
        <v>16</v>
      </c>
      <c r="M123" s="1">
        <f>_xlfn.XLOOKUP(A123,'New BG List'!A:A,'New BG List'!J:J,0)</f>
        <v>707</v>
      </c>
      <c r="N123" s="1"/>
      <c r="O123" s="1" t="str" cm="1">
        <f t="array" ref="O123">GetLastItem(AA123)</f>
        <v>Mouser</v>
      </c>
      <c r="P123" s="1" cm="1">
        <f t="array" ref="P123">IFERROR(INDEX(_xlfn._xlws.SORT(_xlfn._xlws.FILTER('BG Stock Log'!G:G, ('BG Stock Log'!C:C=A123) * ('BG Stock Log'!G:G&gt;0)), 1, -1), 1),"")</f>
        <v>3000</v>
      </c>
      <c r="Q123" s="1">
        <f>IFERROR(ROUND(AVERAGEIFS('BG Stock Log'!G:G,'BG Stock Log'!C:C,'BG Dashboard'!A137,'BG Stock Log'!F:F,"ADD"),0),"")</f>
        <v>2352</v>
      </c>
      <c r="R123" s="1" t="s">
        <v>1316</v>
      </c>
      <c r="S123" s="1" t="s">
        <v>1325</v>
      </c>
      <c r="T123" s="37">
        <v>0.186</v>
      </c>
      <c r="U123" s="37">
        <v>558</v>
      </c>
      <c r="V123" s="1" t="s">
        <v>569</v>
      </c>
      <c r="W123" s="37">
        <v>0.11990000000000001</v>
      </c>
      <c r="X123" s="37">
        <v>359.70000000000005</v>
      </c>
      <c r="Y123" s="36">
        <f>IFERROR(SUMIFS('BG Stock Log'!L:L,'BG Stock Log'!C:C,'BG Dashboard'!A137)/SUMIFS('BG Stock Log'!G:G,'BG Stock Log'!C:C,'BG Dashboard'!A137,'BG Stock Log'!F:F,"ADD"),"")</f>
        <v>5.785714285714285E-2</v>
      </c>
      <c r="Z123" s="36">
        <f t="shared" si="1"/>
        <v>329.964</v>
      </c>
      <c r="AA123" s="1" t="str" cm="1">
        <f t="array" ref="AA123">GetFilteredValues(A123)</f>
        <v>Mouser</v>
      </c>
    </row>
    <row r="124" spans="1:27" x14ac:dyDescent="0.25">
      <c r="A124" s="1" t="s">
        <v>81</v>
      </c>
      <c r="B124" s="1" t="s">
        <v>317</v>
      </c>
      <c r="C124" s="1" t="s">
        <v>772</v>
      </c>
      <c r="D124" s="8" t="s">
        <v>198</v>
      </c>
      <c r="E124" s="1" t="s">
        <v>175</v>
      </c>
      <c r="F124" s="1" t="s">
        <v>1364</v>
      </c>
      <c r="G124" s="5">
        <f>_xlfn.XLOOKUP(A124,'BG Stock Log'!C:C,'BG Stock Log'!H:H,,0,-1)</f>
        <v>3444</v>
      </c>
      <c r="H124" s="5"/>
      <c r="I124" s="1"/>
      <c r="J124" s="1">
        <v>5000</v>
      </c>
      <c r="K124" s="1">
        <f>SUMIFS('BG Stock Log'!G:G,'BG Stock Log'!C:C,'BG Dashboard'!A84,'BG Stock Log'!F:F,"ADD")</f>
        <v>4000</v>
      </c>
      <c r="L124" s="1">
        <f>_xlfn.XLOOKUP(A124,'New BG List'!A:A,'New BG List'!K:K,,0)</f>
        <v>36</v>
      </c>
      <c r="M124" s="1">
        <f>_xlfn.XLOOKUP(A124,'New BG List'!A:A,'New BG List'!J:J,0)</f>
        <v>1360</v>
      </c>
      <c r="N124" s="1"/>
      <c r="O124" s="1" t="str" cm="1">
        <f t="array" ref="O124">GetLastItem(AA124)</f>
        <v/>
      </c>
      <c r="P124" s="1" cm="1">
        <f t="array" ref="P124">IFERROR(INDEX(_xlfn._xlws.SORT(_xlfn._xlws.FILTER('BG Stock Log'!G:G, ('BG Stock Log'!C:C=A124) * ('BG Stock Log'!G:G&gt;0)), 1, -1), 1),"")</f>
        <v>2387</v>
      </c>
      <c r="Q124" s="1">
        <f>IFERROR(ROUND(AVERAGEIFS('BG Stock Log'!G:G,'BG Stock Log'!C:C,'BG Dashboard'!A84,'BG Stock Log'!F:F,"ADD"),0),"")</f>
        <v>4000</v>
      </c>
      <c r="R124" s="1" t="s">
        <v>511</v>
      </c>
      <c r="S124" s="1" t="s">
        <v>1016</v>
      </c>
      <c r="T124" s="37">
        <v>0.11</v>
      </c>
      <c r="U124" s="37">
        <v>550</v>
      </c>
      <c r="V124" s="1" t="s">
        <v>555</v>
      </c>
      <c r="W124" s="37">
        <v>3.9100000000000003E-2</v>
      </c>
      <c r="X124" s="37">
        <v>195.5</v>
      </c>
      <c r="Y124" s="36">
        <f>IFERROR(SUMIFS('BG Stock Log'!L:L,'BG Stock Log'!C:C,'BG Dashboard'!A84)/SUMIFS('BG Stock Log'!G:G,'BG Stock Log'!C:C,'BG Dashboard'!A84,'BG Stock Log'!F:F,"ADD"),"")</f>
        <v>2.3799999999999997E-3</v>
      </c>
      <c r="Z124" s="36">
        <f t="shared" si="1"/>
        <v>378.84</v>
      </c>
      <c r="AA124" s="1" t="str" cm="1">
        <f t="array" ref="AA124">GetFilteredValues(A124)</f>
        <v/>
      </c>
    </row>
    <row r="125" spans="1:27" x14ac:dyDescent="0.25">
      <c r="A125" s="1" t="s">
        <v>62</v>
      </c>
      <c r="B125" s="1" t="s">
        <v>354</v>
      </c>
      <c r="C125" s="1" t="s">
        <v>767</v>
      </c>
      <c r="D125" s="8" t="s">
        <v>178</v>
      </c>
      <c r="E125" s="1" t="s">
        <v>177</v>
      </c>
      <c r="F125" s="1" t="s">
        <v>1364</v>
      </c>
      <c r="G125" s="5">
        <f>_xlfn.XLOOKUP(A125,'BG Stock Log'!C:C,'BG Stock Log'!H:H,,0,-1)</f>
        <v>2505</v>
      </c>
      <c r="H125" s="5"/>
      <c r="I125" s="1"/>
      <c r="J125" s="1">
        <v>3000</v>
      </c>
      <c r="K125" s="1">
        <f>SUMIFS('BG Stock Log'!G:G,'BG Stock Log'!C:C,'BG Dashboard'!A65,'BG Stock Log'!F:F,"ADD")</f>
        <v>0</v>
      </c>
      <c r="L125" s="1">
        <f>_xlfn.XLOOKUP(A125,'New BG List'!A:A,'New BG List'!K:K,,0)</f>
        <v>54</v>
      </c>
      <c r="M125" s="1">
        <f>_xlfn.XLOOKUP(A125,'New BG List'!A:A,'New BG List'!J:J,0)</f>
        <v>1420</v>
      </c>
      <c r="N125" s="1"/>
      <c r="O125" s="1" t="str" cm="1">
        <f t="array" ref="O125">GetLastItem(AA125)</f>
        <v/>
      </c>
      <c r="P125" s="1" cm="1">
        <f t="array" ref="P125">IFERROR(INDEX(_xlfn._xlws.SORT(_xlfn._xlws.FILTER('BG Stock Log'!G:G, ('BG Stock Log'!C:C=A125) * ('BG Stock Log'!G:G&gt;0)), 1, -1), 1),"")</f>
        <v>2280</v>
      </c>
      <c r="Q125" s="1" t="str">
        <f>IFERROR(ROUND(AVERAGEIFS('BG Stock Log'!G:G,'BG Stock Log'!C:C,'BG Dashboard'!A65,'BG Stock Log'!F:F,"ADD"),0),"")</f>
        <v/>
      </c>
      <c r="R125" s="1" t="s">
        <v>1316</v>
      </c>
      <c r="S125" s="1" t="s">
        <v>1422</v>
      </c>
      <c r="T125" s="37">
        <v>8.4000000000000005E-2</v>
      </c>
      <c r="U125" s="37">
        <v>252.00000000000003</v>
      </c>
      <c r="V125" s="1" t="s">
        <v>579</v>
      </c>
      <c r="W125" s="37">
        <v>1.35E-2</v>
      </c>
      <c r="X125" s="37">
        <v>40.5</v>
      </c>
      <c r="Y125" s="36" t="str">
        <f>IFERROR(SUMIFS('BG Stock Log'!L:L,'BG Stock Log'!C:C,'BG Dashboard'!A65)/SUMIFS('BG Stock Log'!G:G,'BG Stock Log'!C:C,'BG Dashboard'!A65,'BG Stock Log'!F:F,"ADD"),"")</f>
        <v/>
      </c>
      <c r="Z125" s="36">
        <f t="shared" si="1"/>
        <v>210.42000000000002</v>
      </c>
      <c r="AA125" s="1" t="str" cm="1">
        <f t="array" ref="AA125">GetFilteredValues(A125)</f>
        <v/>
      </c>
    </row>
    <row r="126" spans="1:27" s="3" customFormat="1" x14ac:dyDescent="0.25">
      <c r="A126" s="1" t="s">
        <v>63</v>
      </c>
      <c r="B126" s="1" t="s">
        <v>355</v>
      </c>
      <c r="C126" s="1" t="s">
        <v>727</v>
      </c>
      <c r="D126" s="8" t="s">
        <v>180</v>
      </c>
      <c r="E126" s="1" t="s">
        <v>179</v>
      </c>
      <c r="F126" s="1" t="s">
        <v>1364</v>
      </c>
      <c r="G126" s="5">
        <f>_xlfn.XLOOKUP(A126,'BG Stock Log'!C:C,'BG Stock Log'!H:H,,0,-1)</f>
        <v>5</v>
      </c>
      <c r="H126" s="5"/>
      <c r="I126" s="1"/>
      <c r="J126" s="1">
        <v>3000</v>
      </c>
      <c r="K126" s="1">
        <f>SUMIFS('BG Stock Log'!G:G,'BG Stock Log'!C:C,'BG Dashboard'!A66,'BG Stock Log'!F:F,"ADD")</f>
        <v>0</v>
      </c>
      <c r="L126" s="1">
        <f>_xlfn.XLOOKUP(A126,'New BG List'!A:A,'New BG List'!K:K,,0)</f>
        <v>61</v>
      </c>
      <c r="M126" s="1">
        <f>_xlfn.XLOOKUP(A126,'New BG List'!A:A,'New BG List'!J:J,0)</f>
        <v>4436</v>
      </c>
      <c r="N126" s="1"/>
      <c r="O126" s="1" t="str" cm="1">
        <f t="array" ref="O126">GetLastItem(AA126)</f>
        <v>LCSC</v>
      </c>
      <c r="P126" s="1" cm="1">
        <f t="array" ref="P126">IFERROR(INDEX(_xlfn._xlws.SORT(_xlfn._xlws.FILTER('BG Stock Log'!G:G, ('BG Stock Log'!C:C=A126) * ('BG Stock Log'!G:G&gt;0)), 1, -1), 1),"")</f>
        <v>3000</v>
      </c>
      <c r="Q126" s="1" t="str">
        <f>IFERROR(ROUND(AVERAGEIFS('BG Stock Log'!G:G,'BG Stock Log'!C:C,'BG Dashboard'!A66,'BG Stock Log'!F:F,"ADD"),0),"")</f>
        <v/>
      </c>
      <c r="R126" s="1" t="s">
        <v>511</v>
      </c>
      <c r="S126" s="1" t="s">
        <v>1004</v>
      </c>
      <c r="T126" s="37">
        <v>7.1999999999999995E-2</v>
      </c>
      <c r="U126" s="37">
        <v>215.99999999999997</v>
      </c>
      <c r="V126" s="1" t="s">
        <v>580</v>
      </c>
      <c r="W126" s="37">
        <v>1.49E-2</v>
      </c>
      <c r="X126" s="37">
        <v>44.7</v>
      </c>
      <c r="Y126" s="36" t="str">
        <f>IFERROR(SUMIFS('BG Stock Log'!L:L,'BG Stock Log'!C:C,'BG Dashboard'!A66)/SUMIFS('BG Stock Log'!G:G,'BG Stock Log'!C:C,'BG Dashboard'!A66,'BG Stock Log'!F:F,"ADD"),"")</f>
        <v/>
      </c>
      <c r="Z126" s="36">
        <f t="shared" si="1"/>
        <v>0.36</v>
      </c>
      <c r="AA126" s="1" t="str" cm="1">
        <f t="array" ref="AA126">GetFilteredValues(A126)</f>
        <v>LCSC</v>
      </c>
    </row>
    <row r="127" spans="1:27" x14ac:dyDescent="0.25">
      <c r="A127" s="10" t="s">
        <v>341</v>
      </c>
      <c r="B127" s="1" t="s">
        <v>342</v>
      </c>
      <c r="C127" s="1" t="s">
        <v>710</v>
      </c>
      <c r="D127" s="8" t="s">
        <v>1153</v>
      </c>
      <c r="E127" s="1" t="s">
        <v>179</v>
      </c>
      <c r="F127" s="1" t="s">
        <v>1364</v>
      </c>
      <c r="G127" s="5">
        <f>_xlfn.XLOOKUP(A127,'BG Stock Log'!C:C,'BG Stock Log'!H:H,,0,-1)</f>
        <v>2853</v>
      </c>
      <c r="H127" s="5"/>
      <c r="I127" s="1"/>
      <c r="J127" s="1">
        <v>3000</v>
      </c>
      <c r="K127" s="1">
        <f>SUMIFS('BG Stock Log'!G:G,'BG Stock Log'!C:C,'BG Dashboard'!A154,'BG Stock Log'!F:F,"ADD")</f>
        <v>3000</v>
      </c>
      <c r="L127" s="1">
        <f>_xlfn.XLOOKUP(A127,'New BG List'!A:A,'New BG List'!K:K,,0)</f>
        <v>13</v>
      </c>
      <c r="M127" s="1">
        <f>_xlfn.XLOOKUP(A127,'New BG List'!A:A,'New BG List'!J:J,0)</f>
        <v>10657</v>
      </c>
      <c r="N127" s="1"/>
      <c r="O127" s="1" t="str" cm="1">
        <f t="array" ref="O127">GetLastItem(AA127)</f>
        <v>Digikey</v>
      </c>
      <c r="P127" s="1" cm="1">
        <f t="array" ref="P127">IFERROR(INDEX(_xlfn._xlws.SORT(_xlfn._xlws.FILTER('BG Stock Log'!G:G, ('BG Stock Log'!C:C=A127) * ('BG Stock Log'!G:G&gt;0)), 1, -1), 1),"")</f>
        <v>3000</v>
      </c>
      <c r="Q127" s="1">
        <f>IFERROR(ROUND(AVERAGEIFS('BG Stock Log'!G:G,'BG Stock Log'!C:C,'BG Dashboard'!A154,'BG Stock Log'!F:F,"ADD"),0),"")</f>
        <v>3000</v>
      </c>
      <c r="R127" s="1" t="s">
        <v>511</v>
      </c>
      <c r="S127" s="1" t="s">
        <v>1006</v>
      </c>
      <c r="T127" s="37">
        <v>7.4999999999999997E-2</v>
      </c>
      <c r="U127" s="37">
        <v>225</v>
      </c>
      <c r="V127" s="1" t="s">
        <v>570</v>
      </c>
      <c r="W127" s="37">
        <v>2.1499999999999998E-2</v>
      </c>
      <c r="X127" s="37">
        <v>64.5</v>
      </c>
      <c r="Y127" s="36">
        <f>IFERROR(SUMIFS('BG Stock Log'!L:L,'BG Stock Log'!C:C,'BG Dashboard'!A154)/SUMIFS('BG Stock Log'!G:G,'BG Stock Log'!C:C,'BG Dashboard'!A154,'BG Stock Log'!F:F,"ADD"),"")</f>
        <v>7.0419999999999996E-2</v>
      </c>
      <c r="Z127" s="36">
        <f t="shared" si="1"/>
        <v>213.97499999999999</v>
      </c>
      <c r="AA127" s="1" t="str" cm="1">
        <f t="array" ref="AA127">GetFilteredValues(A127)</f>
        <v>Ling, Mouser, Digikey</v>
      </c>
    </row>
    <row r="128" spans="1:27" x14ac:dyDescent="0.25">
      <c r="A128" s="1" t="s">
        <v>64</v>
      </c>
      <c r="B128" s="1" t="s">
        <v>356</v>
      </c>
      <c r="C128" s="1" t="s">
        <v>771</v>
      </c>
      <c r="D128" s="8" t="s">
        <v>181</v>
      </c>
      <c r="E128" s="1" t="s">
        <v>173</v>
      </c>
      <c r="F128" s="1" t="s">
        <v>1364</v>
      </c>
      <c r="G128" s="5">
        <f>_xlfn.XLOOKUP(A128,'BG Stock Log'!C:C,'BG Stock Log'!H:H,,0,-1)</f>
        <v>3519</v>
      </c>
      <c r="H128" s="5"/>
      <c r="I128" s="1"/>
      <c r="J128" s="1">
        <v>3000</v>
      </c>
      <c r="K128" s="1">
        <f>SUMIFS('BG Stock Log'!G:G,'BG Stock Log'!C:C,'BG Dashboard'!A67,'BG Stock Log'!F:F,"ADD")</f>
        <v>0</v>
      </c>
      <c r="L128" s="1">
        <f>_xlfn.XLOOKUP(A128,'New BG List'!A:A,'New BG List'!K:K,,0)</f>
        <v>23</v>
      </c>
      <c r="M128" s="1">
        <f>_xlfn.XLOOKUP(A128,'New BG List'!A:A,'New BG List'!J:J,0)</f>
        <v>1368</v>
      </c>
      <c r="N128" s="1"/>
      <c r="O128" s="1" t="str" cm="1">
        <f t="array" ref="O128">GetLastItem(AA128)</f>
        <v/>
      </c>
      <c r="P128" s="1" cm="1">
        <f t="array" ref="P128">IFERROR(INDEX(_xlfn._xlws.SORT(_xlfn._xlws.FILTER('BG Stock Log'!G:G, ('BG Stock Log'!C:C=A128) * ('BG Stock Log'!G:G&gt;0)), 1, -1), 1),"")</f>
        <v>1985</v>
      </c>
      <c r="Q128" s="1" t="str">
        <f>IFERROR(ROUND(AVERAGEIFS('BG Stock Log'!G:G,'BG Stock Log'!C:C,'BG Dashboard'!A67,'BG Stock Log'!F:F,"ADD"),0),"")</f>
        <v/>
      </c>
      <c r="R128" s="1" t="s">
        <v>511</v>
      </c>
      <c r="S128" s="1" t="s">
        <v>1034</v>
      </c>
      <c r="T128" s="37">
        <v>2.1000000000000001E-2</v>
      </c>
      <c r="U128" s="37">
        <v>63.000000000000007</v>
      </c>
      <c r="V128" s="1" t="s">
        <v>581</v>
      </c>
      <c r="W128" s="37">
        <v>1.1299999999999999E-2</v>
      </c>
      <c r="X128" s="37">
        <v>33.9</v>
      </c>
      <c r="Y128" s="36" t="str">
        <f>IFERROR(SUMIFS('BG Stock Log'!L:L,'BG Stock Log'!C:C,'BG Dashboard'!A67)/SUMIFS('BG Stock Log'!G:G,'BG Stock Log'!C:C,'BG Dashboard'!A67,'BG Stock Log'!F:F,"ADD"),"")</f>
        <v/>
      </c>
      <c r="Z128" s="36">
        <f t="shared" si="1"/>
        <v>73.899000000000001</v>
      </c>
      <c r="AA128" s="1" t="str" cm="1">
        <f t="array" ref="AA128">GetFilteredValues(A128)</f>
        <v/>
      </c>
    </row>
    <row r="129" spans="1:27" x14ac:dyDescent="0.25">
      <c r="A129" s="1" t="s">
        <v>82</v>
      </c>
      <c r="B129" s="1" t="s">
        <v>318</v>
      </c>
      <c r="C129" s="1" t="s">
        <v>760</v>
      </c>
      <c r="D129" s="8" t="s">
        <v>199</v>
      </c>
      <c r="E129" s="1" t="s">
        <v>173</v>
      </c>
      <c r="F129" s="1" t="s">
        <v>1364</v>
      </c>
      <c r="G129" s="5">
        <f>_xlfn.XLOOKUP(A129,'BG Stock Log'!C:C,'BG Stock Log'!H:H,,0,-1)</f>
        <v>9869</v>
      </c>
      <c r="H129" s="5"/>
      <c r="I129" s="1"/>
      <c r="J129" s="1">
        <v>3000</v>
      </c>
      <c r="K129" s="1">
        <f>SUMIFS('BG Stock Log'!G:G,'BG Stock Log'!C:C,'BG Dashboard'!A85,'BG Stock Log'!F:F,"ADD")</f>
        <v>1964</v>
      </c>
      <c r="L129" s="1">
        <f>_xlfn.XLOOKUP(A129,'New BG List'!A:A,'New BG List'!K:K,,0)</f>
        <v>41</v>
      </c>
      <c r="M129" s="1">
        <f>_xlfn.XLOOKUP(A129,'New BG List'!A:A,'New BG List'!J:J,0)</f>
        <v>1609</v>
      </c>
      <c r="N129" s="1"/>
      <c r="O129" s="1" t="str" cm="1">
        <f t="array" ref="O129">GetLastItem(AA129)</f>
        <v>LCSC</v>
      </c>
      <c r="P129" s="1" cm="1">
        <f t="array" ref="P129">IFERROR(INDEX(_xlfn._xlws.SORT(_xlfn._xlws.FILTER('BG Stock Log'!G:G, ('BG Stock Log'!C:C=A129) * ('BG Stock Log'!G:G&gt;0)), 1, -1), 1),"")</f>
        <v>21000</v>
      </c>
      <c r="Q129" s="1">
        <f>IFERROR(ROUND(AVERAGEIFS('BG Stock Log'!G:G,'BG Stock Log'!C:C,'BG Dashboard'!A85,'BG Stock Log'!F:F,"ADD"),0),"")</f>
        <v>1964</v>
      </c>
      <c r="R129" s="1" t="s">
        <v>511</v>
      </c>
      <c r="S129" s="1" t="s">
        <v>1023</v>
      </c>
      <c r="T129" s="37">
        <v>2.4E-2</v>
      </c>
      <c r="U129" s="37">
        <v>72</v>
      </c>
      <c r="V129" s="1" t="s">
        <v>556</v>
      </c>
      <c r="W129" s="37">
        <v>9.7999999999999997E-3</v>
      </c>
      <c r="X129" s="37">
        <v>29.4</v>
      </c>
      <c r="Y129" s="36">
        <f>IFERROR(SUMIFS('BG Stock Log'!L:L,'BG Stock Log'!C:C,'BG Dashboard'!A85)/SUMIFS('BG Stock Log'!G:G,'BG Stock Log'!C:C,'BG Dashboard'!A85,'BG Stock Log'!F:F,"ADD"),"")</f>
        <v>0</v>
      </c>
      <c r="Z129" s="36">
        <f t="shared" si="1"/>
        <v>236.85599999999999</v>
      </c>
      <c r="AA129" s="1" t="str" cm="1">
        <f t="array" ref="AA129">GetFilteredValues(A129)</f>
        <v>LCSC, LCSC</v>
      </c>
    </row>
    <row r="130" spans="1:27" x14ac:dyDescent="0.25">
      <c r="A130" s="1" t="s">
        <v>65</v>
      </c>
      <c r="B130" s="1" t="s">
        <v>347</v>
      </c>
      <c r="C130" s="1" t="s">
        <v>837</v>
      </c>
      <c r="D130" s="8" t="s">
        <v>182</v>
      </c>
      <c r="E130" s="1" t="s">
        <v>175</v>
      </c>
      <c r="F130" s="1" t="s">
        <v>1364</v>
      </c>
      <c r="G130" s="5">
        <f>_xlfn.XLOOKUP(A130,'BG Stock Log'!C:C,'BG Stock Log'!H:H,,0,-1)</f>
        <v>2218</v>
      </c>
      <c r="H130" s="5"/>
      <c r="I130" s="1"/>
      <c r="J130" s="1">
        <v>3000</v>
      </c>
      <c r="K130" s="1">
        <f>SUMIFS('BG Stock Log'!G:G,'BG Stock Log'!C:C,'BG Dashboard'!A68,'BG Stock Log'!F:F,"ADD")</f>
        <v>0</v>
      </c>
      <c r="L130" s="1">
        <f>_xlfn.XLOOKUP(A130,'New BG List'!A:A,'New BG List'!K:K,,0)</f>
        <v>5</v>
      </c>
      <c r="M130" s="1">
        <f>_xlfn.XLOOKUP(A130,'New BG List'!A:A,'New BG List'!J:J,0)</f>
        <v>289</v>
      </c>
      <c r="N130" s="1"/>
      <c r="O130" s="1" t="str" cm="1">
        <f t="array" ref="O130">GetLastItem(AA130)</f>
        <v/>
      </c>
      <c r="P130" s="1" t="str" cm="1">
        <f t="array" ref="P130">IFERROR(INDEX(_xlfn._xlws.SORT(_xlfn._xlws.FILTER('BG Stock Log'!G:G, ('BG Stock Log'!C:C=A130) * ('BG Stock Log'!G:G&gt;0)), 1, -1), 1),"")</f>
        <v/>
      </c>
      <c r="Q130" s="1" t="str">
        <f>IFERROR(ROUND(AVERAGEIFS('BG Stock Log'!G:G,'BG Stock Log'!C:C,'BG Dashboard'!A68,'BG Stock Log'!F:F,"ADD"),0),"")</f>
        <v/>
      </c>
      <c r="R130" s="1" t="s">
        <v>511</v>
      </c>
      <c r="S130" s="1" t="s">
        <v>1019</v>
      </c>
      <c r="T130" s="37">
        <v>2.5000000000000001E-2</v>
      </c>
      <c r="U130" s="37">
        <v>75</v>
      </c>
      <c r="V130" s="1" t="s">
        <v>573</v>
      </c>
      <c r="W130" s="37">
        <v>1.9300000000000001E-2</v>
      </c>
      <c r="X130" s="37">
        <v>57.900000000000006</v>
      </c>
      <c r="Y130" s="36" t="str">
        <f>IFERROR(SUMIFS('BG Stock Log'!L:L,'BG Stock Log'!C:C,'BG Dashboard'!A68)/SUMIFS('BG Stock Log'!G:G,'BG Stock Log'!C:C,'BG Dashboard'!A68,'BG Stock Log'!F:F,"ADD"),"")</f>
        <v/>
      </c>
      <c r="Z130" s="36">
        <f t="shared" si="1"/>
        <v>55.45</v>
      </c>
      <c r="AA130" s="1" t="str" cm="1">
        <f t="array" ref="AA130">GetFilteredValues(A130)</f>
        <v/>
      </c>
    </row>
    <row r="131" spans="1:27" x14ac:dyDescent="0.25">
      <c r="A131" s="1" t="s">
        <v>83</v>
      </c>
      <c r="B131" s="1" t="s">
        <v>349</v>
      </c>
      <c r="C131" s="1" t="s">
        <v>868</v>
      </c>
      <c r="D131" s="8" t="s">
        <v>200</v>
      </c>
      <c r="E131" s="1" t="s">
        <v>175</v>
      </c>
      <c r="F131" s="1" t="s">
        <v>1364</v>
      </c>
      <c r="G131" s="5">
        <f>_xlfn.XLOOKUP(A131,'BG Stock Log'!C:C,'BG Stock Log'!H:H,,0,-1)</f>
        <v>2900</v>
      </c>
      <c r="H131" s="5"/>
      <c r="I131" s="1"/>
      <c r="J131" s="1">
        <v>3000</v>
      </c>
      <c r="K131" s="1">
        <f>SUMIFS('BG Stock Log'!G:G,'BG Stock Log'!C:C,'BG Dashboard'!A86,'BG Stock Log'!F:F,"ADD")</f>
        <v>12000</v>
      </c>
      <c r="L131" s="1">
        <f>_xlfn.XLOOKUP(A131,'New BG List'!A:A,'New BG List'!K:K,,0)</f>
        <v>1</v>
      </c>
      <c r="M131" s="1">
        <f>_xlfn.XLOOKUP(A131,'New BG List'!A:A,'New BG List'!J:J,0)</f>
        <v>70</v>
      </c>
      <c r="N131" s="1"/>
      <c r="O131" s="1" t="str" cm="1">
        <f t="array" ref="O131">GetLastItem(AA131)</f>
        <v/>
      </c>
      <c r="P131" s="1" t="str" cm="1">
        <f t="array" ref="P131">IFERROR(INDEX(_xlfn._xlws.SORT(_xlfn._xlws.FILTER('BG Stock Log'!G:G, ('BG Stock Log'!C:C=A131) * ('BG Stock Log'!G:G&gt;0)), 1, -1), 1),"")</f>
        <v/>
      </c>
      <c r="Q131" s="1">
        <f>IFERROR(ROUND(AVERAGEIFS('BG Stock Log'!G:G,'BG Stock Log'!C:C,'BG Dashboard'!A86,'BG Stock Log'!F:F,"ADD"),0),"")</f>
        <v>12000</v>
      </c>
      <c r="R131" s="1" t="s">
        <v>511</v>
      </c>
      <c r="S131" s="1" t="s">
        <v>1020</v>
      </c>
      <c r="T131" s="37">
        <v>3.4000000000000002E-2</v>
      </c>
      <c r="U131" s="37">
        <v>102.00000000000001</v>
      </c>
      <c r="V131" s="1" t="s">
        <v>575</v>
      </c>
      <c r="W131" s="37">
        <v>1.7299999999999999E-2</v>
      </c>
      <c r="X131" s="37">
        <v>51.9</v>
      </c>
      <c r="Y131" s="36">
        <f>IFERROR(SUMIFS('BG Stock Log'!L:L,'BG Stock Log'!C:C,'BG Dashboard'!A86)/SUMIFS('BG Stock Log'!G:G,'BG Stock Log'!C:C,'BG Dashboard'!A86,'BG Stock Log'!F:F,"ADD"),"")</f>
        <v>0</v>
      </c>
      <c r="Z131" s="36">
        <f t="shared" si="1"/>
        <v>98.600000000000009</v>
      </c>
      <c r="AA131" s="1" t="str" cm="1">
        <f t="array" ref="AA131">GetFilteredValues(A131)</f>
        <v/>
      </c>
    </row>
    <row r="132" spans="1:27" x14ac:dyDescent="0.25">
      <c r="A132" s="1" t="s">
        <v>84</v>
      </c>
      <c r="B132" s="1" t="s">
        <v>319</v>
      </c>
      <c r="C132" s="1" t="s">
        <v>840</v>
      </c>
      <c r="D132" s="8" t="s">
        <v>201</v>
      </c>
      <c r="E132" s="1" t="s">
        <v>119</v>
      </c>
      <c r="F132" s="1" t="s">
        <v>1364</v>
      </c>
      <c r="G132" s="5">
        <f>_xlfn.XLOOKUP(A132,'BG Stock Log'!C:C,'BG Stock Log'!H:H,,0,-1)</f>
        <v>1674</v>
      </c>
      <c r="H132" s="5"/>
      <c r="I132" s="1"/>
      <c r="J132" s="1">
        <v>3000</v>
      </c>
      <c r="K132" s="1">
        <f>SUMIFS('BG Stock Log'!G:G,'BG Stock Log'!C:C,'BG Dashboard'!A87,'BG Stock Log'!F:F,"ADD")</f>
        <v>136188</v>
      </c>
      <c r="L132" s="1">
        <f>_xlfn.XLOOKUP(A132,'New BG List'!A:A,'New BG List'!K:K,,0)</f>
        <v>25</v>
      </c>
      <c r="M132" s="1">
        <f>_xlfn.XLOOKUP(A132,'New BG List'!A:A,'New BG List'!J:J,0)</f>
        <v>277</v>
      </c>
      <c r="N132" s="1"/>
      <c r="O132" s="1" t="str" cm="1">
        <f t="array" ref="O132">GetLastItem(AA132)</f>
        <v/>
      </c>
      <c r="P132" s="1" t="str" cm="1">
        <f t="array" ref="P132">IFERROR(INDEX(_xlfn._xlws.SORT(_xlfn._xlws.FILTER('BG Stock Log'!G:G, ('BG Stock Log'!C:C=A132) * ('BG Stock Log'!G:G&gt;0)), 1, -1), 1),"")</f>
        <v/>
      </c>
      <c r="Q132" s="1">
        <f>IFERROR(ROUND(AVERAGEIFS('BG Stock Log'!G:G,'BG Stock Log'!C:C,'BG Dashboard'!A87,'BG Stock Log'!F:F,"ADD"),0),"")</f>
        <v>15132</v>
      </c>
      <c r="R132" s="1" t="s">
        <v>511</v>
      </c>
      <c r="S132" s="1" t="s">
        <v>1024</v>
      </c>
      <c r="T132" s="37">
        <v>0.06</v>
      </c>
      <c r="U132" s="37">
        <v>180</v>
      </c>
      <c r="V132" s="1" t="s">
        <v>557</v>
      </c>
      <c r="W132" s="37">
        <v>1.3299999999999999E-2</v>
      </c>
      <c r="X132" s="37">
        <v>39.9</v>
      </c>
      <c r="Y132" s="36">
        <f>IFERROR(SUMIFS('BG Stock Log'!L:L,'BG Stock Log'!C:C,'BG Dashboard'!A87)/SUMIFS('BG Stock Log'!G:G,'BG Stock Log'!C:C,'BG Dashboard'!A87,'BG Stock Log'!F:F,"ADD"),"")</f>
        <v>2.6745381384556638E-3</v>
      </c>
      <c r="Z132" s="36">
        <f t="shared" si="1"/>
        <v>100.44</v>
      </c>
      <c r="AA132" s="1" t="str" cm="1">
        <f t="array" ref="AA132">GetFilteredValues(A132)</f>
        <v/>
      </c>
    </row>
    <row r="133" spans="1:27" x14ac:dyDescent="0.25">
      <c r="A133" s="10" t="s">
        <v>330</v>
      </c>
      <c r="B133" s="1" t="s">
        <v>331</v>
      </c>
      <c r="C133" s="1" t="s">
        <v>719</v>
      </c>
      <c r="D133" s="8" t="s">
        <v>1157</v>
      </c>
      <c r="E133" s="1" t="s">
        <v>175</v>
      </c>
      <c r="F133" s="1" t="s">
        <v>1364</v>
      </c>
      <c r="G133" s="5">
        <f>_xlfn.XLOOKUP(A133,'BG Stock Log'!C:C,'BG Stock Log'!H:H,,0,-1)</f>
        <v>373</v>
      </c>
      <c r="H133" s="5"/>
      <c r="I133" s="1"/>
      <c r="J133" s="1">
        <v>3000</v>
      </c>
      <c r="K133" s="1">
        <f>SUMIFS('BG Stock Log'!G:G,'BG Stock Log'!C:C,'BG Dashboard'!A158,'BG Stock Log'!F:F,"ADD")</f>
        <v>4000</v>
      </c>
      <c r="L133" s="1">
        <f>_xlfn.XLOOKUP(A133,'New BG List'!A:A,'New BG List'!K:K,,0)</f>
        <v>20</v>
      </c>
      <c r="M133" s="1">
        <f>_xlfn.XLOOKUP(A133,'New BG List'!A:A,'New BG List'!J:J,0)</f>
        <v>5336</v>
      </c>
      <c r="N133" s="1"/>
      <c r="O133" s="1" t="str" cm="1">
        <f t="array" ref="O133">GetLastItem(AA133)</f>
        <v>Ling</v>
      </c>
      <c r="P133" s="1" cm="1">
        <f t="array" ref="P133">IFERROR(INDEX(_xlfn._xlws.SORT(_xlfn._xlws.FILTER('BG Stock Log'!G:G, ('BG Stock Log'!C:C=A133) * ('BG Stock Log'!G:G&gt;0)), 1, -1), 1),"")</f>
        <v>6000</v>
      </c>
      <c r="Q133" s="1">
        <f>IFERROR(ROUND(AVERAGEIFS('BG Stock Log'!G:G,'BG Stock Log'!C:C,'BG Dashboard'!A158,'BG Stock Log'!F:F,"ADD"),0),"")</f>
        <v>4000</v>
      </c>
      <c r="R133" s="1" t="s">
        <v>511</v>
      </c>
      <c r="S133" s="1" t="s">
        <v>1018</v>
      </c>
      <c r="T133" s="37">
        <v>3.4000000000000002E-2</v>
      </c>
      <c r="U133" s="37">
        <v>102.00000000000001</v>
      </c>
      <c r="V133" s="1" t="s">
        <v>1443</v>
      </c>
      <c r="W133" s="37">
        <v>1.9199999999999998E-2</v>
      </c>
      <c r="X133" s="37">
        <v>57.599999999999994</v>
      </c>
      <c r="Y133" s="36">
        <f>IFERROR(SUMIFS('BG Stock Log'!L:L,'BG Stock Log'!C:C,'BG Dashboard'!A158)/SUMIFS('BG Stock Log'!G:G,'BG Stock Log'!C:C,'BG Dashboard'!A158,'BG Stock Log'!F:F,"ADD"),"")</f>
        <v>6.0199999999999993E-3</v>
      </c>
      <c r="Z133" s="36">
        <f t="shared" si="1"/>
        <v>12.682</v>
      </c>
      <c r="AA133" s="1" t="str" cm="1">
        <f t="array" ref="AA133">GetFilteredValues(A133)</f>
        <v>LCSC, Ling</v>
      </c>
    </row>
    <row r="134" spans="1:27" x14ac:dyDescent="0.25">
      <c r="A134" s="1" t="s">
        <v>85</v>
      </c>
      <c r="B134" s="1" t="s">
        <v>320</v>
      </c>
      <c r="C134" s="1" t="s">
        <v>846</v>
      </c>
      <c r="D134" s="8" t="s">
        <v>202</v>
      </c>
      <c r="E134" s="1" t="s">
        <v>183</v>
      </c>
      <c r="F134" s="1" t="s">
        <v>1364</v>
      </c>
      <c r="G134" s="5">
        <f>_xlfn.XLOOKUP(A134,'BG Stock Log'!C:C,'BG Stock Log'!H:H,,0,-1)</f>
        <v>3950</v>
      </c>
      <c r="H134" s="5"/>
      <c r="I134" s="1"/>
      <c r="J134" s="1">
        <v>3000</v>
      </c>
      <c r="K134" s="1">
        <f>SUMIFS('BG Stock Log'!G:G,'BG Stock Log'!C:C,'BG Dashboard'!A88,'BG Stock Log'!F:F,"ADD")</f>
        <v>1900</v>
      </c>
      <c r="L134" s="1">
        <f>_xlfn.XLOOKUP(A134,'New BG List'!A:A,'New BG List'!K:K,,0)</f>
        <v>13</v>
      </c>
      <c r="M134" s="1">
        <f>_xlfn.XLOOKUP(A134,'New BG List'!A:A,'New BG List'!J:J,0)</f>
        <v>221</v>
      </c>
      <c r="N134" s="1"/>
      <c r="O134" s="1" t="str" cm="1">
        <f t="array" ref="O134">GetLastItem(AA134)</f>
        <v/>
      </c>
      <c r="P134" s="1" cm="1">
        <f t="array" ref="P134">IFERROR(INDEX(_xlfn._xlws.SORT(_xlfn._xlws.FILTER('BG Stock Log'!G:G, ('BG Stock Log'!C:C=A134) * ('BG Stock Log'!G:G&gt;0)), 1, -1), 1),"")</f>
        <v>2500</v>
      </c>
      <c r="Q134" s="1">
        <f>IFERROR(ROUND(AVERAGEIFS('BG Stock Log'!G:G,'BG Stock Log'!C:C,'BG Dashboard'!A88,'BG Stock Log'!F:F,"ADD"),0),"")</f>
        <v>1900</v>
      </c>
      <c r="R134" s="1" t="s">
        <v>1316</v>
      </c>
      <c r="S134" s="1" t="s">
        <v>1424</v>
      </c>
      <c r="T134" s="37">
        <v>3.1E-2</v>
      </c>
      <c r="U134" s="37">
        <v>93</v>
      </c>
      <c r="V134" s="1" t="s">
        <v>558</v>
      </c>
      <c r="W134" s="37">
        <v>1.4500000000000001E-2</v>
      </c>
      <c r="X134" s="37">
        <v>43.5</v>
      </c>
      <c r="Y134" s="36">
        <f>IFERROR(SUMIFS('BG Stock Log'!L:L,'BG Stock Log'!C:C,'BG Dashboard'!A88)/SUMIFS('BG Stock Log'!G:G,'BG Stock Log'!C:C,'BG Dashboard'!A88,'BG Stock Log'!F:F,"ADD"),"")</f>
        <v>0</v>
      </c>
      <c r="Z134" s="36">
        <f t="shared" si="1"/>
        <v>122.45</v>
      </c>
      <c r="AA134" s="1" t="str" cm="1">
        <f t="array" ref="AA134">GetFilteredValues(A134)</f>
        <v/>
      </c>
    </row>
    <row r="135" spans="1:27" x14ac:dyDescent="0.25">
      <c r="A135" s="1" t="s">
        <v>66</v>
      </c>
      <c r="B135" s="1" t="s">
        <v>357</v>
      </c>
      <c r="C135" s="1" t="s">
        <v>733</v>
      </c>
      <c r="D135" s="8" t="s">
        <v>1213</v>
      </c>
      <c r="E135" s="1" t="s">
        <v>175</v>
      </c>
      <c r="F135" s="1" t="s">
        <v>1364</v>
      </c>
      <c r="G135" s="5">
        <f>_xlfn.XLOOKUP(A135,'BG Stock Log'!C:C,'BG Stock Log'!H:H,,0,-1)</f>
        <v>1535</v>
      </c>
      <c r="H135" s="5"/>
      <c r="I135" s="1"/>
      <c r="J135" s="1">
        <v>3000</v>
      </c>
      <c r="K135" s="1">
        <f>SUMIFS('BG Stock Log'!G:G,'BG Stock Log'!C:C,'BG Dashboard'!A69,'BG Stock Log'!F:F,"ADD")</f>
        <v>0</v>
      </c>
      <c r="L135" s="1">
        <f>_xlfn.XLOOKUP(A135,'New BG List'!A:A,'New BG List'!K:K,,0)</f>
        <v>38</v>
      </c>
      <c r="M135" s="1">
        <f>_xlfn.XLOOKUP(A135,'New BG List'!A:A,'New BG List'!J:J,0)</f>
        <v>3516</v>
      </c>
      <c r="N135" s="1"/>
      <c r="O135" s="1" t="str" cm="1">
        <f t="array" ref="O135">GetLastItem(AA135)</f>
        <v>LCSC</v>
      </c>
      <c r="P135" s="1" cm="1">
        <f t="array" ref="P135">IFERROR(INDEX(_xlfn._xlws.SORT(_xlfn._xlws.FILTER('BG Stock Log'!G:G, ('BG Stock Log'!C:C=A135) * ('BG Stock Log'!G:G&gt;0)), 1, -1), 1),"")</f>
        <v>6000</v>
      </c>
      <c r="Q135" s="1" t="str">
        <f>IFERROR(ROUND(AVERAGEIFS('BG Stock Log'!G:G,'BG Stock Log'!C:C,'BG Dashboard'!A69,'BG Stock Log'!F:F,"ADD"),0),"")</f>
        <v/>
      </c>
      <c r="R135" s="1" t="s">
        <v>511</v>
      </c>
      <c r="S135" s="1" t="s">
        <v>1027</v>
      </c>
      <c r="T135" s="37">
        <v>6.6000000000000003E-2</v>
      </c>
      <c r="U135" s="37">
        <v>198</v>
      </c>
      <c r="V135" s="1" t="s">
        <v>582</v>
      </c>
      <c r="W135" s="37">
        <v>1.7999999999999999E-2</v>
      </c>
      <c r="X135" s="37">
        <v>53.999999999999993</v>
      </c>
      <c r="Y135" s="36" t="str">
        <f>IFERROR(SUMIFS('BG Stock Log'!L:L,'BG Stock Log'!C:C,'BG Dashboard'!A69)/SUMIFS('BG Stock Log'!G:G,'BG Stock Log'!C:C,'BG Dashboard'!A69,'BG Stock Log'!F:F,"ADD"),"")</f>
        <v/>
      </c>
      <c r="Z135" s="36">
        <f t="shared" si="1"/>
        <v>101.31</v>
      </c>
      <c r="AA135" s="1" t="str" cm="1">
        <f t="array" ref="AA135">GetFilteredValues(A135)</f>
        <v>LCSC</v>
      </c>
    </row>
    <row r="136" spans="1:27" x14ac:dyDescent="0.25">
      <c r="A136" s="10" t="s">
        <v>345</v>
      </c>
      <c r="B136" s="1" t="s">
        <v>346</v>
      </c>
      <c r="C136" s="1" t="s">
        <v>876</v>
      </c>
      <c r="D136" s="8" t="s">
        <v>1158</v>
      </c>
      <c r="E136" s="1" t="s">
        <v>183</v>
      </c>
      <c r="F136" s="1" t="s">
        <v>1364</v>
      </c>
      <c r="G136" s="5">
        <f>_xlfn.XLOOKUP(A136,'BG Stock Log'!C:C,'BG Stock Log'!H:H,,0,-1)</f>
        <v>2975</v>
      </c>
      <c r="H136" s="5"/>
      <c r="I136" s="1"/>
      <c r="J136" s="1">
        <v>3000</v>
      </c>
      <c r="K136" s="1">
        <f>SUMIFS('BG Stock Log'!G:G,'BG Stock Log'!C:C,'BG Dashboard'!A164,'BG Stock Log'!F:F,"ADD")</f>
        <v>10000</v>
      </c>
      <c r="L136" s="1">
        <f>_xlfn.XLOOKUP(A136,'New BG List'!A:A,'New BG List'!K:K,,0)</f>
        <v>12</v>
      </c>
      <c r="M136" s="1">
        <f>_xlfn.XLOOKUP(A136,'New BG List'!A:A,'New BG List'!J:J,0)</f>
        <v>35</v>
      </c>
      <c r="N136" s="1"/>
      <c r="O136" s="1" t="str" cm="1">
        <f t="array" ref="O136">GetLastItem(AA136)</f>
        <v>Ling</v>
      </c>
      <c r="P136" s="1" cm="1">
        <f t="array" ref="P136">IFERROR(INDEX(_xlfn._xlws.SORT(_xlfn._xlws.FILTER('BG Stock Log'!G:G, ('BG Stock Log'!C:C=A136) * ('BG Stock Log'!G:G&gt;0)), 1, -1), 1),"")</f>
        <v>3000</v>
      </c>
      <c r="Q136" s="1">
        <f>IFERROR(ROUND(AVERAGEIFS('BG Stock Log'!G:G,'BG Stock Log'!C:C,'BG Dashboard'!A164,'BG Stock Log'!F:F,"ADD"),0),"")</f>
        <v>10000</v>
      </c>
      <c r="R136" s="1" t="s">
        <v>1316</v>
      </c>
      <c r="S136" s="1" t="s">
        <v>1445</v>
      </c>
      <c r="T136" s="37">
        <v>0.05</v>
      </c>
      <c r="U136" s="37">
        <v>150</v>
      </c>
      <c r="V136" s="1" t="s">
        <v>572</v>
      </c>
      <c r="W136" s="37">
        <v>0.1113</v>
      </c>
      <c r="X136" s="37">
        <v>333.9</v>
      </c>
      <c r="Y136" s="36">
        <f>IFERROR(SUMIFS('BG Stock Log'!L:L,'BG Stock Log'!C:C,'BG Dashboard'!A164)/SUMIFS('BG Stock Log'!G:G,'BG Stock Log'!C:C,'BG Dashboard'!A164,'BG Stock Log'!F:F,"ADD"),"")</f>
        <v>9.7999999999999997E-4</v>
      </c>
      <c r="Z136" s="36">
        <f t="shared" si="1"/>
        <v>148.75</v>
      </c>
      <c r="AA136" s="1" t="str" cm="1">
        <f t="array" ref="AA136">GetFilteredValues(A136)</f>
        <v>Ling</v>
      </c>
    </row>
    <row r="137" spans="1:27" x14ac:dyDescent="0.25">
      <c r="A137" s="1" t="s">
        <v>322</v>
      </c>
      <c r="B137" s="1" t="s">
        <v>323</v>
      </c>
      <c r="C137" s="1" t="s">
        <v>737</v>
      </c>
      <c r="D137" s="8" t="s">
        <v>1186</v>
      </c>
      <c r="E137" s="1" t="s">
        <v>1187</v>
      </c>
      <c r="F137" s="1" t="s">
        <v>1364</v>
      </c>
      <c r="G137" s="5">
        <f>_xlfn.XLOOKUP(A137,'BG Stock Log'!C:C,'BG Stock Log'!H:H,,0,-1)</f>
        <v>2160</v>
      </c>
      <c r="H137" s="5"/>
      <c r="I137" s="1"/>
      <c r="J137" s="1">
        <v>750</v>
      </c>
      <c r="K137" s="1">
        <f>SUMIFS('BG Stock Log'!G:G,'BG Stock Log'!C:C,'BG Dashboard'!A135,'BG Stock Log'!F:F,"ADD")</f>
        <v>7173</v>
      </c>
      <c r="L137" s="1">
        <f>_xlfn.XLOOKUP(A137,'New BG List'!A:A,'New BG List'!K:K,,0)</f>
        <v>42</v>
      </c>
      <c r="M137" s="1">
        <f>_xlfn.XLOOKUP(A137,'New BG List'!A:A,'New BG List'!J:J,0)</f>
        <v>2625</v>
      </c>
      <c r="N137" s="1"/>
      <c r="O137" s="1" t="str" cm="1">
        <f t="array" ref="O137">GetLastItem(AA137)</f>
        <v>LCSC</v>
      </c>
      <c r="P137" s="1" cm="1">
        <f t="array" ref="P137">IFERROR(INDEX(_xlfn._xlws.SORT(_xlfn._xlws.FILTER('BG Stock Log'!G:G, ('BG Stock Log'!C:C=A137) * ('BG Stock Log'!G:G&gt;0)), 1, -1), 1),"")</f>
        <v>3000</v>
      </c>
      <c r="Q137" s="1">
        <f>IFERROR(ROUND(AVERAGEIFS('BG Stock Log'!G:G,'BG Stock Log'!C:C,'BG Dashboard'!A135,'BG Stock Log'!F:F,"ADD"),0),"")</f>
        <v>3587</v>
      </c>
      <c r="R137" s="1" t="s">
        <v>1316</v>
      </c>
      <c r="S137" s="1" t="s">
        <v>1441</v>
      </c>
      <c r="T137" s="37">
        <v>0.188</v>
      </c>
      <c r="U137" s="37">
        <v>141</v>
      </c>
      <c r="V137" s="1" t="s">
        <v>560</v>
      </c>
      <c r="W137" s="37">
        <v>7.4200000000000002E-2</v>
      </c>
      <c r="X137" s="37">
        <v>55.65</v>
      </c>
      <c r="Y137" s="36">
        <f>IFERROR(SUMIFS('BG Stock Log'!L:L,'BG Stock Log'!C:C,'BG Dashboard'!A135)/SUMIFS('BG Stock Log'!G:G,'BG Stock Log'!C:C,'BG Dashboard'!A135,'BG Stock Log'!F:F,"ADD"),"")</f>
        <v>1.8971141781681303E-2</v>
      </c>
      <c r="Z137" s="36">
        <f t="shared" ref="Z137:Z143" si="2">IFERROR(T137*G137,"")</f>
        <v>406.08</v>
      </c>
      <c r="AA137" s="1" t="str" cm="1">
        <f t="array" ref="AA137">GetFilteredValues(A137)</f>
        <v>LCSC</v>
      </c>
    </row>
    <row r="138" spans="1:27" x14ac:dyDescent="0.25">
      <c r="A138" s="1" t="s">
        <v>9</v>
      </c>
      <c r="B138" s="1" t="s">
        <v>316</v>
      </c>
      <c r="C138" s="1" t="s">
        <v>759</v>
      </c>
      <c r="D138" s="8" t="s">
        <v>120</v>
      </c>
      <c r="E138" s="1" t="s">
        <v>119</v>
      </c>
      <c r="F138" s="1" t="s">
        <v>1364</v>
      </c>
      <c r="G138" s="5">
        <f>_xlfn.XLOOKUP(A138,'BG Stock Log'!C:C,'BG Stock Log'!H:H,,0,-1)</f>
        <v>2170</v>
      </c>
      <c r="H138" s="5"/>
      <c r="I138" s="1"/>
      <c r="J138" s="1">
        <v>5000</v>
      </c>
      <c r="K138" s="1">
        <f>SUMIFS('BG Stock Log'!G:G,'BG Stock Log'!C:C,'BG Dashboard'!A12,'BG Stock Log'!F:F,"ADD")</f>
        <v>0</v>
      </c>
      <c r="L138" s="1">
        <f>_xlfn.XLOOKUP(A138,'New BG List'!A:A,'New BG List'!K:K,,0)</f>
        <v>32</v>
      </c>
      <c r="M138" s="1">
        <f>_xlfn.XLOOKUP(A138,'New BG List'!A:A,'New BG List'!J:J,0)</f>
        <v>1629</v>
      </c>
      <c r="N138" s="1"/>
      <c r="O138" s="1" t="str" cm="1">
        <f t="array" ref="O138">GetLastItem(AA138)</f>
        <v/>
      </c>
      <c r="P138" s="1" t="str" cm="1">
        <f t="array" ref="P138">IFERROR(INDEX(_xlfn._xlws.SORT(_xlfn._xlws.FILTER('BG Stock Log'!G:G, ('BG Stock Log'!C:C=A138) * ('BG Stock Log'!G:G&gt;0)), 1, -1), 1),"")</f>
        <v/>
      </c>
      <c r="Q138" s="1" t="str">
        <f>IFERROR(ROUND(AVERAGEIFS('BG Stock Log'!G:G,'BG Stock Log'!C:C,'BG Dashboard'!A12,'BG Stock Log'!F:F,"ADD"),0),"")</f>
        <v/>
      </c>
      <c r="R138" s="1" t="s">
        <v>511</v>
      </c>
      <c r="S138" s="1" t="s">
        <v>1011</v>
      </c>
      <c r="T138" s="37">
        <v>3.1E-2</v>
      </c>
      <c r="U138" s="37">
        <v>155</v>
      </c>
      <c r="V138" s="1" t="s">
        <v>554</v>
      </c>
      <c r="W138" s="37">
        <v>2.1899999999999999E-2</v>
      </c>
      <c r="X138" s="37">
        <v>109.5</v>
      </c>
      <c r="Y138" s="36" t="str">
        <f>IFERROR(SUMIFS('BG Stock Log'!L:L,'BG Stock Log'!C:C,'BG Dashboard'!A12)/SUMIFS('BG Stock Log'!G:G,'BG Stock Log'!C:C,'BG Dashboard'!A12,'BG Stock Log'!F:F,"ADD"),"")</f>
        <v/>
      </c>
      <c r="Z138" s="36">
        <f t="shared" si="2"/>
        <v>67.27</v>
      </c>
      <c r="AA138" s="1" t="str" cm="1">
        <f t="array" ref="AA138">GetFilteredValues(A138)</f>
        <v/>
      </c>
    </row>
    <row r="139" spans="1:27" x14ac:dyDescent="0.25">
      <c r="A139" s="1" t="s">
        <v>229</v>
      </c>
      <c r="B139" s="1" t="s">
        <v>321</v>
      </c>
      <c r="C139" s="1" t="s">
        <v>738</v>
      </c>
      <c r="D139" s="8" t="s">
        <v>1125</v>
      </c>
      <c r="E139" s="1" t="s">
        <v>175</v>
      </c>
      <c r="F139" s="1" t="s">
        <v>1364</v>
      </c>
      <c r="G139" s="5">
        <f>_xlfn.XLOOKUP(A139,'BG Stock Log'!C:C,'BG Stock Log'!H:H,,0,-1)</f>
        <v>5940</v>
      </c>
      <c r="H139" s="5"/>
      <c r="I139" s="1"/>
      <c r="J139" s="1">
        <v>5000</v>
      </c>
      <c r="K139" s="1">
        <f>SUMIFS('BG Stock Log'!G:G,'BG Stock Log'!C:C,'BG Dashboard'!A108,'BG Stock Log'!F:F,"ADD")</f>
        <v>3000</v>
      </c>
      <c r="L139" s="1">
        <f>_xlfn.XLOOKUP(A139,'New BG List'!A:A,'New BG List'!K:K,,0)</f>
        <v>39</v>
      </c>
      <c r="M139" s="1">
        <f>_xlfn.XLOOKUP(A139,'New BG List'!A:A,'New BG List'!J:J,0)</f>
        <v>2603</v>
      </c>
      <c r="N139" s="1"/>
      <c r="O139" s="1" t="str" cm="1">
        <f t="array" ref="O139">GetLastItem(AA139)</f>
        <v>Ling</v>
      </c>
      <c r="P139" s="1" cm="1">
        <f t="array" ref="P139">IFERROR(INDEX(_xlfn._xlws.SORT(_xlfn._xlws.FILTER('BG Stock Log'!G:G, ('BG Stock Log'!C:C=A139) * ('BG Stock Log'!G:G&gt;0)), 1, -1), 1),"")</f>
        <v>10000</v>
      </c>
      <c r="Q139" s="1">
        <f>IFERROR(ROUND(AVERAGEIFS('BG Stock Log'!G:G,'BG Stock Log'!C:C,'BG Dashboard'!A108,'BG Stock Log'!F:F,"ADD"),0),"")</f>
        <v>3000</v>
      </c>
      <c r="R139" s="1" t="s">
        <v>511</v>
      </c>
      <c r="S139" s="1" t="s">
        <v>1015</v>
      </c>
      <c r="T139" s="37">
        <v>0.04</v>
      </c>
      <c r="U139" s="37">
        <v>200</v>
      </c>
      <c r="V139" s="1" t="s">
        <v>559</v>
      </c>
      <c r="W139" s="37">
        <v>1.4500000000000001E-2</v>
      </c>
      <c r="X139" s="37">
        <v>72.5</v>
      </c>
      <c r="Y139" s="36">
        <f>IFERROR(SUMIFS('BG Stock Log'!L:L,'BG Stock Log'!C:C,'BG Dashboard'!A108)/SUMIFS('BG Stock Log'!G:G,'BG Stock Log'!C:C,'BG Dashboard'!A108,'BG Stock Log'!F:F,"ADD"),"")</f>
        <v>1.456E-2</v>
      </c>
      <c r="Z139" s="36">
        <f t="shared" si="2"/>
        <v>237.6</v>
      </c>
      <c r="AA139" s="1" t="str" cm="1">
        <f t="array" ref="AA139">GetFilteredValues(A139)</f>
        <v>Ling</v>
      </c>
    </row>
    <row r="140" spans="1:27" x14ac:dyDescent="0.25">
      <c r="A140" s="10" t="s">
        <v>337</v>
      </c>
      <c r="B140" s="1" t="s">
        <v>338</v>
      </c>
      <c r="C140" s="1" t="s">
        <v>794</v>
      </c>
      <c r="D140" s="8" t="s">
        <v>1155</v>
      </c>
      <c r="E140" s="1" t="s">
        <v>175</v>
      </c>
      <c r="F140" s="1" t="s">
        <v>1364</v>
      </c>
      <c r="G140" s="5">
        <f>_xlfn.XLOOKUP(A140,'BG Stock Log'!C:C,'BG Stock Log'!H:H,,0,-1)</f>
        <v>2724</v>
      </c>
      <c r="H140" s="5"/>
      <c r="I140" s="1"/>
      <c r="J140" s="1">
        <v>5000</v>
      </c>
      <c r="K140" s="1">
        <f>SUMIFS('BG Stock Log'!G:G,'BG Stock Log'!C:C,'BG Dashboard'!A142,'BG Stock Log'!F:F,"ADD")</f>
        <v>350</v>
      </c>
      <c r="L140" s="1">
        <f>_xlfn.XLOOKUP(A140,'New BG List'!A:A,'New BG List'!K:K,,0)</f>
        <v>17</v>
      </c>
      <c r="M140" s="1">
        <f>_xlfn.XLOOKUP(A140,'New BG List'!A:A,'New BG List'!J:J,0)</f>
        <v>758</v>
      </c>
      <c r="N140" s="1"/>
      <c r="O140" s="1" t="str" cm="1">
        <f t="array" ref="O140">GetLastItem(AA140)</f>
        <v>Ling</v>
      </c>
      <c r="P140" s="1" cm="1">
        <f t="array" ref="P140">IFERROR(INDEX(_xlfn._xlws.SORT(_xlfn._xlws.FILTER('BG Stock Log'!G:G, ('BG Stock Log'!C:C=A140) * ('BG Stock Log'!G:G&gt;0)), 1, -1), 1),"")</f>
        <v>5000</v>
      </c>
      <c r="Q140" s="1">
        <f>IFERROR(ROUND(AVERAGEIFS('BG Stock Log'!G:G,'BG Stock Log'!C:C,'BG Dashboard'!A142,'BG Stock Log'!F:F,"ADD"),0),"")</f>
        <v>350</v>
      </c>
      <c r="R140" s="1" t="s">
        <v>511</v>
      </c>
      <c r="S140" s="1" t="s">
        <v>1013</v>
      </c>
      <c r="T140" s="37">
        <v>0.10100000000000001</v>
      </c>
      <c r="U140" s="37">
        <v>505.00000000000006</v>
      </c>
      <c r="V140" s="1" t="s">
        <v>568</v>
      </c>
      <c r="W140" s="37">
        <v>4.41E-2</v>
      </c>
      <c r="X140" s="37">
        <v>220.5</v>
      </c>
      <c r="Y140" s="36">
        <f>IFERROR(SUMIFS('BG Stock Log'!L:L,'BG Stock Log'!C:C,'BG Dashboard'!A142)/SUMIFS('BG Stock Log'!G:G,'BG Stock Log'!C:C,'BG Dashboard'!A142,'BG Stock Log'!F:F,"ADD"),"")</f>
        <v>0</v>
      </c>
      <c r="Z140" s="36">
        <f t="shared" si="2"/>
        <v>275.12400000000002</v>
      </c>
      <c r="AA140" s="1" t="str" cm="1">
        <f t="array" ref="AA140">GetFilteredValues(A140)</f>
        <v>Ling</v>
      </c>
    </row>
    <row r="141" spans="1:27" x14ac:dyDescent="0.25">
      <c r="A141" s="1" t="s">
        <v>86</v>
      </c>
      <c r="B141" s="1" t="s">
        <v>351</v>
      </c>
      <c r="C141" s="1" t="s">
        <v>869</v>
      </c>
      <c r="D141" s="8" t="s">
        <v>204</v>
      </c>
      <c r="E141" s="1" t="s">
        <v>203</v>
      </c>
      <c r="F141" s="1" t="s">
        <v>1364</v>
      </c>
      <c r="G141" s="5">
        <f>_xlfn.XLOOKUP(A141,'BG Stock Log'!C:C,'BG Stock Log'!H:H,,0,-1)</f>
        <v>3000</v>
      </c>
      <c r="H141" s="5"/>
      <c r="I141" s="1"/>
      <c r="J141" s="1">
        <v>3000</v>
      </c>
      <c r="K141" s="1">
        <f>SUMIFS('BG Stock Log'!G:G,'BG Stock Log'!C:C,'BG Dashboard'!A89,'BG Stock Log'!F:F,"ADD")</f>
        <v>13166</v>
      </c>
      <c r="L141" s="1">
        <f>_xlfn.XLOOKUP(A141,'New BG List'!A:A,'New BG List'!K:K,,0)</f>
        <v>1</v>
      </c>
      <c r="M141" s="1">
        <f>_xlfn.XLOOKUP(A141,'New BG List'!A:A,'New BG List'!J:J,0)</f>
        <v>70</v>
      </c>
      <c r="N141" s="1"/>
      <c r="O141" s="1" t="str" cm="1">
        <f t="array" ref="O141">GetLastItem(AA141)</f>
        <v/>
      </c>
      <c r="P141" s="1" t="str" cm="1">
        <f t="array" ref="P141">IFERROR(INDEX(_xlfn._xlws.SORT(_xlfn._xlws.FILTER('BG Stock Log'!G:G, ('BG Stock Log'!C:C=A141) * ('BG Stock Log'!G:G&gt;0)), 1, -1), 1),"")</f>
        <v/>
      </c>
      <c r="Q141" s="1">
        <f>IFERROR(ROUND(AVERAGEIFS('BG Stock Log'!G:G,'BG Stock Log'!C:C,'BG Dashboard'!A89,'BG Stock Log'!F:F,"ADD"),0),"")</f>
        <v>6583</v>
      </c>
      <c r="R141" s="1" t="s">
        <v>511</v>
      </c>
      <c r="S141" s="1" t="s">
        <v>1008</v>
      </c>
      <c r="T141" s="37">
        <v>0.123</v>
      </c>
      <c r="U141" s="37">
        <v>369</v>
      </c>
      <c r="V141" s="1" t="s">
        <v>577</v>
      </c>
      <c r="W141" s="37">
        <v>5.3199999999999997E-2</v>
      </c>
      <c r="X141" s="37">
        <v>159.6</v>
      </c>
      <c r="Y141" s="36">
        <f>IFERROR(SUMIFS('BG Stock Log'!L:L,'BG Stock Log'!C:C,'BG Dashboard'!A89)/SUMIFS('BG Stock Log'!G:G,'BG Stock Log'!C:C,'BG Dashboard'!A89,'BG Stock Log'!F:F,"ADD"),"")</f>
        <v>5.1040559015646352E-3</v>
      </c>
      <c r="Z141" s="36">
        <f t="shared" si="2"/>
        <v>369</v>
      </c>
      <c r="AA141" s="1" t="str" cm="1">
        <f t="array" ref="AA141">GetFilteredValues(A141)</f>
        <v/>
      </c>
    </row>
    <row r="142" spans="1:27" x14ac:dyDescent="0.25">
      <c r="A142" s="1" t="s">
        <v>87</v>
      </c>
      <c r="B142" s="1" t="s">
        <v>352</v>
      </c>
      <c r="C142" s="1" t="s">
        <v>863</v>
      </c>
      <c r="D142" s="8" t="s">
        <v>206</v>
      </c>
      <c r="E142" s="1" t="s">
        <v>205</v>
      </c>
      <c r="F142" s="1" t="s">
        <v>1364</v>
      </c>
      <c r="G142" s="5">
        <f>_xlfn.XLOOKUP(A142,'BG Stock Log'!C:C,'BG Stock Log'!H:H,,0,-1)</f>
        <v>3022</v>
      </c>
      <c r="H142" s="5"/>
      <c r="I142" s="1"/>
      <c r="J142" s="1">
        <v>3000</v>
      </c>
      <c r="K142" s="1">
        <f>SUMIFS('BG Stock Log'!G:G,'BG Stock Log'!C:C,'BG Dashboard'!A90,'BG Stock Log'!F:F,"ADD")</f>
        <v>8000</v>
      </c>
      <c r="L142" s="1">
        <f>_xlfn.XLOOKUP(A142,'New BG List'!A:A,'New BG List'!K:K,,0)</f>
        <v>11</v>
      </c>
      <c r="M142" s="1">
        <f>_xlfn.XLOOKUP(A142,'New BG List'!A:A,'New BG List'!J:J,0)</f>
        <v>141</v>
      </c>
      <c r="N142" s="1"/>
      <c r="O142" s="1" t="str" cm="1">
        <f t="array" ref="O142">GetLastItem(AA142)</f>
        <v/>
      </c>
      <c r="P142" s="1" cm="1">
        <f t="array" ref="P142">IFERROR(INDEX(_xlfn._xlws.SORT(_xlfn._xlws.FILTER('BG Stock Log'!G:G, ('BG Stock Log'!C:C=A142) * ('BG Stock Log'!G:G&gt;0)), 1, -1), 1),"")</f>
        <v>350</v>
      </c>
      <c r="Q142" s="1">
        <f>IFERROR(ROUND(AVERAGEIFS('BG Stock Log'!G:G,'BG Stock Log'!C:C,'BG Dashboard'!A90,'BG Stock Log'!F:F,"ADD"),0),"")</f>
        <v>8000</v>
      </c>
      <c r="R142" s="1" t="s">
        <v>511</v>
      </c>
      <c r="S142" s="1" t="s">
        <v>1009</v>
      </c>
      <c r="T142" s="37">
        <v>0.127</v>
      </c>
      <c r="U142" s="37">
        <v>381</v>
      </c>
      <c r="V142" s="1"/>
      <c r="W142" s="37"/>
      <c r="X142" s="37"/>
      <c r="Y142" s="36">
        <f>IFERROR(SUMIFS('BG Stock Log'!L:L,'BG Stock Log'!C:C,'BG Dashboard'!A90)/SUMIFS('BG Stock Log'!G:G,'BG Stock Log'!C:C,'BG Dashboard'!A90,'BG Stock Log'!F:F,"ADD"),"")</f>
        <v>4.3400000000000001E-3</v>
      </c>
      <c r="Z142" s="36">
        <f t="shared" si="2"/>
        <v>383.79399999999998</v>
      </c>
      <c r="AA142" s="1" t="str" cm="1">
        <f t="array" ref="AA142">GetFilteredValues(A142)</f>
        <v/>
      </c>
    </row>
    <row r="143" spans="1:27" x14ac:dyDescent="0.25">
      <c r="A143" s="1" t="s">
        <v>10</v>
      </c>
      <c r="B143" s="1" t="s">
        <v>332</v>
      </c>
      <c r="C143" s="1" t="s">
        <v>717</v>
      </c>
      <c r="D143" s="8" t="s">
        <v>121</v>
      </c>
      <c r="E143" s="1" t="s">
        <v>183</v>
      </c>
      <c r="F143" s="1" t="s">
        <v>1364</v>
      </c>
      <c r="G143" s="5">
        <f>_xlfn.XLOOKUP(A143,'BG Stock Log'!C:C,'BG Stock Log'!H:H,,0,-1)</f>
        <v>4732</v>
      </c>
      <c r="H143" s="5"/>
      <c r="I143" s="1"/>
      <c r="J143" s="1">
        <v>7500</v>
      </c>
      <c r="K143" s="1">
        <f>SUMIFS('BG Stock Log'!G:G,'BG Stock Log'!C:C,'BG Dashboard'!A13,'BG Stock Log'!F:F,"ADD")</f>
        <v>0</v>
      </c>
      <c r="L143" s="1">
        <f>_xlfn.XLOOKUP(A143,'New BG List'!A:A,'New BG List'!K:K,,0)</f>
        <v>26</v>
      </c>
      <c r="M143" s="1">
        <f>_xlfn.XLOOKUP(A143,'New BG List'!A:A,'New BG List'!J:J,0)</f>
        <v>8993</v>
      </c>
      <c r="N143" s="1"/>
      <c r="O143" s="1" t="str" cm="1">
        <f t="array" ref="O143">GetLastItem(AA143)</f>
        <v>LING</v>
      </c>
      <c r="P143" s="1" cm="1">
        <f t="array" ref="P143">IFERROR(INDEX(_xlfn._xlws.SORT(_xlfn._xlws.FILTER('BG Stock Log'!G:G, ('BG Stock Log'!C:C=A143) * ('BG Stock Log'!G:G&gt;0)), 1, -1), 1),"")</f>
        <v>5000</v>
      </c>
      <c r="Q143" s="1" t="str">
        <f>IFERROR(ROUND(AVERAGEIFS('BG Stock Log'!G:G,'BG Stock Log'!C:C,'BG Dashboard'!A13,'BG Stock Log'!F:F,"ADD"),0),"")</f>
        <v/>
      </c>
      <c r="R143" s="1" t="s">
        <v>511</v>
      </c>
      <c r="S143" s="1" t="s">
        <v>1010</v>
      </c>
      <c r="T143" s="37">
        <v>7.5999999999999998E-2</v>
      </c>
      <c r="U143" s="37">
        <v>570</v>
      </c>
      <c r="V143" s="1" t="s">
        <v>565</v>
      </c>
      <c r="W143" s="37">
        <v>2.2100000000000002E-2</v>
      </c>
      <c r="X143" s="37">
        <v>165.75</v>
      </c>
      <c r="Y143" s="36" t="str">
        <f>IFERROR(SUMIFS('BG Stock Log'!L:L,'BG Stock Log'!C:C,'BG Dashboard'!A13)/SUMIFS('BG Stock Log'!G:G,'BG Stock Log'!C:C,'BG Dashboard'!A13,'BG Stock Log'!F:F,"ADD"),"")</f>
        <v/>
      </c>
      <c r="Z143" s="36">
        <f t="shared" si="2"/>
        <v>359.63200000000001</v>
      </c>
      <c r="AA143" s="1" t="str" cm="1">
        <f t="array" ref="AA143">GetFilteredValues(A143)</f>
        <v>LCSC, LING</v>
      </c>
    </row>
    <row r="144" spans="1:27" x14ac:dyDescent="0.25">
      <c r="A144" s="1" t="s">
        <v>1763</v>
      </c>
      <c r="B144" s="1" t="s">
        <v>1793</v>
      </c>
      <c r="C144" s="1" t="s">
        <v>1779</v>
      </c>
      <c r="D144" s="8"/>
      <c r="E144" s="1"/>
      <c r="F144" s="1" t="s">
        <v>1364</v>
      </c>
      <c r="G144" s="5">
        <f>_xlfn.XLOOKUP(A144,'BG Stock Log'!C:C,'BG Stock Log'!H:H,,0,-1)</f>
        <v>1561</v>
      </c>
      <c r="H144" s="5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 t="str" cm="1">
        <f t="array" ref="AA144">GetFilteredValues(A144)</f>
        <v>Mouser</v>
      </c>
    </row>
    <row r="145" spans="1:27" x14ac:dyDescent="0.25">
      <c r="A145" s="10" t="s">
        <v>326</v>
      </c>
      <c r="B145" s="1" t="s">
        <v>327</v>
      </c>
      <c r="C145" s="1" t="s">
        <v>786</v>
      </c>
      <c r="D145" s="8" t="s">
        <v>1160</v>
      </c>
      <c r="E145" s="1" t="s">
        <v>1161</v>
      </c>
      <c r="F145" s="1" t="s">
        <v>1364</v>
      </c>
      <c r="G145" s="5">
        <f>_xlfn.XLOOKUP(A145,'BG Stock Log'!C:C,'BG Stock Log'!H:H,,0,-1)</f>
        <v>339</v>
      </c>
      <c r="H145" s="5"/>
      <c r="I145" s="1"/>
      <c r="J145" s="1">
        <v>3000</v>
      </c>
      <c r="K145" s="1">
        <f>SUMIFS('BG Stock Log'!G:G,'BG Stock Log'!C:C,'BG Dashboard'!A136,'BG Stock Log'!F:F,"ADD")</f>
        <v>3000</v>
      </c>
      <c r="L145" s="1">
        <f>_xlfn.XLOOKUP(A145,'New BG List'!A:A,'New BG List'!K:K,,0)</f>
        <v>24</v>
      </c>
      <c r="M145" s="1">
        <f>_xlfn.XLOOKUP(A145,'New BG List'!A:A,'New BG List'!J:J,0)</f>
        <v>907</v>
      </c>
      <c r="N145" s="1"/>
      <c r="O145" s="1" t="str" cm="1">
        <f t="array" ref="O145">GetLastItem(AA145)</f>
        <v>LCSC</v>
      </c>
      <c r="P145" s="1" cm="1">
        <f t="array" ref="P145">IFERROR(INDEX(_xlfn._xlws.SORT(_xlfn._xlws.FILTER('BG Stock Log'!G:G, ('BG Stock Log'!C:C=A145) * ('BG Stock Log'!G:G&gt;0)), 1, -1), 1),"")</f>
        <v>3000</v>
      </c>
      <c r="Q145" s="1">
        <f>IFERROR(ROUND(AVERAGEIFS('BG Stock Log'!G:G,'BG Stock Log'!C:C,'BG Dashboard'!A136,'BG Stock Log'!F:F,"ADD"),0),"")</f>
        <v>1500</v>
      </c>
      <c r="R145" s="1" t="s">
        <v>511</v>
      </c>
      <c r="S145" s="1" t="s">
        <v>1036</v>
      </c>
      <c r="T145" s="37">
        <v>0.64500000000000002</v>
      </c>
      <c r="U145" s="37">
        <v>1935</v>
      </c>
      <c r="V145" s="1" t="s">
        <v>562</v>
      </c>
      <c r="W145" s="37">
        <v>0.29060000000000002</v>
      </c>
      <c r="X145" s="37">
        <v>871.80000000000007</v>
      </c>
      <c r="Y145" s="36">
        <f>IFERROR(SUMIFS('BG Stock Log'!L:L,'BG Stock Log'!C:C,'BG Dashboard'!A136)/SUMIFS('BG Stock Log'!G:G,'BG Stock Log'!C:C,'BG Dashboard'!A136,'BG Stock Log'!F:F,"ADD"),"")</f>
        <v>2.0411999999999996E-2</v>
      </c>
      <c r="Z145" s="36">
        <f t="shared" ref="Z145:Z151" si="3">IFERROR(T145*G145,"")</f>
        <v>218.655</v>
      </c>
      <c r="AA145" s="1" t="str" cm="1">
        <f t="array" ref="AA145">GetFilteredValues(A145)</f>
        <v>LCSC</v>
      </c>
    </row>
    <row r="146" spans="1:27" x14ac:dyDescent="0.25">
      <c r="A146" s="1" t="s">
        <v>335</v>
      </c>
      <c r="B146" s="1" t="s">
        <v>336</v>
      </c>
      <c r="C146" s="1" t="s">
        <v>844</v>
      </c>
      <c r="D146" s="8" t="s">
        <v>1201</v>
      </c>
      <c r="E146" s="1" t="s">
        <v>1202</v>
      </c>
      <c r="F146" s="1" t="s">
        <v>1364</v>
      </c>
      <c r="G146" s="5">
        <f>_xlfn.XLOOKUP(A146,'BG Stock Log'!C:C,'BG Stock Log'!H:H,,0,-1)</f>
        <v>5275</v>
      </c>
      <c r="H146" s="5"/>
      <c r="I146" s="1"/>
      <c r="J146" s="1">
        <v>3000</v>
      </c>
      <c r="K146" s="1">
        <f>SUMIFS('BG Stock Log'!G:G,'BG Stock Log'!C:C,'BG Dashboard'!A114,'BG Stock Log'!F:F,"ADD")</f>
        <v>2000</v>
      </c>
      <c r="L146" s="1">
        <f>_xlfn.XLOOKUP(A146,'New BG List'!A:A,'New BG List'!K:K,,0)</f>
        <v>18</v>
      </c>
      <c r="M146" s="1">
        <f>_xlfn.XLOOKUP(A146,'New BG List'!A:A,'New BG List'!J:J,0)</f>
        <v>250</v>
      </c>
      <c r="N146" s="1"/>
      <c r="O146" s="1" t="str" cm="1">
        <f t="array" ref="O146">GetLastItem(AA146)</f>
        <v>LING</v>
      </c>
      <c r="P146" s="1" cm="1">
        <f t="array" ref="P146">IFERROR(INDEX(_xlfn._xlws.SORT(_xlfn._xlws.FILTER('BG Stock Log'!G:G, ('BG Stock Log'!C:C=A146) * ('BG Stock Log'!G:G&gt;0)), 1, -1), 1),"")</f>
        <v>3000</v>
      </c>
      <c r="Q146" s="1">
        <f>IFERROR(ROUND(AVERAGEIFS('BG Stock Log'!G:G,'BG Stock Log'!C:C,'BG Dashboard'!A114,'BG Stock Log'!F:F,"ADD"),0),"")</f>
        <v>2000</v>
      </c>
      <c r="R146" s="1" t="s">
        <v>511</v>
      </c>
      <c r="S146" s="1" t="s">
        <v>1040</v>
      </c>
      <c r="T146" s="37">
        <v>0.106</v>
      </c>
      <c r="U146" s="37">
        <v>318</v>
      </c>
      <c r="V146" s="1" t="s">
        <v>567</v>
      </c>
      <c r="W146" s="37">
        <v>6.3899999999999998E-2</v>
      </c>
      <c r="X146" s="37">
        <v>191.7</v>
      </c>
      <c r="Y146" s="36">
        <f>IFERROR(SUMIFS('BG Stock Log'!L:L,'BG Stock Log'!C:C,'BG Dashboard'!A114)/SUMIFS('BG Stock Log'!G:G,'BG Stock Log'!C:C,'BG Dashboard'!A114,'BG Stock Log'!F:F,"ADD"),"")</f>
        <v>9.282E-2</v>
      </c>
      <c r="Z146" s="36">
        <f t="shared" si="3"/>
        <v>559.15</v>
      </c>
      <c r="AA146" s="1" t="str" cm="1">
        <f t="array" ref="AA146">GetFilteredValues(A146)</f>
        <v>Digikey, LING</v>
      </c>
    </row>
    <row r="147" spans="1:27" x14ac:dyDescent="0.25">
      <c r="A147" s="10" t="s">
        <v>343</v>
      </c>
      <c r="B147" s="1" t="s">
        <v>344</v>
      </c>
      <c r="C147" s="1" t="s">
        <v>718</v>
      </c>
      <c r="D147" s="8" t="s">
        <v>1156</v>
      </c>
      <c r="E147" s="1" t="s">
        <v>175</v>
      </c>
      <c r="F147" s="1" t="s">
        <v>1364</v>
      </c>
      <c r="G147" s="5">
        <f>_xlfn.XLOOKUP(A147,'BG Stock Log'!C:C,'BG Stock Log'!H:H,,0,-1)</f>
        <v>704</v>
      </c>
      <c r="H147" s="5"/>
      <c r="I147" s="1"/>
      <c r="J147" s="1">
        <v>3000</v>
      </c>
      <c r="K147" s="1">
        <f>SUMIFS('BG Stock Log'!G:G,'BG Stock Log'!C:C,'BG Dashboard'!A160,'BG Stock Log'!F:F,"ADD")</f>
        <v>35521</v>
      </c>
      <c r="L147" s="1">
        <f>_xlfn.XLOOKUP(A147,'New BG List'!A:A,'New BG List'!K:K,,0)</f>
        <v>13</v>
      </c>
      <c r="M147" s="1">
        <f>_xlfn.XLOOKUP(A147,'New BG List'!A:A,'New BG List'!J:J,0)</f>
        <v>8888</v>
      </c>
      <c r="N147" s="1"/>
      <c r="O147" s="1" t="str" cm="1">
        <f t="array" ref="O147">GetLastItem(AA147)</f>
        <v>LCSC</v>
      </c>
      <c r="P147" s="1" cm="1">
        <f t="array" ref="P147">IFERROR(INDEX(_xlfn._xlws.SORT(_xlfn._xlws.FILTER('BG Stock Log'!G:G, ('BG Stock Log'!C:C=A147) * ('BG Stock Log'!G:G&gt;0)), 1, -1), 1),"")</f>
        <v>3000</v>
      </c>
      <c r="Q147" s="1">
        <f>IFERROR(ROUND(AVERAGEIFS('BG Stock Log'!G:G,'BG Stock Log'!C:C,'BG Dashboard'!A160,'BG Stock Log'!F:F,"ADD"),0),"")</f>
        <v>5920</v>
      </c>
      <c r="R147" s="1" t="s">
        <v>1316</v>
      </c>
      <c r="S147" s="1" t="s">
        <v>1444</v>
      </c>
      <c r="T147" s="37">
        <v>3.4000000000000002E-2</v>
      </c>
      <c r="U147" s="37">
        <v>102.00000000000001</v>
      </c>
      <c r="V147" s="1" t="s">
        <v>571</v>
      </c>
      <c r="W147" s="37">
        <v>1.83E-2</v>
      </c>
      <c r="X147" s="37">
        <v>54.9</v>
      </c>
      <c r="Y147" s="36">
        <f>IFERROR(SUMIFS('BG Stock Log'!L:L,'BG Stock Log'!C:C,'BG Dashboard'!A160)/SUMIFS('BG Stock Log'!G:G,'BG Stock Log'!C:C,'BG Dashboard'!A160,'BG Stock Log'!F:F,"ADD"),"")</f>
        <v>1.7111286281354693E-2</v>
      </c>
      <c r="Z147" s="36">
        <f t="shared" si="3"/>
        <v>23.936</v>
      </c>
      <c r="AA147" s="1" t="str" cm="1">
        <f t="array" ref="AA147">GetFilteredValues(A147)</f>
        <v>Ling, LCSC</v>
      </c>
    </row>
    <row r="148" spans="1:27" x14ac:dyDescent="0.25">
      <c r="A148" s="1" t="s">
        <v>693</v>
      </c>
      <c r="B148" s="1" t="s">
        <v>701</v>
      </c>
      <c r="C148" s="1" t="s">
        <v>806</v>
      </c>
      <c r="D148" s="8" t="s">
        <v>1199</v>
      </c>
      <c r="E148" s="1" t="s">
        <v>1163</v>
      </c>
      <c r="F148" s="1" t="s">
        <v>1364</v>
      </c>
      <c r="G148" s="5">
        <f>_xlfn.XLOOKUP(A148,'BG Stock Log'!C:C,'BG Stock Log'!H:H,,0,-1)</f>
        <v>644</v>
      </c>
      <c r="H148" s="5"/>
      <c r="I148" s="1"/>
      <c r="J148" s="1">
        <v>3000</v>
      </c>
      <c r="K148" s="1">
        <f>SUMIFS('BG Stock Log'!G:G,'BG Stock Log'!C:C,'BG Dashboard'!A113,'BG Stock Log'!F:F,"ADD")</f>
        <v>6000</v>
      </c>
      <c r="L148" s="1">
        <f>_xlfn.XLOOKUP(A148,'New BG List'!A:A,'New BG List'!K:K,,0)</f>
        <v>32</v>
      </c>
      <c r="M148" s="1">
        <f>_xlfn.XLOOKUP(A148,'New BG List'!A:A,'New BG List'!J:J,0)</f>
        <v>582</v>
      </c>
      <c r="N148" s="1"/>
      <c r="O148" s="1" t="str" cm="1">
        <f t="array" ref="O148">GetLastItem(AA148)</f>
        <v>TI</v>
      </c>
      <c r="P148" s="1" cm="1">
        <f t="array" ref="P148">IFERROR(INDEX(_xlfn._xlws.SORT(_xlfn._xlws.FILTER('BG Stock Log'!G:G, ('BG Stock Log'!C:C=A148) * ('BG Stock Log'!G:G&gt;0)), 1, -1), 1),"")</f>
        <v>1000</v>
      </c>
      <c r="Q148" s="1">
        <f>IFERROR(ROUND(AVERAGEIFS('BG Stock Log'!G:G,'BG Stock Log'!C:C,'BG Dashboard'!A113,'BG Stock Log'!F:F,"ADD"),0),"")</f>
        <v>3000</v>
      </c>
      <c r="R148" s="1" t="s">
        <v>1316</v>
      </c>
      <c r="S148" s="1" t="s">
        <v>1429</v>
      </c>
      <c r="T148" s="37">
        <v>1.78</v>
      </c>
      <c r="U148" s="37">
        <v>5340</v>
      </c>
      <c r="V148" s="1"/>
      <c r="W148" s="37"/>
      <c r="X148" s="37"/>
      <c r="Y148" s="36">
        <f>IFERROR(SUMIFS('BG Stock Log'!L:L,'BG Stock Log'!C:C,'BG Dashboard'!A113)/SUMIFS('BG Stock Log'!G:G,'BG Stock Log'!C:C,'BG Dashboard'!A113,'BG Stock Log'!F:F,"ADD"),"")</f>
        <v>4.5149999999999996E-2</v>
      </c>
      <c r="Z148" s="36">
        <f t="shared" si="3"/>
        <v>1146.32</v>
      </c>
      <c r="AA148" s="1" t="str" cm="1">
        <f t="array" ref="AA148">GetFilteredValues(A148)</f>
        <v>TI, TI</v>
      </c>
    </row>
    <row r="149" spans="1:27" x14ac:dyDescent="0.25">
      <c r="A149" s="10" t="s">
        <v>364</v>
      </c>
      <c r="B149" s="1" t="s">
        <v>365</v>
      </c>
      <c r="C149" s="1" t="s">
        <v>839</v>
      </c>
      <c r="D149" s="8" t="s">
        <v>1162</v>
      </c>
      <c r="E149" s="1" t="s">
        <v>1163</v>
      </c>
      <c r="F149" s="1" t="s">
        <v>1364</v>
      </c>
      <c r="G149" s="5">
        <f>_xlfn.XLOOKUP(A149,'BG Stock Log'!C:C,'BG Stock Log'!H:H,,0,-1)</f>
        <v>2830</v>
      </c>
      <c r="H149" s="5"/>
      <c r="I149" s="1"/>
      <c r="J149" s="1">
        <v>3000</v>
      </c>
      <c r="K149" s="1">
        <f>SUMIFS('BG Stock Log'!G:G,'BG Stock Log'!C:C,'BG Dashboard'!A150,'BG Stock Log'!F:F,"ADD")</f>
        <v>3000</v>
      </c>
      <c r="L149" s="1">
        <f>_xlfn.XLOOKUP(A149,'New BG List'!A:A,'New BG List'!K:K,,0)</f>
        <v>17</v>
      </c>
      <c r="M149" s="1">
        <f>_xlfn.XLOOKUP(A149,'New BG List'!A:A,'New BG List'!J:J,0)</f>
        <v>287</v>
      </c>
      <c r="N149" s="1"/>
      <c r="O149" s="1" t="str" cm="1">
        <f t="array" ref="O149">GetLastItem(AA149)</f>
        <v>TI</v>
      </c>
      <c r="P149" s="1" cm="1">
        <f t="array" ref="P149">IFERROR(INDEX(_xlfn._xlws.SORT(_xlfn._xlws.FILTER('BG Stock Log'!G:G, ('BG Stock Log'!C:C=A149) * ('BG Stock Log'!G:G&gt;0)), 1, -1), 1),"")</f>
        <v>3000</v>
      </c>
      <c r="Q149" s="1">
        <f>IFERROR(ROUND(AVERAGEIFS('BG Stock Log'!G:G,'BG Stock Log'!C:C,'BG Dashboard'!A150,'BG Stock Log'!F:F,"ADD"),0),"")</f>
        <v>3000</v>
      </c>
      <c r="R149" s="1" t="s">
        <v>511</v>
      </c>
      <c r="S149" s="1" t="s">
        <v>1039</v>
      </c>
      <c r="T149" s="37">
        <v>5.0999999999999997E-2</v>
      </c>
      <c r="U149" s="37">
        <v>153</v>
      </c>
      <c r="V149" s="1" t="s">
        <v>587</v>
      </c>
      <c r="W149" s="37">
        <v>3.4099999999999998E-2</v>
      </c>
      <c r="X149" s="37">
        <v>102.3</v>
      </c>
      <c r="Y149" s="36">
        <f>IFERROR(SUMIFS('BG Stock Log'!L:L,'BG Stock Log'!C:C,'BG Dashboard'!A150)/SUMIFS('BG Stock Log'!G:G,'BG Stock Log'!C:C,'BG Dashboard'!A150,'BG Stock Log'!F:F,"ADD"),"")</f>
        <v>4.927999999999999E-2</v>
      </c>
      <c r="Z149" s="36">
        <f t="shared" si="3"/>
        <v>144.32999999999998</v>
      </c>
      <c r="AA149" s="1" t="str" cm="1">
        <f t="array" ref="AA149">GetFilteredValues(A149)</f>
        <v>TI</v>
      </c>
    </row>
    <row r="150" spans="1:27" x14ac:dyDescent="0.25">
      <c r="A150" s="1" t="s">
        <v>362</v>
      </c>
      <c r="B150" s="1" t="s">
        <v>363</v>
      </c>
      <c r="C150" s="1" t="s">
        <v>817</v>
      </c>
      <c r="D150" s="8" t="s">
        <v>1200</v>
      </c>
      <c r="E150" s="1" t="s">
        <v>1163</v>
      </c>
      <c r="F150" s="1" t="s">
        <v>1364</v>
      </c>
      <c r="G150" s="5">
        <f>_xlfn.XLOOKUP(A150,'BG Stock Log'!C:C,'BG Stock Log'!H:H,,0,-1)</f>
        <v>1328</v>
      </c>
      <c r="H150" s="5"/>
      <c r="I150" s="1"/>
      <c r="J150" s="1">
        <v>3000</v>
      </c>
      <c r="K150" s="1">
        <f>SUMIFS('BG Stock Log'!G:G,'BG Stock Log'!C:C,'BG Dashboard'!A120,'BG Stock Log'!F:F,"ADD")</f>
        <v>12000</v>
      </c>
      <c r="L150" s="1">
        <f>_xlfn.XLOOKUP(A150,'New BG List'!A:A,'New BG List'!K:K,,0)</f>
        <v>22</v>
      </c>
      <c r="M150" s="1">
        <f>_xlfn.XLOOKUP(A150,'New BG List'!A:A,'New BG List'!J:J,0)</f>
        <v>465</v>
      </c>
      <c r="N150" s="1"/>
      <c r="O150" s="1" t="str" cm="1">
        <f t="array" ref="O150">GetLastItem(AA150)</f>
        <v>LCSC</v>
      </c>
      <c r="P150" s="1" cm="1">
        <f t="array" ref="P150">IFERROR(INDEX(_xlfn._xlws.SORT(_xlfn._xlws.FILTER('BG Stock Log'!G:G, ('BG Stock Log'!C:C=A150) * ('BG Stock Log'!G:G&gt;0)), 1, -1), 1),"")</f>
        <v>3000</v>
      </c>
      <c r="Q150" s="1">
        <f>IFERROR(ROUND(AVERAGEIFS('BG Stock Log'!G:G,'BG Stock Log'!C:C,'BG Dashboard'!A120,'BG Stock Log'!F:F,"ADD"),0),"")</f>
        <v>6000</v>
      </c>
      <c r="R150" s="1" t="s">
        <v>511</v>
      </c>
      <c r="S150" s="1" t="s">
        <v>1038</v>
      </c>
      <c r="T150" s="37">
        <v>5.0999999999999997E-2</v>
      </c>
      <c r="U150" s="37">
        <v>153</v>
      </c>
      <c r="V150" s="1" t="s">
        <v>586</v>
      </c>
      <c r="W150" s="37">
        <v>2.9100000000000001E-2</v>
      </c>
      <c r="X150" s="37">
        <v>87.3</v>
      </c>
      <c r="Y150" s="36">
        <f>IFERROR(SUMIFS('BG Stock Log'!L:L,'BG Stock Log'!C:C,'BG Dashboard'!A120)/SUMIFS('BG Stock Log'!G:G,'BG Stock Log'!C:C,'BG Dashboard'!A120,'BG Stock Log'!F:F,"ADD"),"")</f>
        <v>1.491E-2</v>
      </c>
      <c r="Z150" s="36">
        <f t="shared" si="3"/>
        <v>67.727999999999994</v>
      </c>
      <c r="AA150" s="1" t="str" cm="1">
        <f t="array" ref="AA150">GetFilteredValues(A150)</f>
        <v>LCSC</v>
      </c>
    </row>
    <row r="151" spans="1:27" x14ac:dyDescent="0.25">
      <c r="A151" s="1" t="s">
        <v>360</v>
      </c>
      <c r="B151" s="1" t="s">
        <v>361</v>
      </c>
      <c r="C151" s="1" t="s">
        <v>849</v>
      </c>
      <c r="D151" s="8" t="s">
        <v>1203</v>
      </c>
      <c r="E151" s="1" t="s">
        <v>1163</v>
      </c>
      <c r="F151" s="1" t="s">
        <v>1364</v>
      </c>
      <c r="G151" s="5">
        <f>_xlfn.XLOOKUP(A151,'BG Stock Log'!C:C,'BG Stock Log'!H:H,,0,-1)</f>
        <v>415</v>
      </c>
      <c r="H151" s="5"/>
      <c r="I151" s="1"/>
      <c r="J151" s="1">
        <v>3000</v>
      </c>
      <c r="K151" s="1">
        <f>SUMIFS('BG Stock Log'!G:G,'BG Stock Log'!C:C,'BG Dashboard'!A112,'BG Stock Log'!F:F,"ADD")</f>
        <v>10000</v>
      </c>
      <c r="L151" s="1">
        <f>_xlfn.XLOOKUP(A151,'New BG List'!A:A,'New BG List'!K:K,,0)</f>
        <v>29</v>
      </c>
      <c r="M151" s="1">
        <f>_xlfn.XLOOKUP(A151,'New BG List'!A:A,'New BG List'!J:J,0)</f>
        <v>199</v>
      </c>
      <c r="N151" s="1"/>
      <c r="O151" s="1" t="str" cm="1">
        <f t="array" ref="O151">GetLastItem(AA151)</f>
        <v>TI</v>
      </c>
      <c r="P151" s="1" cm="1">
        <f t="array" ref="P151">IFERROR(INDEX(_xlfn._xlws.SORT(_xlfn._xlws.FILTER('BG Stock Log'!G:G, ('BG Stock Log'!C:C=A151) * ('BG Stock Log'!G:G&gt;0)), 1, -1), 1),"")</f>
        <v>1000</v>
      </c>
      <c r="Q151" s="1">
        <f>IFERROR(ROUND(AVERAGEIFS('BG Stock Log'!G:G,'BG Stock Log'!C:C,'BG Dashboard'!A112,'BG Stock Log'!F:F,"ADD"),0),"")</f>
        <v>3333</v>
      </c>
      <c r="R151" s="1" t="s">
        <v>511</v>
      </c>
      <c r="S151" s="1" t="s">
        <v>1041</v>
      </c>
      <c r="T151" s="37">
        <v>1.675</v>
      </c>
      <c r="U151" s="37">
        <v>5025</v>
      </c>
      <c r="V151" s="1" t="s">
        <v>585</v>
      </c>
      <c r="W151" s="37">
        <v>1.1557999999999999</v>
      </c>
      <c r="X151" s="37">
        <v>3467.3999999999996</v>
      </c>
      <c r="Y151" s="36">
        <f>IFERROR(SUMIFS('BG Stock Log'!L:L,'BG Stock Log'!C:C,'BG Dashboard'!A112)/SUMIFS('BG Stock Log'!G:G,'BG Stock Log'!C:C,'BG Dashboard'!A112,'BG Stock Log'!F:F,"ADD"),"")</f>
        <v>4.0039999999999997E-3</v>
      </c>
      <c r="Z151" s="36">
        <f t="shared" si="3"/>
        <v>695.125</v>
      </c>
      <c r="AA151" s="1" t="str" cm="1">
        <f t="array" ref="AA151">GetFilteredValues(A151)</f>
        <v>TI</v>
      </c>
    </row>
    <row r="152" spans="1:27" x14ac:dyDescent="0.25">
      <c r="A152" s="1" t="s">
        <v>1751</v>
      </c>
      <c r="B152" s="1" t="s">
        <v>1791</v>
      </c>
      <c r="C152" s="1" t="s">
        <v>1777</v>
      </c>
      <c r="D152" s="8"/>
      <c r="E152" s="1"/>
      <c r="F152" s="1" t="s">
        <v>1364</v>
      </c>
      <c r="G152" s="5">
        <f>_xlfn.XLOOKUP(A152,'BG Stock Log'!C:C,'BG Stock Log'!H:H,,0,-1)</f>
        <v>863</v>
      </c>
      <c r="H152" s="5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 t="str" cm="1">
        <f t="array" ref="AA152">GetFilteredValues(A152)</f>
        <v>Quest, Ling</v>
      </c>
    </row>
    <row r="153" spans="1:27" x14ac:dyDescent="0.25">
      <c r="A153" s="1" t="s">
        <v>88</v>
      </c>
      <c r="B153" s="1" t="s">
        <v>372</v>
      </c>
      <c r="C153" s="1" t="s">
        <v>881</v>
      </c>
      <c r="D153" s="8" t="s">
        <v>208</v>
      </c>
      <c r="E153" s="1" t="s">
        <v>207</v>
      </c>
      <c r="F153" s="1" t="s">
        <v>1364</v>
      </c>
      <c r="G153" s="5">
        <f>_xlfn.XLOOKUP(A153,'BG Stock Log'!C:C,'BG Stock Log'!H:H,,0,-1)</f>
        <v>4500</v>
      </c>
      <c r="H153" s="5"/>
      <c r="I153" s="1"/>
      <c r="J153" s="1">
        <v>4000</v>
      </c>
      <c r="K153" s="1">
        <f>SUMIFS('BG Stock Log'!G:G,'BG Stock Log'!C:C,'BG Dashboard'!A91,'BG Stock Log'!F:F,"ADD")</f>
        <v>39118</v>
      </c>
      <c r="L153" s="1">
        <f>_xlfn.XLOOKUP(A153,'New BG List'!A:A,'New BG List'!K:K,,0)</f>
        <v>3</v>
      </c>
      <c r="M153" s="1">
        <f>_xlfn.XLOOKUP(A153,'New BG List'!A:A,'New BG List'!J:J,0)</f>
        <v>0</v>
      </c>
      <c r="N153" s="1"/>
      <c r="O153" s="1" t="str" cm="1">
        <f t="array" ref="O153">GetLastItem(AA153)</f>
        <v/>
      </c>
      <c r="P153" s="1" cm="1">
        <f t="array" ref="P153">IFERROR(INDEX(_xlfn._xlws.SORT(_xlfn._xlws.FILTER('BG Stock Log'!G:G, ('BG Stock Log'!C:C=A153) * ('BG Stock Log'!G:G&gt;0)), 1, -1), 1),"")</f>
        <v>500</v>
      </c>
      <c r="Q153" s="1">
        <f>IFERROR(ROUND(AVERAGEIFS('BG Stock Log'!G:G,'BG Stock Log'!C:C,'BG Dashboard'!A91,'BG Stock Log'!F:F,"ADD"),0),"")</f>
        <v>13039</v>
      </c>
      <c r="R153" s="1" t="s">
        <v>1316</v>
      </c>
      <c r="S153" s="1" t="s">
        <v>1425</v>
      </c>
      <c r="T153" s="37">
        <v>6.0999999999999999E-2</v>
      </c>
      <c r="U153" s="37">
        <v>244</v>
      </c>
      <c r="V153" s="1"/>
      <c r="W153" s="37"/>
      <c r="X153" s="37"/>
      <c r="Y153" s="36">
        <f>IFERROR(SUMIFS('BG Stock Log'!L:L,'BG Stock Log'!C:C,'BG Dashboard'!A91)/SUMIFS('BG Stock Log'!G:G,'BG Stock Log'!C:C,'BG Dashboard'!A91,'BG Stock Log'!F:F,"ADD"),"")</f>
        <v>3.4357584743596298E-3</v>
      </c>
      <c r="Z153" s="36">
        <f>IFERROR(T153*G153,"")</f>
        <v>274.5</v>
      </c>
      <c r="AA153" s="1" t="str" cm="1">
        <f t="array" ref="AA153">GetFilteredValues(A153)</f>
        <v/>
      </c>
    </row>
    <row r="154" spans="1:27" x14ac:dyDescent="0.25">
      <c r="A154" s="10" t="s">
        <v>368</v>
      </c>
      <c r="B154" s="1" t="s">
        <v>369</v>
      </c>
      <c r="C154" s="1" t="s">
        <v>796</v>
      </c>
      <c r="D154" s="8" t="s">
        <v>1184</v>
      </c>
      <c r="E154" s="1" t="s">
        <v>209</v>
      </c>
      <c r="F154" s="1" t="s">
        <v>1364</v>
      </c>
      <c r="G154" s="5">
        <f>_xlfn.XLOOKUP(A154,'BG Stock Log'!C:C,'BG Stock Log'!H:H,,0,-1)</f>
        <v>1984</v>
      </c>
      <c r="H154" s="5"/>
      <c r="I154" s="1"/>
      <c r="J154" s="1">
        <v>3000</v>
      </c>
      <c r="K154" s="1">
        <f>SUMIFS('BG Stock Log'!G:G,'BG Stock Log'!C:C,'BG Dashboard'!A138,'BG Stock Log'!F:F,"ADD")</f>
        <v>0</v>
      </c>
      <c r="L154" s="1">
        <f>_xlfn.XLOOKUP(A154,'New BG List'!A:A,'New BG List'!K:K,,0)</f>
        <v>28</v>
      </c>
      <c r="M154" s="1">
        <f>_xlfn.XLOOKUP(A154,'New BG List'!A:A,'New BG List'!J:J,0)</f>
        <v>741</v>
      </c>
      <c r="N154" s="1"/>
      <c r="O154" s="1" t="str" cm="1">
        <f t="array" ref="O154">GetLastItem(AA154)</f>
        <v>TTI</v>
      </c>
      <c r="P154" s="1" cm="1">
        <f t="array" ref="P154">IFERROR(INDEX(_xlfn._xlws.SORT(_xlfn._xlws.FILTER('BG Stock Log'!G:G, ('BG Stock Log'!C:C=A154) * ('BG Stock Log'!G:G&gt;0)), 1, -1), 1),"")</f>
        <v>3000</v>
      </c>
      <c r="Q154" s="1" t="str">
        <f>IFERROR(ROUND(AVERAGEIFS('BG Stock Log'!G:G,'BG Stock Log'!C:C,'BG Dashboard'!A138,'BG Stock Log'!F:F,"ADD"),0),"")</f>
        <v/>
      </c>
      <c r="R154" s="1" t="s">
        <v>511</v>
      </c>
      <c r="S154" s="1" t="s">
        <v>1078</v>
      </c>
      <c r="T154" s="37">
        <v>0.104</v>
      </c>
      <c r="U154" s="37">
        <v>312</v>
      </c>
      <c r="V154" s="1" t="s">
        <v>1442</v>
      </c>
      <c r="W154" s="37"/>
      <c r="X154" s="37"/>
      <c r="Y154" s="36" t="str">
        <f>IFERROR(SUMIFS('BG Stock Log'!L:L,'BG Stock Log'!C:C,'BG Dashboard'!A138)/SUMIFS('BG Stock Log'!G:G,'BG Stock Log'!C:C,'BG Dashboard'!A138,'BG Stock Log'!F:F,"ADD"),"")</f>
        <v/>
      </c>
      <c r="Z154" s="36">
        <f>IFERROR(T154*G154,"")</f>
        <v>206.33599999999998</v>
      </c>
      <c r="AA154" s="1" t="str" cm="1">
        <f t="array" ref="AA154">GetFilteredValues(A154)</f>
        <v>TTI</v>
      </c>
    </row>
    <row r="155" spans="1:27" x14ac:dyDescent="0.25">
      <c r="A155" s="10" t="s">
        <v>366</v>
      </c>
      <c r="B155" s="1" t="s">
        <v>367</v>
      </c>
      <c r="C155" s="1" t="s">
        <v>795</v>
      </c>
      <c r="D155" s="8" t="s">
        <v>1166</v>
      </c>
      <c r="E155" s="1" t="s">
        <v>209</v>
      </c>
      <c r="F155" s="1" t="s">
        <v>1364</v>
      </c>
      <c r="G155" s="5">
        <f>_xlfn.XLOOKUP(A155,'BG Stock Log'!C:C,'BG Stock Log'!H:H,,0,-1)</f>
        <v>3140</v>
      </c>
      <c r="H155" s="5"/>
      <c r="I155" s="1"/>
      <c r="J155" s="1">
        <v>4000</v>
      </c>
      <c r="K155" s="1">
        <f>SUMIFS('BG Stock Log'!G:G,'BG Stock Log'!C:C,'BG Dashboard'!A140,'BG Stock Log'!F:F,"ADD")</f>
        <v>5000</v>
      </c>
      <c r="L155" s="1">
        <f>_xlfn.XLOOKUP(A155,'New BG List'!A:A,'New BG List'!K:K,,0)</f>
        <v>29</v>
      </c>
      <c r="M155" s="1">
        <f>_xlfn.XLOOKUP(A155,'New BG List'!A:A,'New BG List'!J:J,0)</f>
        <v>746</v>
      </c>
      <c r="N155" s="1"/>
      <c r="O155" s="1" t="str" cm="1">
        <f t="array" ref="O155">GetLastItem(AA155)</f>
        <v>TTI</v>
      </c>
      <c r="P155" s="1" cm="1">
        <f t="array" ref="P155">IFERROR(INDEX(_xlfn._xlws.SORT(_xlfn._xlws.FILTER('BG Stock Log'!G:G, ('BG Stock Log'!C:C=A155) * ('BG Stock Log'!G:G&gt;0)), 1, -1), 1),"")</f>
        <v>4000</v>
      </c>
      <c r="Q155" s="1">
        <f>IFERROR(ROUND(AVERAGEIFS('BG Stock Log'!G:G,'BG Stock Log'!C:C,'BG Dashboard'!A140,'BG Stock Log'!F:F,"ADD"),0),"")</f>
        <v>5000</v>
      </c>
      <c r="R155" s="1" t="s">
        <v>511</v>
      </c>
      <c r="S155" s="1" t="s">
        <v>1059</v>
      </c>
      <c r="T155" s="37">
        <v>7.2999999999999995E-2</v>
      </c>
      <c r="U155" s="37">
        <v>292</v>
      </c>
      <c r="V155" s="1" t="s">
        <v>588</v>
      </c>
      <c r="W155" s="37">
        <v>0.12640000000000001</v>
      </c>
      <c r="X155" s="37">
        <v>505.6</v>
      </c>
      <c r="Y155" s="36">
        <f>IFERROR(SUMIFS('BG Stock Log'!L:L,'BG Stock Log'!C:C,'BG Dashboard'!A140)/SUMIFS('BG Stock Log'!G:G,'BG Stock Log'!C:C,'BG Dashboard'!A140,'BG Stock Log'!F:F,"ADD"),"")</f>
        <v>5.0553999999999988E-2</v>
      </c>
      <c r="Z155" s="36">
        <f>IFERROR(T155*G155,"")</f>
        <v>229.22</v>
      </c>
      <c r="AA155" s="1" t="str" cm="1">
        <f t="array" ref="AA155">GetFilteredValues(A155)</f>
        <v>TTI</v>
      </c>
    </row>
    <row r="156" spans="1:27" x14ac:dyDescent="0.25">
      <c r="A156" s="1" t="s">
        <v>89</v>
      </c>
      <c r="B156" s="1" t="s">
        <v>359</v>
      </c>
      <c r="C156" s="1" t="s">
        <v>734</v>
      </c>
      <c r="D156" s="8" t="s">
        <v>210</v>
      </c>
      <c r="E156" s="1" t="s">
        <v>209</v>
      </c>
      <c r="F156" s="1" t="s">
        <v>1364</v>
      </c>
      <c r="G156" s="5">
        <f>_xlfn.XLOOKUP(A156,'BG Stock Log'!C:C,'BG Stock Log'!H:H,,0,-1)</f>
        <v>765</v>
      </c>
      <c r="H156" s="5"/>
      <c r="I156" s="1"/>
      <c r="J156" s="1">
        <v>3000</v>
      </c>
      <c r="K156" s="1">
        <f>SUMIFS('BG Stock Log'!G:G,'BG Stock Log'!C:C,'BG Dashboard'!A92,'BG Stock Log'!F:F,"ADD")</f>
        <v>4000</v>
      </c>
      <c r="L156" s="1">
        <f>_xlfn.XLOOKUP(A156,'New BG List'!A:A,'New BG List'!K:K,,0)</f>
        <v>34</v>
      </c>
      <c r="M156" s="1">
        <f>_xlfn.XLOOKUP(A156,'New BG List'!A:A,'New BG List'!J:J,0)</f>
        <v>3422</v>
      </c>
      <c r="N156" s="1"/>
      <c r="O156" s="1" t="str" cm="1">
        <f t="array" ref="O156">GetLastItem(AA156)</f>
        <v>Digikey</v>
      </c>
      <c r="P156" s="1" cm="1">
        <f t="array" ref="P156">IFERROR(INDEX(_xlfn._xlws.SORT(_xlfn._xlws.FILTER('BG Stock Log'!G:G, ('BG Stock Log'!C:C=A156) * ('BG Stock Log'!G:G&gt;0)), 1, -1), 1),"")</f>
        <v>3000</v>
      </c>
      <c r="Q156" s="1">
        <f>IFERROR(ROUND(AVERAGEIFS('BG Stock Log'!G:G,'BG Stock Log'!C:C,'BG Dashboard'!A92,'BG Stock Log'!F:F,"ADD"),0),"")</f>
        <v>4000</v>
      </c>
      <c r="R156" s="1" t="s">
        <v>511</v>
      </c>
      <c r="S156" s="1" t="s">
        <v>1083</v>
      </c>
      <c r="T156" s="37">
        <v>0.114</v>
      </c>
      <c r="U156" s="37">
        <v>342</v>
      </c>
      <c r="V156" s="1" t="s">
        <v>584</v>
      </c>
      <c r="W156" s="37">
        <v>7.0000000000000001E-3</v>
      </c>
      <c r="X156" s="37">
        <v>21</v>
      </c>
      <c r="Y156" s="36">
        <f>IFERROR(SUMIFS('BG Stock Log'!L:L,'BG Stock Log'!C:C,'BG Dashboard'!A92)/SUMIFS('BG Stock Log'!G:G,'BG Stock Log'!C:C,'BG Dashboard'!A92,'BG Stock Log'!F:F,"ADD"),"")</f>
        <v>5.7399999999999994E-3</v>
      </c>
      <c r="Z156" s="36">
        <f>IFERROR(T156*G156,"")</f>
        <v>87.210000000000008</v>
      </c>
      <c r="AA156" s="1" t="str" cm="1">
        <f t="array" ref="AA156">GetFilteredValues(A156)</f>
        <v>Ling, Digikey</v>
      </c>
    </row>
    <row r="157" spans="1:27" x14ac:dyDescent="0.25">
      <c r="A157" s="1" t="s">
        <v>1762</v>
      </c>
      <c r="B157" s="1" t="s">
        <v>1792</v>
      </c>
      <c r="C157" s="1" t="s">
        <v>1778</v>
      </c>
      <c r="D157" s="8"/>
      <c r="E157" s="1"/>
      <c r="F157" s="1" t="s">
        <v>1364</v>
      </c>
      <c r="G157" s="5">
        <f>_xlfn.XLOOKUP(A157,'BG Stock Log'!C:C,'BG Stock Log'!H:H,,0,-1)</f>
        <v>328</v>
      </c>
      <c r="H157" s="5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 t="str" cm="1">
        <f t="array" ref="AA157">GetFilteredValues(A157)</f>
        <v>Ling, LING</v>
      </c>
    </row>
    <row r="158" spans="1:27" x14ac:dyDescent="0.25">
      <c r="A158" s="10" t="s">
        <v>370</v>
      </c>
      <c r="B158" s="1" t="s">
        <v>371</v>
      </c>
      <c r="C158" s="1" t="s">
        <v>773</v>
      </c>
      <c r="D158" s="8" t="s">
        <v>1164</v>
      </c>
      <c r="E158" s="1" t="s">
        <v>114</v>
      </c>
      <c r="F158" s="1" t="s">
        <v>1364</v>
      </c>
      <c r="G158" s="5">
        <f>_xlfn.XLOOKUP(A158,'BG Stock Log'!C:C,'BG Stock Log'!H:H,,0,-1)</f>
        <v>1966</v>
      </c>
      <c r="H158" s="5"/>
      <c r="I158" s="1"/>
      <c r="J158" s="1">
        <v>4000</v>
      </c>
      <c r="K158" s="1">
        <f>SUMIFS('BG Stock Log'!G:G,'BG Stock Log'!C:C,'BG Dashboard'!A175,'BG Stock Log'!F:F,"ADD")</f>
        <v>110</v>
      </c>
      <c r="L158" s="1">
        <f>_xlfn.XLOOKUP(A158,'New BG List'!A:A,'New BG List'!K:K,,0)</f>
        <v>26</v>
      </c>
      <c r="M158" s="1">
        <f>_xlfn.XLOOKUP(A158,'New BG List'!A:A,'New BG List'!J:J,0)</f>
        <v>1323</v>
      </c>
      <c r="N158" s="1"/>
      <c r="O158" s="1" t="str" cm="1">
        <f t="array" ref="O158">GetLastItem(AA158)</f>
        <v>LCSC</v>
      </c>
      <c r="P158" s="1" cm="1">
        <f t="array" ref="P158">IFERROR(INDEX(_xlfn._xlws.SORT(_xlfn._xlws.FILTER('BG Stock Log'!G:G, ('BG Stock Log'!C:C=A158) * ('BG Stock Log'!G:G&gt;0)), 1, -1), 1),"")</f>
        <v>4000</v>
      </c>
      <c r="Q158" s="1">
        <f>IFERROR(ROUND(AVERAGEIFS('BG Stock Log'!G:G,'BG Stock Log'!C:C,'BG Dashboard'!A175,'BG Stock Log'!F:F,"ADD"),0),"")</f>
        <v>110</v>
      </c>
      <c r="R158" s="1" t="s">
        <v>511</v>
      </c>
      <c r="S158" s="1" t="s">
        <v>1042</v>
      </c>
      <c r="T158" s="37">
        <v>3.3000000000000002E-2</v>
      </c>
      <c r="U158" s="37">
        <v>132</v>
      </c>
      <c r="V158" s="1" t="s">
        <v>589</v>
      </c>
      <c r="W158" s="37">
        <v>4.3E-3</v>
      </c>
      <c r="X158" s="37">
        <v>17.2</v>
      </c>
      <c r="Y158" s="36">
        <f>IFERROR(SUMIFS('BG Stock Log'!L:L,'BG Stock Log'!C:C,'BG Dashboard'!A175)/SUMIFS('BG Stock Log'!G:G,'BG Stock Log'!C:C,'BG Dashboard'!A175,'BG Stock Log'!F:F,"ADD"),"")</f>
        <v>0</v>
      </c>
      <c r="Z158" s="36">
        <f t="shared" ref="Z158:Z189" si="4">IFERROR(T158*G158,"")</f>
        <v>64.878</v>
      </c>
      <c r="AA158" s="1" t="str" cm="1">
        <f t="array" ref="AA158">GetFilteredValues(A158)</f>
        <v>LCSC</v>
      </c>
    </row>
    <row r="159" spans="1:27" x14ac:dyDescent="0.25">
      <c r="A159" s="1" t="s">
        <v>67</v>
      </c>
      <c r="B159" s="1" t="s">
        <v>373</v>
      </c>
      <c r="C159" s="1" t="s">
        <v>791</v>
      </c>
      <c r="D159" s="8" t="s">
        <v>184</v>
      </c>
      <c r="E159" s="1" t="s">
        <v>173</v>
      </c>
      <c r="F159" s="1" t="s">
        <v>1364</v>
      </c>
      <c r="G159" s="5">
        <f>_xlfn.XLOOKUP(A159,'BG Stock Log'!C:C,'BG Stock Log'!H:H,,0,-1)</f>
        <v>3195</v>
      </c>
      <c r="H159" s="5"/>
      <c r="I159" s="1"/>
      <c r="J159" s="1">
        <v>3000</v>
      </c>
      <c r="K159" s="1">
        <f>SUMIFS('BG Stock Log'!G:G,'BG Stock Log'!C:C,'BG Dashboard'!A70,'BG Stock Log'!F:F,"ADD")</f>
        <v>0</v>
      </c>
      <c r="L159" s="1">
        <f>_xlfn.XLOOKUP(A159,'New BG List'!A:A,'New BG List'!K:K,,0)</f>
        <v>20</v>
      </c>
      <c r="M159" s="1">
        <f>_xlfn.XLOOKUP(A159,'New BG List'!A:A,'New BG List'!J:J,0)</f>
        <v>816</v>
      </c>
      <c r="N159" s="1"/>
      <c r="O159" s="1" t="str" cm="1">
        <f t="array" ref="O159">GetLastItem(AA159)</f>
        <v/>
      </c>
      <c r="P159" s="1" cm="1">
        <f t="array" ref="P159">IFERROR(INDEX(_xlfn._xlws.SORT(_xlfn._xlws.FILTER('BG Stock Log'!G:G, ('BG Stock Log'!C:C=A159) * ('BG Stock Log'!G:G&gt;0)), 1, -1), 1),"")</f>
        <v>852</v>
      </c>
      <c r="Q159" s="1" t="str">
        <f>IFERROR(ROUND(AVERAGEIFS('BG Stock Log'!G:G,'BG Stock Log'!C:C,'BG Dashboard'!A70,'BG Stock Log'!F:F,"ADD"),0),"")</f>
        <v/>
      </c>
      <c r="R159" s="1" t="s">
        <v>511</v>
      </c>
      <c r="S159" s="1" t="s">
        <v>1035</v>
      </c>
      <c r="T159" s="37">
        <v>4.2000000000000003E-2</v>
      </c>
      <c r="U159" s="37">
        <v>126.00000000000001</v>
      </c>
      <c r="V159" s="1" t="s">
        <v>590</v>
      </c>
      <c r="W159" s="37">
        <v>9.9000000000000008E-3</v>
      </c>
      <c r="X159" s="37">
        <v>29.700000000000003</v>
      </c>
      <c r="Y159" s="36" t="str">
        <f>IFERROR(SUMIFS('BG Stock Log'!L:L,'BG Stock Log'!C:C,'BG Dashboard'!A70)/SUMIFS('BG Stock Log'!G:G,'BG Stock Log'!C:C,'BG Dashboard'!A70,'BG Stock Log'!F:F,"ADD"),"")</f>
        <v/>
      </c>
      <c r="Z159" s="36">
        <f t="shared" si="4"/>
        <v>134.19</v>
      </c>
      <c r="AA159" s="1" t="str" cm="1">
        <f t="array" ref="AA159">GetFilteredValues(A159)</f>
        <v/>
      </c>
    </row>
    <row r="160" spans="1:27" x14ac:dyDescent="0.25">
      <c r="A160" s="1" t="s">
        <v>68</v>
      </c>
      <c r="B160" s="1" t="s">
        <v>374</v>
      </c>
      <c r="C160" s="1" t="s">
        <v>708</v>
      </c>
      <c r="D160" s="8" t="s">
        <v>185</v>
      </c>
      <c r="E160" s="1" t="s">
        <v>173</v>
      </c>
      <c r="F160" s="1" t="s">
        <v>1364</v>
      </c>
      <c r="G160" s="5">
        <f>_xlfn.XLOOKUP(A160,'BG Stock Log'!C:C,'BG Stock Log'!H:H,,0,-1)</f>
        <v>4407</v>
      </c>
      <c r="H160" s="5"/>
      <c r="I160" s="1"/>
      <c r="J160" s="1">
        <v>3000</v>
      </c>
      <c r="K160" s="1">
        <f>SUMIFS('BG Stock Log'!G:G,'BG Stock Log'!C:C,'BG Dashboard'!A71,'BG Stock Log'!F:F,"ADD")</f>
        <v>1000</v>
      </c>
      <c r="L160" s="1">
        <f>_xlfn.XLOOKUP(A160,'New BG List'!A:A,'New BG List'!K:K,,0)</f>
        <v>68</v>
      </c>
      <c r="M160" s="1">
        <f>_xlfn.XLOOKUP(A160,'New BG List'!A:A,'New BG List'!J:J,0)</f>
        <v>11215</v>
      </c>
      <c r="N160" s="1"/>
      <c r="O160" s="1" t="str" cm="1">
        <f t="array" ref="O160">GetLastItem(AA160)</f>
        <v>eSonic</v>
      </c>
      <c r="P160" s="1" cm="1">
        <f t="array" ref="P160">IFERROR(INDEX(_xlfn._xlws.SORT(_xlfn._xlws.FILTER('BG Stock Log'!G:G, ('BG Stock Log'!C:C=A160) * ('BG Stock Log'!G:G&gt;0)), 1, -1), 1),"")</f>
        <v>12000</v>
      </c>
      <c r="Q160" s="1">
        <f>IFERROR(ROUND(AVERAGEIFS('BG Stock Log'!G:G,'BG Stock Log'!C:C,'BG Dashboard'!A71,'BG Stock Log'!F:F,"ADD"),0),"")</f>
        <v>1000</v>
      </c>
      <c r="R160" s="1" t="s">
        <v>511</v>
      </c>
      <c r="S160" s="1" t="s">
        <v>1032</v>
      </c>
      <c r="T160" s="37">
        <v>0.04</v>
      </c>
      <c r="U160" s="37">
        <v>120</v>
      </c>
      <c r="V160" s="1" t="s">
        <v>591</v>
      </c>
      <c r="W160" s="37">
        <v>1.21E-2</v>
      </c>
      <c r="X160" s="37">
        <v>36.299999999999997</v>
      </c>
      <c r="Y160" s="36">
        <f>IFERROR(SUMIFS('BG Stock Log'!L:L,'BG Stock Log'!C:C,'BG Dashboard'!A71)/SUMIFS('BG Stock Log'!G:G,'BG Stock Log'!C:C,'BG Dashboard'!A71,'BG Stock Log'!F:F,"ADD"),"")</f>
        <v>0</v>
      </c>
      <c r="Z160" s="36">
        <f t="shared" si="4"/>
        <v>176.28</v>
      </c>
      <c r="AA160" s="1" t="str" cm="1">
        <f t="array" ref="AA160">GetFilteredValues(A160)</f>
        <v>Future, LCSC, LCSC, Ling, eSonic</v>
      </c>
    </row>
    <row r="161" spans="1:27" x14ac:dyDescent="0.25">
      <c r="A161" s="1" t="s">
        <v>69</v>
      </c>
      <c r="B161" s="1" t="s">
        <v>375</v>
      </c>
      <c r="C161" s="1" t="s">
        <v>715</v>
      </c>
      <c r="D161" s="8" t="s">
        <v>186</v>
      </c>
      <c r="E161" s="1" t="s">
        <v>175</v>
      </c>
      <c r="F161" s="1" t="s">
        <v>1364</v>
      </c>
      <c r="G161" s="5">
        <f>_xlfn.XLOOKUP(A161,'BG Stock Log'!C:C,'BG Stock Log'!H:H,,0,-1)</f>
        <v>5009</v>
      </c>
      <c r="H161" s="5"/>
      <c r="I161" s="1"/>
      <c r="J161" s="1">
        <v>3000</v>
      </c>
      <c r="K161" s="1">
        <f>SUMIFS('BG Stock Log'!G:G,'BG Stock Log'!C:C,'BG Dashboard'!A72,'BG Stock Log'!F:F,"ADD")</f>
        <v>0</v>
      </c>
      <c r="L161" s="1">
        <f>_xlfn.XLOOKUP(A161,'New BG List'!A:A,'New BG List'!K:K,,0)</f>
        <v>47</v>
      </c>
      <c r="M161" s="1">
        <f>_xlfn.XLOOKUP(A161,'New BG List'!A:A,'New BG List'!J:J,0)</f>
        <v>9441</v>
      </c>
      <c r="N161" s="1"/>
      <c r="O161" s="1" t="str" cm="1">
        <f t="array" ref="O161">GetLastItem(AA161)</f>
        <v>eSonic</v>
      </c>
      <c r="P161" s="1" cm="1">
        <f t="array" ref="P161">IFERROR(INDEX(_xlfn._xlws.SORT(_xlfn._xlws.FILTER('BG Stock Log'!G:G, ('BG Stock Log'!C:C=A161) * ('BG Stock Log'!G:G&gt;0)), 1, -1), 1),"")</f>
        <v>9000</v>
      </c>
      <c r="Q161" s="1" t="str">
        <f>IFERROR(ROUND(AVERAGEIFS('BG Stock Log'!G:G,'BG Stock Log'!C:C,'BG Dashboard'!A72,'BG Stock Log'!F:F,"ADD"),0),"")</f>
        <v/>
      </c>
      <c r="R161" s="1" t="s">
        <v>511</v>
      </c>
      <c r="S161" s="1" t="s">
        <v>1029</v>
      </c>
      <c r="T161" s="37">
        <v>4.4999999999999998E-2</v>
      </c>
      <c r="U161" s="37">
        <v>135</v>
      </c>
      <c r="V161" s="1" t="s">
        <v>592</v>
      </c>
      <c r="W161" s="37">
        <v>2.4400000000000002E-2</v>
      </c>
      <c r="X161" s="37">
        <v>73.2</v>
      </c>
      <c r="Y161" s="36" t="str">
        <f>IFERROR(SUMIFS('BG Stock Log'!L:L,'BG Stock Log'!C:C,'BG Dashboard'!A72)/SUMIFS('BG Stock Log'!G:G,'BG Stock Log'!C:C,'BG Dashboard'!A72,'BG Stock Log'!F:F,"ADD"),"")</f>
        <v/>
      </c>
      <c r="Z161" s="36">
        <f t="shared" si="4"/>
        <v>225.405</v>
      </c>
      <c r="AA161" s="1" t="str" cm="1">
        <f t="array" ref="AA161">GetFilteredValues(A161)</f>
        <v>Future, LING, Ling, LCSC, eSonic</v>
      </c>
    </row>
    <row r="162" spans="1:27" x14ac:dyDescent="0.25">
      <c r="A162" s="1" t="s">
        <v>426</v>
      </c>
      <c r="B162" s="1" t="s">
        <v>427</v>
      </c>
      <c r="C162" s="1" t="s">
        <v>831</v>
      </c>
      <c r="D162" s="8" t="s">
        <v>1129</v>
      </c>
      <c r="E162" s="1" t="s">
        <v>159</v>
      </c>
      <c r="F162" s="1" t="s">
        <v>1364</v>
      </c>
      <c r="G162" s="5">
        <f>_xlfn.XLOOKUP(A162,'BG Stock Log'!C:C,'BG Stock Log'!H:H,,0,-1)</f>
        <v>3724</v>
      </c>
      <c r="H162" s="5"/>
      <c r="I162" s="1"/>
      <c r="J162" s="1">
        <v>5000</v>
      </c>
      <c r="K162" s="1">
        <f>SUMIFS('BG Stock Log'!G:G,'BG Stock Log'!C:C,'BG Dashboard'!A130,'BG Stock Log'!F:F,"ADD")</f>
        <v>0</v>
      </c>
      <c r="L162" s="1">
        <f>_xlfn.XLOOKUP(A162,'New BG List'!A:A,'New BG List'!K:K,,0)</f>
        <v>20</v>
      </c>
      <c r="M162" s="1">
        <f>_xlfn.XLOOKUP(A162,'New BG List'!A:A,'New BG List'!J:J,0)</f>
        <v>338</v>
      </c>
      <c r="N162" s="1"/>
      <c r="O162" s="1" t="str" cm="1">
        <f t="array" ref="O162">GetLastItem(AA162)</f>
        <v>LCSC</v>
      </c>
      <c r="P162" s="1" cm="1">
        <f t="array" ref="P162">IFERROR(INDEX(_xlfn._xlws.SORT(_xlfn._xlws.FILTER('BG Stock Log'!G:G, ('BG Stock Log'!C:C=A162) * ('BG Stock Log'!G:G&gt;0)), 1, -1), 1),"")</f>
        <v>5000</v>
      </c>
      <c r="Q162" s="1" t="str">
        <f>IFERROR(ROUND(AVERAGEIFS('BG Stock Log'!G:G,'BG Stock Log'!C:C,'BG Dashboard'!A130,'BG Stock Log'!F:F,"ADD"),0),"")</f>
        <v/>
      </c>
      <c r="R162" s="1" t="s">
        <v>511</v>
      </c>
      <c r="S162" s="1" t="s">
        <v>910</v>
      </c>
      <c r="T162" s="37">
        <v>5.3999999999999999E-2</v>
      </c>
      <c r="U162" s="37">
        <v>270</v>
      </c>
      <c r="V162" s="1" t="s">
        <v>636</v>
      </c>
      <c r="W162" s="37">
        <v>1.4500000000000001E-2</v>
      </c>
      <c r="X162" s="37">
        <v>72.5</v>
      </c>
      <c r="Y162" s="36" t="str">
        <f>IFERROR(SUMIFS('BG Stock Log'!L:L,'BG Stock Log'!C:C,'BG Dashboard'!A130)/SUMIFS('BG Stock Log'!G:G,'BG Stock Log'!C:C,'BG Dashboard'!A130,'BG Stock Log'!F:F,"ADD"),"")</f>
        <v/>
      </c>
      <c r="Z162" s="36">
        <f t="shared" si="4"/>
        <v>201.096</v>
      </c>
      <c r="AA162" s="1" t="str" cm="1">
        <f t="array" ref="AA162">GetFilteredValues(A162)</f>
        <v>LCSC</v>
      </c>
    </row>
    <row r="163" spans="1:27" x14ac:dyDescent="0.25">
      <c r="A163" s="1" t="s">
        <v>11</v>
      </c>
      <c r="B163" s="1" t="s">
        <v>411</v>
      </c>
      <c r="C163" s="1" t="s">
        <v>792</v>
      </c>
      <c r="D163" s="8" t="s">
        <v>122</v>
      </c>
      <c r="E163" s="1" t="s">
        <v>106</v>
      </c>
      <c r="F163" s="1" t="s">
        <v>1364</v>
      </c>
      <c r="G163" s="5">
        <f>_xlfn.XLOOKUP(A163,'BG Stock Log'!C:C,'BG Stock Log'!H:H,,0,-1)</f>
        <v>1809</v>
      </c>
      <c r="H163" s="5"/>
      <c r="I163" s="1"/>
      <c r="J163" s="1">
        <v>5000</v>
      </c>
      <c r="K163" s="1">
        <f>SUMIFS('BG Stock Log'!G:G,'BG Stock Log'!C:C,'BG Dashboard'!A14,'BG Stock Log'!F:F,"ADD")</f>
        <v>0</v>
      </c>
      <c r="L163" s="1">
        <f>_xlfn.XLOOKUP(A163,'New BG List'!A:A,'New BG List'!K:K,,0)</f>
        <v>13</v>
      </c>
      <c r="M163" s="1">
        <f>_xlfn.XLOOKUP(A163,'New BG List'!A:A,'New BG List'!J:J,0)</f>
        <v>815</v>
      </c>
      <c r="N163" s="1" t="s">
        <v>1384</v>
      </c>
      <c r="O163" s="1" t="str" cm="1">
        <f t="array" ref="O163">GetLastItem(AA163)</f>
        <v/>
      </c>
      <c r="P163" s="1" t="str" cm="1">
        <f t="array" ref="P163">IFERROR(INDEX(_xlfn._xlws.SORT(_xlfn._xlws.FILTER('BG Stock Log'!G:G, ('BG Stock Log'!C:C=A163) * ('BG Stock Log'!G:G&gt;0)), 1, -1), 1),"")</f>
        <v/>
      </c>
      <c r="Q163" s="1" t="str">
        <f>IFERROR(ROUND(AVERAGEIFS('BG Stock Log'!G:G,'BG Stock Log'!C:C,'BG Dashboard'!A14,'BG Stock Log'!F:F,"ADD"),0),"")</f>
        <v/>
      </c>
      <c r="R163" s="1" t="s">
        <v>511</v>
      </c>
      <c r="S163" s="1" t="s">
        <v>956</v>
      </c>
      <c r="T163" s="37">
        <v>6.1000000000000004E-3</v>
      </c>
      <c r="U163" s="37">
        <v>30.500000000000004</v>
      </c>
      <c r="V163" s="1" t="s">
        <v>628</v>
      </c>
      <c r="W163" s="37">
        <v>1.6999999999999999E-3</v>
      </c>
      <c r="X163" s="37">
        <v>8.5</v>
      </c>
      <c r="Y163" s="36" t="str">
        <f>IFERROR(SUMIFS('BG Stock Log'!L:L,'BG Stock Log'!C:C,'BG Dashboard'!A14)/SUMIFS('BG Stock Log'!G:G,'BG Stock Log'!C:C,'BG Dashboard'!A14,'BG Stock Log'!F:F,"ADD"),"")</f>
        <v/>
      </c>
      <c r="Z163" s="36">
        <f t="shared" si="4"/>
        <v>11.0349</v>
      </c>
      <c r="AA163" s="1" t="str" cm="1">
        <f t="array" ref="AA163">GetFilteredValues(A163)</f>
        <v/>
      </c>
    </row>
    <row r="164" spans="1:27" x14ac:dyDescent="0.25">
      <c r="A164" s="1" t="s">
        <v>12</v>
      </c>
      <c r="B164" s="1" t="s">
        <v>432</v>
      </c>
      <c r="C164" s="1" t="s">
        <v>761</v>
      </c>
      <c r="D164" s="8" t="s">
        <v>1211</v>
      </c>
      <c r="E164" s="1" t="s">
        <v>132</v>
      </c>
      <c r="F164" s="1" t="s">
        <v>1364</v>
      </c>
      <c r="G164" s="5">
        <f>_xlfn.XLOOKUP(A164,'BG Stock Log'!C:C,'BG Stock Log'!H:H,,0,-1)</f>
        <v>9639</v>
      </c>
      <c r="H164" s="5"/>
      <c r="I164" s="1"/>
      <c r="J164" s="1">
        <v>5000</v>
      </c>
      <c r="K164" s="1">
        <f>SUMIFS('BG Stock Log'!G:G,'BG Stock Log'!C:C,'BG Dashboard'!A15,'BG Stock Log'!F:F,"ADD")</f>
        <v>0</v>
      </c>
      <c r="L164" s="1">
        <f>_xlfn.XLOOKUP(A164,'New BG List'!A:A,'New BG List'!K:K,,0)</f>
        <v>14</v>
      </c>
      <c r="M164" s="1">
        <f>_xlfn.XLOOKUP(A164,'New BG List'!A:A,'New BG List'!J:J,0)</f>
        <v>1577</v>
      </c>
      <c r="N164" s="1"/>
      <c r="O164" s="1" t="str" cm="1">
        <f t="array" ref="O164">GetLastItem(AA164)</f>
        <v>LCSC</v>
      </c>
      <c r="P164" s="1" cm="1">
        <f t="array" ref="P164">IFERROR(INDEX(_xlfn._xlws.SORT(_xlfn._xlws.FILTER('BG Stock Log'!G:G, ('BG Stock Log'!C:C=A164) * ('BG Stock Log'!G:G&gt;0)), 1, -1), 1),"")</f>
        <v>10000</v>
      </c>
      <c r="Q164" s="1" t="str">
        <f>IFERROR(ROUND(AVERAGEIFS('BG Stock Log'!G:G,'BG Stock Log'!C:C,'BG Dashboard'!A15,'BG Stock Log'!F:F,"ADD"),0),"")</f>
        <v/>
      </c>
      <c r="R164" s="1" t="s">
        <v>511</v>
      </c>
      <c r="S164" s="1" t="s">
        <v>947</v>
      </c>
      <c r="T164" s="37">
        <v>6.6E-3</v>
      </c>
      <c r="U164" s="37">
        <v>33</v>
      </c>
      <c r="V164" s="1" t="s">
        <v>639</v>
      </c>
      <c r="W164" s="37">
        <v>8.0000000000000004E-4</v>
      </c>
      <c r="X164" s="37">
        <v>4</v>
      </c>
      <c r="Y164" s="36" t="str">
        <f>IFERROR(SUMIFS('BG Stock Log'!L:L,'BG Stock Log'!C:C,'BG Dashboard'!A15)/SUMIFS('BG Stock Log'!G:G,'BG Stock Log'!C:C,'BG Dashboard'!A15,'BG Stock Log'!F:F,"ADD"),"")</f>
        <v/>
      </c>
      <c r="Z164" s="36">
        <f t="shared" si="4"/>
        <v>63.617399999999996</v>
      </c>
      <c r="AA164" s="1" t="str" cm="1">
        <f t="array" ref="AA164">GetFilteredValues(A164)</f>
        <v>LCSC</v>
      </c>
    </row>
    <row r="165" spans="1:27" x14ac:dyDescent="0.25">
      <c r="A165" s="1" t="s">
        <v>13</v>
      </c>
      <c r="B165" s="1" t="s">
        <v>453</v>
      </c>
      <c r="C165" s="1" t="s">
        <v>777</v>
      </c>
      <c r="D165" s="8" t="s">
        <v>123</v>
      </c>
      <c r="E165" s="1" t="s">
        <v>106</v>
      </c>
      <c r="F165" s="1" t="s">
        <v>1364</v>
      </c>
      <c r="G165" s="5">
        <f>_xlfn.XLOOKUP(A165,'BG Stock Log'!C:C,'BG Stock Log'!H:H,,0,-1)</f>
        <v>846</v>
      </c>
      <c r="H165" s="5"/>
      <c r="I165" s="1"/>
      <c r="J165" s="1">
        <v>5000</v>
      </c>
      <c r="K165" s="1">
        <f>SUMIFS('BG Stock Log'!G:G,'BG Stock Log'!C:C,'BG Dashboard'!A16,'BG Stock Log'!F:F,"ADD")</f>
        <v>0</v>
      </c>
      <c r="L165" s="1">
        <f>_xlfn.XLOOKUP(A165,'New BG List'!A:A,'New BG List'!K:K,,0)</f>
        <v>16</v>
      </c>
      <c r="M165" s="1">
        <f>_xlfn.XLOOKUP(A165,'New BG List'!A:A,'New BG List'!J:J,0)</f>
        <v>1226</v>
      </c>
      <c r="N165" s="1"/>
      <c r="O165" s="1" t="str" cm="1">
        <f t="array" ref="O165">GetLastItem(AA165)</f>
        <v/>
      </c>
      <c r="P165" s="1" t="str" cm="1">
        <f t="array" ref="P165">IFERROR(INDEX(_xlfn._xlws.SORT(_xlfn._xlws.FILTER('BG Stock Log'!G:G, ('BG Stock Log'!C:C=A165) * ('BG Stock Log'!G:G&gt;0)), 1, -1), 1),"")</f>
        <v/>
      </c>
      <c r="Q165" s="1" t="str">
        <f>IFERROR(ROUND(AVERAGEIFS('BG Stock Log'!G:G,'BG Stock Log'!C:C,'BG Dashboard'!A16,'BG Stock Log'!F:F,"ADD"),0),"")</f>
        <v/>
      </c>
      <c r="R165" s="1" t="s">
        <v>511</v>
      </c>
      <c r="S165" s="1" t="s">
        <v>953</v>
      </c>
      <c r="T165" s="37">
        <v>4.5999999999999999E-3</v>
      </c>
      <c r="U165" s="37">
        <v>23</v>
      </c>
      <c r="V165" s="1" t="s">
        <v>650</v>
      </c>
      <c r="W165" s="37">
        <v>8.0000000000000004E-4</v>
      </c>
      <c r="X165" s="37">
        <v>4</v>
      </c>
      <c r="Y165" s="36" t="str">
        <f>IFERROR(SUMIFS('BG Stock Log'!L:L,'BG Stock Log'!C:C,'BG Dashboard'!A16)/SUMIFS('BG Stock Log'!G:G,'BG Stock Log'!C:C,'BG Dashboard'!A16,'BG Stock Log'!F:F,"ADD"),"")</f>
        <v/>
      </c>
      <c r="Z165" s="36">
        <f t="shared" si="4"/>
        <v>3.8915999999999999</v>
      </c>
      <c r="AA165" s="1" t="str" cm="1">
        <f t="array" ref="AA165">GetFilteredValues(A165)</f>
        <v/>
      </c>
    </row>
    <row r="166" spans="1:27" x14ac:dyDescent="0.25">
      <c r="A166" s="1" t="s">
        <v>14</v>
      </c>
      <c r="B166" s="1" t="s">
        <v>483</v>
      </c>
      <c r="C166" s="1" t="s">
        <v>766</v>
      </c>
      <c r="D166" s="8" t="s">
        <v>124</v>
      </c>
      <c r="E166" s="1" t="s">
        <v>106</v>
      </c>
      <c r="F166" s="1" t="s">
        <v>1364</v>
      </c>
      <c r="G166" s="5">
        <f>_xlfn.XLOOKUP(A166,'BG Stock Log'!C:C,'BG Stock Log'!H:H,,0,-1)</f>
        <v>9830</v>
      </c>
      <c r="H166" s="5"/>
      <c r="I166" s="1"/>
      <c r="J166" s="1">
        <v>5000</v>
      </c>
      <c r="K166" s="1">
        <f>SUMIFS('BG Stock Log'!G:G,'BG Stock Log'!C:C,'BG Dashboard'!A17,'BG Stock Log'!F:F,"ADD")</f>
        <v>0</v>
      </c>
      <c r="L166" s="1">
        <f>_xlfn.XLOOKUP(A166,'New BG List'!A:A,'New BG List'!K:K,,0)</f>
        <v>9</v>
      </c>
      <c r="M166" s="1">
        <f>_xlfn.XLOOKUP(A166,'New BG List'!A:A,'New BG List'!J:J,0)</f>
        <v>1452</v>
      </c>
      <c r="N166" s="1"/>
      <c r="O166" s="1" t="str" cm="1">
        <f t="array" ref="O166">GetLastItem(AA166)</f>
        <v/>
      </c>
      <c r="P166" s="1" cm="1">
        <f t="array" ref="P166">IFERROR(INDEX(_xlfn._xlws.SORT(_xlfn._xlws.FILTER('BG Stock Log'!G:G, ('BG Stock Log'!C:C=A166) * ('BG Stock Log'!G:G&gt;0)), 1, -1), 1),"")</f>
        <v>10000</v>
      </c>
      <c r="Q166" s="1" t="str">
        <f>IFERROR(ROUND(AVERAGEIFS('BG Stock Log'!G:G,'BG Stock Log'!C:C,'BG Dashboard'!A17,'BG Stock Log'!F:F,"ADD"),0),"")</f>
        <v/>
      </c>
      <c r="R166" s="1" t="s">
        <v>1316</v>
      </c>
      <c r="S166" s="1" t="s">
        <v>1414</v>
      </c>
      <c r="T166" s="37">
        <v>5.0000000000000001E-3</v>
      </c>
      <c r="U166" s="37">
        <v>25</v>
      </c>
      <c r="V166" s="1" t="s">
        <v>666</v>
      </c>
      <c r="W166" s="37">
        <v>8.0000000000000004E-4</v>
      </c>
      <c r="X166" s="37">
        <v>4</v>
      </c>
      <c r="Y166" s="36" t="str">
        <f>IFERROR(SUMIFS('BG Stock Log'!L:L,'BG Stock Log'!C:C,'BG Dashboard'!A17)/SUMIFS('BG Stock Log'!G:G,'BG Stock Log'!C:C,'BG Dashboard'!A17,'BG Stock Log'!F:F,"ADD"),"")</f>
        <v/>
      </c>
      <c r="Z166" s="36">
        <f t="shared" si="4"/>
        <v>49.15</v>
      </c>
      <c r="AA166" s="1" t="str" cm="1">
        <f t="array" ref="AA166">GetFilteredValues(A166)</f>
        <v/>
      </c>
    </row>
    <row r="167" spans="1:27" x14ac:dyDescent="0.25">
      <c r="A167" s="1" t="s">
        <v>15</v>
      </c>
      <c r="B167" s="1" t="s">
        <v>474</v>
      </c>
      <c r="C167" s="1" t="s">
        <v>780</v>
      </c>
      <c r="D167" s="8" t="s">
        <v>125</v>
      </c>
      <c r="E167" s="1" t="s">
        <v>106</v>
      </c>
      <c r="F167" s="1" t="s">
        <v>1364</v>
      </c>
      <c r="G167" s="5">
        <f>_xlfn.XLOOKUP(A167,'BG Stock Log'!C:C,'BG Stock Log'!H:H,,0,-1)</f>
        <v>10419</v>
      </c>
      <c r="H167" s="5"/>
      <c r="I167" s="1"/>
      <c r="J167" s="1">
        <v>5000</v>
      </c>
      <c r="K167" s="1">
        <f>SUMIFS('BG Stock Log'!G:G,'BG Stock Log'!C:C,'BG Dashboard'!A18,'BG Stock Log'!F:F,"ADD")</f>
        <v>0</v>
      </c>
      <c r="L167" s="1">
        <f>_xlfn.XLOOKUP(A167,'New BG List'!A:A,'New BG List'!K:K,,0)</f>
        <v>27</v>
      </c>
      <c r="M167" s="1">
        <f>_xlfn.XLOOKUP(A167,'New BG List'!A:A,'New BG List'!J:J,0)</f>
        <v>1105</v>
      </c>
      <c r="N167" s="1"/>
      <c r="O167" s="1" t="str" cm="1">
        <f t="array" ref="O167">GetLastItem(AA167)</f>
        <v>LCSC</v>
      </c>
      <c r="P167" s="1" cm="1">
        <f t="array" ref="P167">IFERROR(INDEX(_xlfn._xlws.SORT(_xlfn._xlws.FILTER('BG Stock Log'!G:G, ('BG Stock Log'!C:C=A167) * ('BG Stock Log'!G:G&gt;0)), 1, -1), 1),"")</f>
        <v>15000</v>
      </c>
      <c r="Q167" s="1" t="str">
        <f>IFERROR(ROUND(AVERAGEIFS('BG Stock Log'!G:G,'BG Stock Log'!C:C,'BG Dashboard'!A18,'BG Stock Log'!F:F,"ADD"),0),"")</f>
        <v/>
      </c>
      <c r="R167" s="1" t="s">
        <v>511</v>
      </c>
      <c r="S167" s="1" t="s">
        <v>954</v>
      </c>
      <c r="T167" s="37">
        <v>4.5999999999999999E-3</v>
      </c>
      <c r="U167" s="37">
        <v>23</v>
      </c>
      <c r="V167" s="1" t="s">
        <v>661</v>
      </c>
      <c r="W167" s="37">
        <v>1.2999999999999999E-3</v>
      </c>
      <c r="X167" s="37">
        <v>6.5</v>
      </c>
      <c r="Y167" s="36" t="str">
        <f>IFERROR(SUMIFS('BG Stock Log'!L:L,'BG Stock Log'!C:C,'BG Dashboard'!A18)/SUMIFS('BG Stock Log'!G:G,'BG Stock Log'!C:C,'BG Dashboard'!A18,'BG Stock Log'!F:F,"ADD"),"")</f>
        <v/>
      </c>
      <c r="Z167" s="36">
        <f t="shared" si="4"/>
        <v>47.927399999999999</v>
      </c>
      <c r="AA167" s="1" t="str" cm="1">
        <f t="array" ref="AA167">GetFilteredValues(A167)</f>
        <v>LCSC</v>
      </c>
    </row>
    <row r="168" spans="1:27" x14ac:dyDescent="0.25">
      <c r="A168" s="1" t="s">
        <v>16</v>
      </c>
      <c r="B168" s="1" t="s">
        <v>484</v>
      </c>
      <c r="C168" s="1" t="s">
        <v>745</v>
      </c>
      <c r="D168" s="8" t="s">
        <v>126</v>
      </c>
      <c r="E168" s="1" t="s">
        <v>106</v>
      </c>
      <c r="F168" s="1" t="s">
        <v>1364</v>
      </c>
      <c r="G168" s="5">
        <f>_xlfn.XLOOKUP(A168,'BG Stock Log'!C:C,'BG Stock Log'!H:H,,0,-1)</f>
        <v>1010</v>
      </c>
      <c r="H168" s="5"/>
      <c r="I168" s="1"/>
      <c r="J168" s="1">
        <v>5000</v>
      </c>
      <c r="K168" s="1">
        <f>SUMIFS('BG Stock Log'!G:G,'BG Stock Log'!C:C,'BG Dashboard'!A19,'BG Stock Log'!F:F,"ADD")</f>
        <v>0</v>
      </c>
      <c r="L168" s="1">
        <f>_xlfn.XLOOKUP(A168,'New BG List'!A:A,'New BG List'!K:K,,0)</f>
        <v>10</v>
      </c>
      <c r="M168" s="1">
        <f>_xlfn.XLOOKUP(A168,'New BG List'!A:A,'New BG List'!J:J,0)</f>
        <v>2256</v>
      </c>
      <c r="N168" s="1"/>
      <c r="O168" s="1" t="str" cm="1">
        <f t="array" ref="O168">GetLastItem(AA168)</f>
        <v/>
      </c>
      <c r="P168" s="1" t="str" cm="1">
        <f t="array" ref="P168">IFERROR(INDEX(_xlfn._xlws.SORT(_xlfn._xlws.FILTER('BG Stock Log'!G:G, ('BG Stock Log'!C:C=A168) * ('BG Stock Log'!G:G&gt;0)), 1, -1), 1),"")</f>
        <v/>
      </c>
      <c r="Q168" s="1" t="str">
        <f>IFERROR(ROUND(AVERAGEIFS('BG Stock Log'!G:G,'BG Stock Log'!C:C,'BG Dashboard'!A19,'BG Stock Log'!F:F,"ADD"),0),"")</f>
        <v/>
      </c>
      <c r="R168" s="1" t="s">
        <v>511</v>
      </c>
      <c r="S168" s="1" t="s">
        <v>918</v>
      </c>
      <c r="T168" s="37">
        <v>3.0000000000000001E-3</v>
      </c>
      <c r="U168" s="37">
        <v>15</v>
      </c>
      <c r="V168" s="1" t="s">
        <v>667</v>
      </c>
      <c r="W168" s="37">
        <v>8.0000000000000004E-4</v>
      </c>
      <c r="X168" s="37">
        <v>4</v>
      </c>
      <c r="Y168" s="36" t="str">
        <f>IFERROR(SUMIFS('BG Stock Log'!L:L,'BG Stock Log'!C:C,'BG Dashboard'!A19)/SUMIFS('BG Stock Log'!G:G,'BG Stock Log'!C:C,'BG Dashboard'!A19,'BG Stock Log'!F:F,"ADD"),"")</f>
        <v/>
      </c>
      <c r="Z168" s="36">
        <f t="shared" si="4"/>
        <v>3.0300000000000002</v>
      </c>
      <c r="AA168" s="1" t="str" cm="1">
        <f t="array" ref="AA168">GetFilteredValues(A168)</f>
        <v/>
      </c>
    </row>
    <row r="169" spans="1:27" x14ac:dyDescent="0.25">
      <c r="A169" s="1" t="s">
        <v>17</v>
      </c>
      <c r="B169" s="1" t="s">
        <v>485</v>
      </c>
      <c r="C169" s="1" t="s">
        <v>809</v>
      </c>
      <c r="D169" s="8" t="s">
        <v>127</v>
      </c>
      <c r="E169" s="1" t="s">
        <v>106</v>
      </c>
      <c r="F169" s="1" t="s">
        <v>1364</v>
      </c>
      <c r="G169" s="5">
        <f>_xlfn.XLOOKUP(A169,'BG Stock Log'!C:C,'BG Stock Log'!H:H,,0,-1)</f>
        <v>3500</v>
      </c>
      <c r="H169" s="5"/>
      <c r="I169" s="1"/>
      <c r="J169" s="1">
        <v>5000</v>
      </c>
      <c r="K169" s="1">
        <f>SUMIFS('BG Stock Log'!G:G,'BG Stock Log'!C:C,'BG Dashboard'!A20,'BG Stock Log'!F:F,"ADD")</f>
        <v>0</v>
      </c>
      <c r="L169" s="1">
        <f>_xlfn.XLOOKUP(A169,'New BG List'!A:A,'New BG List'!K:K,,0)</f>
        <v>2</v>
      </c>
      <c r="M169" s="1">
        <f>_xlfn.XLOOKUP(A169,'New BG List'!A:A,'New BG List'!J:J,0)</f>
        <v>510</v>
      </c>
      <c r="N169" s="1"/>
      <c r="O169" s="1" t="str" cm="1">
        <f t="array" ref="O169">GetLastItem(AA169)</f>
        <v/>
      </c>
      <c r="P169" s="1" t="str" cm="1">
        <f t="array" ref="P169">IFERROR(INDEX(_xlfn._xlws.SORT(_xlfn._xlws.FILTER('BG Stock Log'!G:G, ('BG Stock Log'!C:C=A169) * ('BG Stock Log'!G:G&gt;0)), 1, -1), 1),"")</f>
        <v/>
      </c>
      <c r="Q169" s="1" t="str">
        <f>IFERROR(ROUND(AVERAGEIFS('BG Stock Log'!G:G,'BG Stock Log'!C:C,'BG Dashboard'!A20,'BG Stock Log'!F:F,"ADD"),0),"")</f>
        <v/>
      </c>
      <c r="R169" s="1" t="s">
        <v>1316</v>
      </c>
      <c r="S169" s="1" t="s">
        <v>1415</v>
      </c>
      <c r="T169" s="37">
        <v>1.0999999999999999E-2</v>
      </c>
      <c r="U169" s="37">
        <v>55</v>
      </c>
      <c r="V169" s="1" t="s">
        <v>668</v>
      </c>
      <c r="W169" s="37">
        <v>8.0000000000000004E-4</v>
      </c>
      <c r="X169" s="37">
        <v>4</v>
      </c>
      <c r="Y169" s="36" t="str">
        <f>IFERROR(SUMIFS('BG Stock Log'!L:L,'BG Stock Log'!C:C,'BG Dashboard'!A20)/SUMIFS('BG Stock Log'!G:G,'BG Stock Log'!C:C,'BG Dashboard'!A20,'BG Stock Log'!F:F,"ADD"),"")</f>
        <v/>
      </c>
      <c r="Z169" s="36">
        <f t="shared" si="4"/>
        <v>38.5</v>
      </c>
      <c r="AA169" s="1" t="str" cm="1">
        <f t="array" ref="AA169">GetFilteredValues(A169)</f>
        <v/>
      </c>
    </row>
    <row r="170" spans="1:27" x14ac:dyDescent="0.25">
      <c r="A170" s="1" t="s">
        <v>18</v>
      </c>
      <c r="B170" s="1" t="s">
        <v>487</v>
      </c>
      <c r="C170" s="1" t="s">
        <v>726</v>
      </c>
      <c r="D170" s="8" t="s">
        <v>128</v>
      </c>
      <c r="E170" s="1" t="s">
        <v>106</v>
      </c>
      <c r="F170" s="1" t="s">
        <v>1364</v>
      </c>
      <c r="G170" s="5">
        <f>_xlfn.XLOOKUP(A170,'BG Stock Log'!C:C,'BG Stock Log'!H:H,,0,-1)</f>
        <v>960</v>
      </c>
      <c r="H170" s="5"/>
      <c r="I170" s="1"/>
      <c r="J170" s="1">
        <v>5000</v>
      </c>
      <c r="K170" s="1">
        <f>SUMIFS('BG Stock Log'!G:G,'BG Stock Log'!C:C,'BG Dashboard'!A21,'BG Stock Log'!F:F,"ADD")</f>
        <v>0</v>
      </c>
      <c r="L170" s="1">
        <f>_xlfn.XLOOKUP(A170,'New BG List'!A:A,'New BG List'!K:K,,0)</f>
        <v>15</v>
      </c>
      <c r="M170" s="1">
        <f>_xlfn.XLOOKUP(A170,'New BG List'!A:A,'New BG List'!J:J,0)</f>
        <v>4967</v>
      </c>
      <c r="N170" s="1"/>
      <c r="O170" s="1" t="str" cm="1">
        <f t="array" ref="O170">GetLastItem(AA170)</f>
        <v>LCSC</v>
      </c>
      <c r="P170" s="1" cm="1">
        <f t="array" ref="P170">IFERROR(INDEX(_xlfn._xlws.SORT(_xlfn._xlws.FILTER('BG Stock Log'!G:G, ('BG Stock Log'!C:C=A170) * ('BG Stock Log'!G:G&gt;0)), 1, -1), 1),"")</f>
        <v>10000</v>
      </c>
      <c r="Q170" s="1" t="str">
        <f>IFERROR(ROUND(AVERAGEIFS('BG Stock Log'!G:G,'BG Stock Log'!C:C,'BG Dashboard'!A21,'BG Stock Log'!F:F,"ADD"),0),"")</f>
        <v/>
      </c>
      <c r="R170" s="1" t="s">
        <v>511</v>
      </c>
      <c r="S170" s="1" t="s">
        <v>944</v>
      </c>
      <c r="T170" s="37">
        <v>6.1000000000000004E-3</v>
      </c>
      <c r="U170" s="37">
        <v>30.500000000000004</v>
      </c>
      <c r="V170" s="1" t="s">
        <v>670</v>
      </c>
      <c r="W170" s="37">
        <v>8.0000000000000004E-4</v>
      </c>
      <c r="X170" s="37">
        <v>4</v>
      </c>
      <c r="Y170" s="36" t="str">
        <f>IFERROR(SUMIFS('BG Stock Log'!L:L,'BG Stock Log'!C:C,'BG Dashboard'!A21)/SUMIFS('BG Stock Log'!G:G,'BG Stock Log'!C:C,'BG Dashboard'!A21,'BG Stock Log'!F:F,"ADD"),"")</f>
        <v/>
      </c>
      <c r="Z170" s="36">
        <f t="shared" si="4"/>
        <v>5.8560000000000008</v>
      </c>
      <c r="AA170" s="1" t="str" cm="1">
        <f t="array" ref="AA170">GetFilteredValues(A170)</f>
        <v>LCSC</v>
      </c>
    </row>
    <row r="171" spans="1:27" x14ac:dyDescent="0.25">
      <c r="A171" s="1" t="s">
        <v>19</v>
      </c>
      <c r="B171" s="1" t="s">
        <v>486</v>
      </c>
      <c r="C171" s="1" t="s">
        <v>854</v>
      </c>
      <c r="D171" s="8" t="s">
        <v>129</v>
      </c>
      <c r="E171" s="1" t="s">
        <v>106</v>
      </c>
      <c r="F171" s="1" t="s">
        <v>1364</v>
      </c>
      <c r="G171" s="5">
        <f>_xlfn.XLOOKUP(A171,'BG Stock Log'!C:C,'BG Stock Log'!H:H,,0,-1)</f>
        <v>3545</v>
      </c>
      <c r="H171" s="5"/>
      <c r="I171" s="1"/>
      <c r="J171" s="1">
        <v>5000</v>
      </c>
      <c r="K171" s="1">
        <f>SUMIFS('BG Stock Log'!G:G,'BG Stock Log'!C:C,'BG Dashboard'!A22,'BG Stock Log'!F:F,"ADD")</f>
        <v>0</v>
      </c>
      <c r="L171" s="1">
        <f>_xlfn.XLOOKUP(A171,'New BG List'!A:A,'New BG List'!K:K,,0)</f>
        <v>1</v>
      </c>
      <c r="M171" s="1">
        <f>_xlfn.XLOOKUP(A171,'New BG List'!A:A,'New BG List'!J:J,0)</f>
        <v>175</v>
      </c>
      <c r="N171" s="1"/>
      <c r="O171" s="1" t="str" cm="1">
        <f t="array" ref="O171">GetLastItem(AA171)</f>
        <v/>
      </c>
      <c r="P171" s="1" t="str" cm="1">
        <f t="array" ref="P171">IFERROR(INDEX(_xlfn._xlws.SORT(_xlfn._xlws.FILTER('BG Stock Log'!G:G, ('BG Stock Log'!C:C=A171) * ('BG Stock Log'!G:G&gt;0)), 1, -1), 1),"")</f>
        <v/>
      </c>
      <c r="Q171" s="1" t="str">
        <f>IFERROR(ROUND(AVERAGEIFS('BG Stock Log'!G:G,'BG Stock Log'!C:C,'BG Dashboard'!A22,'BG Stock Log'!F:F,"ADD"),0),"")</f>
        <v/>
      </c>
      <c r="R171" s="1" t="s">
        <v>511</v>
      </c>
      <c r="S171" s="1" t="s">
        <v>932</v>
      </c>
      <c r="T171" s="37">
        <v>6.1000000000000004E-3</v>
      </c>
      <c r="U171" s="37">
        <v>30.500000000000004</v>
      </c>
      <c r="V171" s="1" t="s">
        <v>669</v>
      </c>
      <c r="W171" s="37">
        <v>8.0000000000000004E-4</v>
      </c>
      <c r="X171" s="37">
        <v>4</v>
      </c>
      <c r="Y171" s="36" t="str">
        <f>IFERROR(SUMIFS('BG Stock Log'!L:L,'BG Stock Log'!C:C,'BG Dashboard'!A22)/SUMIFS('BG Stock Log'!G:G,'BG Stock Log'!C:C,'BG Dashboard'!A22,'BG Stock Log'!F:F,"ADD"),"")</f>
        <v/>
      </c>
      <c r="Z171" s="36">
        <f t="shared" si="4"/>
        <v>21.624500000000001</v>
      </c>
      <c r="AA171" s="1" t="str" cm="1">
        <f t="array" ref="AA171">GetFilteredValues(A171)</f>
        <v/>
      </c>
    </row>
    <row r="172" spans="1:27" x14ac:dyDescent="0.25">
      <c r="A172" s="1" t="s">
        <v>20</v>
      </c>
      <c r="B172" s="1" t="s">
        <v>498</v>
      </c>
      <c r="C172" s="1" t="s">
        <v>705</v>
      </c>
      <c r="D172" s="8" t="s">
        <v>130</v>
      </c>
      <c r="E172" s="1" t="s">
        <v>106</v>
      </c>
      <c r="F172" s="1" t="s">
        <v>1364</v>
      </c>
      <c r="G172" s="5">
        <f>_xlfn.XLOOKUP(A172,'BG Stock Log'!C:C,'BG Stock Log'!H:H,,0,-1)</f>
        <v>19900</v>
      </c>
      <c r="H172" s="5"/>
      <c r="I172" s="1"/>
      <c r="J172" s="1">
        <v>5000</v>
      </c>
      <c r="K172" s="1">
        <f>SUMIFS('BG Stock Log'!G:G,'BG Stock Log'!C:C,'BG Dashboard'!A23,'BG Stock Log'!F:F,"ADD")</f>
        <v>0</v>
      </c>
      <c r="L172" s="1">
        <f>_xlfn.XLOOKUP(A172,'New BG List'!A:A,'New BG List'!K:K,,0)</f>
        <v>52</v>
      </c>
      <c r="M172" s="1">
        <f>_xlfn.XLOOKUP(A172,'New BG List'!A:A,'New BG List'!J:J,0)</f>
        <v>21085</v>
      </c>
      <c r="N172" s="1"/>
      <c r="O172" s="1" t="str" cm="1">
        <f t="array" ref="O172">GetLastItem(AA172)</f>
        <v>LCSC</v>
      </c>
      <c r="P172" s="1" cm="1">
        <f t="array" ref="P172">IFERROR(INDEX(_xlfn._xlws.SORT(_xlfn._xlws.FILTER('BG Stock Log'!G:G, ('BG Stock Log'!C:C=A172) * ('BG Stock Log'!G:G&gt;0)), 1, -1), 1),"")</f>
        <v>30000</v>
      </c>
      <c r="Q172" s="1" t="str">
        <f>IFERROR(ROUND(AVERAGEIFS('BG Stock Log'!G:G,'BG Stock Log'!C:C,'BG Dashboard'!A23,'BG Stock Log'!F:F,"ADD"),0),"")</f>
        <v/>
      </c>
      <c r="R172" s="1" t="s">
        <v>511</v>
      </c>
      <c r="S172" s="1" t="s">
        <v>937</v>
      </c>
      <c r="T172" s="37">
        <v>6.1000000000000004E-3</v>
      </c>
      <c r="U172" s="37">
        <v>30.500000000000004</v>
      </c>
      <c r="V172" s="1" t="s">
        <v>681</v>
      </c>
      <c r="W172" s="37">
        <v>6.9999999999999999E-4</v>
      </c>
      <c r="X172" s="37">
        <v>3.5</v>
      </c>
      <c r="Y172" s="36" t="str">
        <f>IFERROR(SUMIFS('BG Stock Log'!L:L,'BG Stock Log'!C:C,'BG Dashboard'!A23)/SUMIFS('BG Stock Log'!G:G,'BG Stock Log'!C:C,'BG Dashboard'!A23,'BG Stock Log'!F:F,"ADD"),"")</f>
        <v/>
      </c>
      <c r="Z172" s="36">
        <f t="shared" si="4"/>
        <v>121.39000000000001</v>
      </c>
      <c r="AA172" s="1" t="str" cm="1">
        <f t="array" ref="AA172">GetFilteredValues(A172)</f>
        <v>Future, LCSC, LCSC, LCSC</v>
      </c>
    </row>
    <row r="173" spans="1:27" x14ac:dyDescent="0.25">
      <c r="A173" s="1" t="s">
        <v>21</v>
      </c>
      <c r="B173" s="1" t="s">
        <v>488</v>
      </c>
      <c r="C173" s="1" t="s">
        <v>811</v>
      </c>
      <c r="D173" s="8" t="s">
        <v>131</v>
      </c>
      <c r="E173" s="1" t="s">
        <v>106</v>
      </c>
      <c r="F173" s="1" t="s">
        <v>1364</v>
      </c>
      <c r="G173" s="5">
        <f>_xlfn.XLOOKUP(A173,'BG Stock Log'!C:C,'BG Stock Log'!H:H,,0,-1)</f>
        <v>10470</v>
      </c>
      <c r="H173" s="5"/>
      <c r="I173" s="1"/>
      <c r="J173" s="1">
        <v>5000</v>
      </c>
      <c r="K173" s="1">
        <f>SUMIFS('BG Stock Log'!G:G,'BG Stock Log'!C:C,'BG Dashboard'!A24,'BG Stock Log'!F:F,"ADD")</f>
        <v>0</v>
      </c>
      <c r="L173" s="1">
        <f>_xlfn.XLOOKUP(A173,'New BG List'!A:A,'New BG List'!K:K,,0)</f>
        <v>9</v>
      </c>
      <c r="M173" s="1">
        <f>_xlfn.XLOOKUP(A173,'New BG List'!A:A,'New BG List'!J:J,0)</f>
        <v>495</v>
      </c>
      <c r="N173" s="1"/>
      <c r="O173" s="1" t="str" cm="1">
        <f t="array" ref="O173">GetLastItem(AA173)</f>
        <v>LCSC</v>
      </c>
      <c r="P173" s="1" cm="1">
        <f t="array" ref="P173">IFERROR(INDEX(_xlfn._xlws.SORT(_xlfn._xlws.FILTER('BG Stock Log'!G:G, ('BG Stock Log'!C:C=A173) * ('BG Stock Log'!G:G&gt;0)), 1, -1), 1),"")</f>
        <v>15000</v>
      </c>
      <c r="Q173" s="1" t="str">
        <f>IFERROR(ROUND(AVERAGEIFS('BG Stock Log'!G:G,'BG Stock Log'!C:C,'BG Dashboard'!A24,'BG Stock Log'!F:F,"ADD"),0),"")</f>
        <v/>
      </c>
      <c r="R173" s="1" t="s">
        <v>511</v>
      </c>
      <c r="S173" s="1" t="s">
        <v>927</v>
      </c>
      <c r="T173" s="37">
        <v>6.1000000000000004E-3</v>
      </c>
      <c r="U173" s="37">
        <v>30.500000000000004</v>
      </c>
      <c r="V173" s="1" t="s">
        <v>671</v>
      </c>
      <c r="W173" s="37">
        <v>8.0000000000000004E-4</v>
      </c>
      <c r="X173" s="37">
        <v>4</v>
      </c>
      <c r="Y173" s="36" t="str">
        <f>IFERROR(SUMIFS('BG Stock Log'!L:L,'BG Stock Log'!C:C,'BG Dashboard'!A24)/SUMIFS('BG Stock Log'!G:G,'BG Stock Log'!C:C,'BG Dashboard'!A24,'BG Stock Log'!F:F,"ADD"),"")</f>
        <v/>
      </c>
      <c r="Z173" s="36">
        <f t="shared" si="4"/>
        <v>63.867000000000004</v>
      </c>
      <c r="AA173" s="1" t="str" cm="1">
        <f t="array" ref="AA173">GetFilteredValues(A173)</f>
        <v>LCSC</v>
      </c>
    </row>
    <row r="174" spans="1:27" x14ac:dyDescent="0.25">
      <c r="A174" s="1" t="s">
        <v>22</v>
      </c>
      <c r="B174" s="1" t="s">
        <v>489</v>
      </c>
      <c r="C174" s="1" t="s">
        <v>851</v>
      </c>
      <c r="D174" s="8" t="s">
        <v>133</v>
      </c>
      <c r="E174" s="1" t="s">
        <v>132</v>
      </c>
      <c r="F174" s="1" t="s">
        <v>1364</v>
      </c>
      <c r="G174" s="5">
        <f>_xlfn.XLOOKUP(A174,'BG Stock Log'!C:C,'BG Stock Log'!H:H,,0,-1)</f>
        <v>2500</v>
      </c>
      <c r="H174" s="5"/>
      <c r="I174" s="1"/>
      <c r="J174" s="1">
        <v>5000</v>
      </c>
      <c r="K174" s="1">
        <f>SUMIFS('BG Stock Log'!G:G,'BG Stock Log'!C:C,'BG Dashboard'!A25,'BG Stock Log'!F:F,"ADD")</f>
        <v>0</v>
      </c>
      <c r="L174" s="1">
        <f>_xlfn.XLOOKUP(A174,'New BG List'!A:A,'New BG List'!K:K,,0)</f>
        <v>4</v>
      </c>
      <c r="M174" s="1">
        <f>_xlfn.XLOOKUP(A174,'New BG List'!A:A,'New BG List'!J:J,0)</f>
        <v>193</v>
      </c>
      <c r="N174" s="1"/>
      <c r="O174" s="1" t="str" cm="1">
        <f t="array" ref="O174">GetLastItem(AA174)</f>
        <v/>
      </c>
      <c r="P174" s="1" t="str" cm="1">
        <f t="array" ref="P174">IFERROR(INDEX(_xlfn._xlws.SORT(_xlfn._xlws.FILTER('BG Stock Log'!G:G, ('BG Stock Log'!C:C=A174) * ('BG Stock Log'!G:G&gt;0)), 1, -1), 1),"")</f>
        <v/>
      </c>
      <c r="Q174" s="1" t="str">
        <f>IFERROR(ROUND(AVERAGEIFS('BG Stock Log'!G:G,'BG Stock Log'!C:C,'BG Dashboard'!A25,'BG Stock Log'!F:F,"ADD"),0),"")</f>
        <v/>
      </c>
      <c r="R174" s="1" t="s">
        <v>511</v>
      </c>
      <c r="S174" s="1" t="s">
        <v>930</v>
      </c>
      <c r="T174" s="37">
        <v>3.1E-2</v>
      </c>
      <c r="U174" s="37">
        <v>155</v>
      </c>
      <c r="V174" s="1" t="s">
        <v>672</v>
      </c>
      <c r="W174" s="37">
        <v>2.9999999999999997E-4</v>
      </c>
      <c r="X174" s="37">
        <v>1.4999999999999998</v>
      </c>
      <c r="Y174" s="36" t="str">
        <f>IFERROR(SUMIFS('BG Stock Log'!L:L,'BG Stock Log'!C:C,'BG Dashboard'!A25)/SUMIFS('BG Stock Log'!G:G,'BG Stock Log'!C:C,'BG Dashboard'!A25,'BG Stock Log'!F:F,"ADD"),"")</f>
        <v/>
      </c>
      <c r="Z174" s="36">
        <f t="shared" si="4"/>
        <v>77.5</v>
      </c>
      <c r="AA174" s="1" t="str" cm="1">
        <f t="array" ref="AA174">GetFilteredValues(A174)</f>
        <v/>
      </c>
    </row>
    <row r="175" spans="1:27" x14ac:dyDescent="0.25">
      <c r="A175" s="1" t="s">
        <v>90</v>
      </c>
      <c r="B175" s="1" t="s">
        <v>503</v>
      </c>
      <c r="C175" s="1" t="s">
        <v>824</v>
      </c>
      <c r="D175" s="8" t="s">
        <v>211</v>
      </c>
      <c r="E175" s="1" t="s">
        <v>106</v>
      </c>
      <c r="F175" s="1" t="s">
        <v>1364</v>
      </c>
      <c r="G175" s="5">
        <f>_xlfn.XLOOKUP(A175,'BG Stock Log'!C:C,'BG Stock Log'!H:H,,0,-1)</f>
        <v>3932</v>
      </c>
      <c r="H175" s="5"/>
      <c r="I175" s="1"/>
      <c r="J175" s="1">
        <v>5000</v>
      </c>
      <c r="K175" s="1">
        <f>SUMIFS('BG Stock Log'!G:G,'BG Stock Log'!C:C,'BG Dashboard'!A93,'BG Stock Log'!F:F,"ADD")</f>
        <v>2000</v>
      </c>
      <c r="L175" s="1">
        <f>_xlfn.XLOOKUP(A175,'New BG List'!A:A,'New BG List'!K:K,,0)</f>
        <v>8</v>
      </c>
      <c r="M175" s="1">
        <f>_xlfn.XLOOKUP(A175,'New BG List'!A:A,'New BG List'!J:J,0)</f>
        <v>422</v>
      </c>
      <c r="N175" s="1"/>
      <c r="O175" s="1" t="str" cm="1">
        <f t="array" ref="O175">GetLastItem(AA175)</f>
        <v/>
      </c>
      <c r="P175" s="1" cm="1">
        <f t="array" ref="P175">IFERROR(INDEX(_xlfn._xlws.SORT(_xlfn._xlws.FILTER('BG Stock Log'!G:G, ('BG Stock Log'!C:C=A175) * ('BG Stock Log'!G:G&gt;0)), 1, -1), 1),"")</f>
        <v>110</v>
      </c>
      <c r="Q175" s="1">
        <f>IFERROR(ROUND(AVERAGEIFS('BG Stock Log'!G:G,'BG Stock Log'!C:C,'BG Dashboard'!A93,'BG Stock Log'!F:F,"ADD"),0),"")</f>
        <v>2000</v>
      </c>
      <c r="R175" s="1" t="s">
        <v>511</v>
      </c>
      <c r="S175" s="1" t="s">
        <v>928</v>
      </c>
      <c r="T175" s="37">
        <v>4.5999999999999999E-3</v>
      </c>
      <c r="U175" s="37">
        <v>23</v>
      </c>
      <c r="V175" s="1" t="s">
        <v>686</v>
      </c>
      <c r="W175" s="37">
        <v>8.0000000000000004E-4</v>
      </c>
      <c r="X175" s="37">
        <v>4</v>
      </c>
      <c r="Y175" s="36">
        <f>IFERROR(SUMIFS('BG Stock Log'!L:L,'BG Stock Log'!C:C,'BG Dashboard'!A93)/SUMIFS('BG Stock Log'!G:G,'BG Stock Log'!C:C,'BG Dashboard'!A93,'BG Stock Log'!F:F,"ADD"),"")</f>
        <v>0</v>
      </c>
      <c r="Z175" s="36">
        <f t="shared" si="4"/>
        <v>18.087199999999999</v>
      </c>
      <c r="AA175" s="1" t="str" cm="1">
        <f t="array" ref="AA175">GetFilteredValues(A175)</f>
        <v/>
      </c>
    </row>
    <row r="176" spans="1:27" x14ac:dyDescent="0.25">
      <c r="A176" s="1" t="s">
        <v>91</v>
      </c>
      <c r="B176" s="1" t="s">
        <v>504</v>
      </c>
      <c r="C176" s="1" t="s">
        <v>800</v>
      </c>
      <c r="D176" s="8" t="s">
        <v>212</v>
      </c>
      <c r="E176" s="1" t="s">
        <v>132</v>
      </c>
      <c r="F176" s="1" t="s">
        <v>1364</v>
      </c>
      <c r="G176" s="5">
        <f>_xlfn.XLOOKUP(A176,'BG Stock Log'!C:C,'BG Stock Log'!H:H,,0,-1)</f>
        <v>3390</v>
      </c>
      <c r="H176" s="5"/>
      <c r="I176" s="1"/>
      <c r="J176" s="1">
        <v>5000</v>
      </c>
      <c r="K176" s="1">
        <f>SUMIFS('BG Stock Log'!G:G,'BG Stock Log'!C:C,'BG Dashboard'!A94,'BG Stock Log'!F:F,"ADD")</f>
        <v>0</v>
      </c>
      <c r="L176" s="1">
        <f>_xlfn.XLOOKUP(A176,'New BG List'!A:A,'New BG List'!K:K,,0)</f>
        <v>4</v>
      </c>
      <c r="M176" s="1">
        <f>_xlfn.XLOOKUP(A176,'New BG List'!A:A,'New BG List'!J:J,0)</f>
        <v>655</v>
      </c>
      <c r="N176" s="1"/>
      <c r="O176" s="1" t="str" cm="1">
        <f t="array" ref="O176">GetLastItem(AA176)</f>
        <v/>
      </c>
      <c r="P176" s="1" t="str" cm="1">
        <f t="array" ref="P176">IFERROR(INDEX(_xlfn._xlws.SORT(_xlfn._xlws.FILTER('BG Stock Log'!G:G, ('BG Stock Log'!C:C=A176) * ('BG Stock Log'!G:G&gt;0)), 1, -1), 1),"")</f>
        <v/>
      </c>
      <c r="Q176" s="1" t="str">
        <f>IFERROR(ROUND(AVERAGEIFS('BG Stock Log'!G:G,'BG Stock Log'!C:C,'BG Dashboard'!A94,'BG Stock Log'!F:F,"ADD"),0),"")</f>
        <v/>
      </c>
      <c r="R176" s="1" t="s">
        <v>511</v>
      </c>
      <c r="S176" s="1" t="s">
        <v>924</v>
      </c>
      <c r="T176" s="37">
        <v>4.9000000000000002E-2</v>
      </c>
      <c r="U176" s="37">
        <v>245</v>
      </c>
      <c r="V176" s="1" t="s">
        <v>687</v>
      </c>
      <c r="W176" s="37">
        <v>6.9999999999999999E-4</v>
      </c>
      <c r="X176" s="37">
        <v>3.5</v>
      </c>
      <c r="Y176" s="36" t="str">
        <f>IFERROR(SUMIFS('BG Stock Log'!L:L,'BG Stock Log'!C:C,'BG Dashboard'!A94)/SUMIFS('BG Stock Log'!G:G,'BG Stock Log'!C:C,'BG Dashboard'!A94,'BG Stock Log'!F:F,"ADD"),"")</f>
        <v/>
      </c>
      <c r="Z176" s="36">
        <f t="shared" si="4"/>
        <v>166.11</v>
      </c>
      <c r="AA176" s="1" t="str" cm="1">
        <f t="array" ref="AA176">GetFilteredValues(A176)</f>
        <v/>
      </c>
    </row>
    <row r="177" spans="1:27" x14ac:dyDescent="0.25">
      <c r="A177" s="1" t="s">
        <v>23</v>
      </c>
      <c r="B177" s="1" t="s">
        <v>490</v>
      </c>
      <c r="C177" s="1" t="s">
        <v>789</v>
      </c>
      <c r="D177" s="8" t="s">
        <v>134</v>
      </c>
      <c r="E177" s="1" t="s">
        <v>106</v>
      </c>
      <c r="F177" s="1" t="s">
        <v>1364</v>
      </c>
      <c r="G177" s="5">
        <f>_xlfn.XLOOKUP(A177,'BG Stock Log'!C:C,'BG Stock Log'!H:H,,0,-1)</f>
        <v>3121</v>
      </c>
      <c r="H177" s="5"/>
      <c r="I177" s="1"/>
      <c r="J177" s="1">
        <v>5000</v>
      </c>
      <c r="K177" s="1">
        <f>SUMIFS('BG Stock Log'!G:G,'BG Stock Log'!C:C,'BG Dashboard'!A26,'BG Stock Log'!F:F,"ADD")</f>
        <v>0</v>
      </c>
      <c r="L177" s="1">
        <f>_xlfn.XLOOKUP(A177,'New BG List'!A:A,'New BG List'!K:K,,0)</f>
        <v>6</v>
      </c>
      <c r="M177" s="1">
        <f>_xlfn.XLOOKUP(A177,'New BG List'!A:A,'New BG List'!J:J,0)</f>
        <v>885</v>
      </c>
      <c r="N177" s="1"/>
      <c r="O177" s="1" t="str" cm="1">
        <f t="array" ref="O177">GetLastItem(AA177)</f>
        <v/>
      </c>
      <c r="P177" s="1" t="str" cm="1">
        <f t="array" ref="P177">IFERROR(INDEX(_xlfn._xlws.SORT(_xlfn._xlws.FILTER('BG Stock Log'!G:G, ('BG Stock Log'!C:C=A177) * ('BG Stock Log'!G:G&gt;0)), 1, -1), 1),"")</f>
        <v/>
      </c>
      <c r="Q177" s="1" t="str">
        <f>IFERROR(ROUND(AVERAGEIFS('BG Stock Log'!G:G,'BG Stock Log'!C:C,'BG Dashboard'!A26,'BG Stock Log'!F:F,"ADD"),0),"")</f>
        <v/>
      </c>
      <c r="R177" s="1" t="s">
        <v>511</v>
      </c>
      <c r="S177" s="1" t="s">
        <v>923</v>
      </c>
      <c r="T177" s="37">
        <v>6.1000000000000004E-3</v>
      </c>
      <c r="U177" s="37">
        <v>30.500000000000004</v>
      </c>
      <c r="V177" s="1" t="s">
        <v>673</v>
      </c>
      <c r="W177" s="37">
        <v>8.0000000000000004E-4</v>
      </c>
      <c r="X177" s="37">
        <v>4</v>
      </c>
      <c r="Y177" s="36" t="str">
        <f>IFERROR(SUMIFS('BG Stock Log'!L:L,'BG Stock Log'!C:C,'BG Dashboard'!A26)/SUMIFS('BG Stock Log'!G:G,'BG Stock Log'!C:C,'BG Dashboard'!A26,'BG Stock Log'!F:F,"ADD"),"")</f>
        <v/>
      </c>
      <c r="Z177" s="36">
        <f t="shared" si="4"/>
        <v>19.0381</v>
      </c>
      <c r="AA177" s="1" t="str" cm="1">
        <f t="array" ref="AA177">GetFilteredValues(A177)</f>
        <v/>
      </c>
    </row>
    <row r="178" spans="1:27" x14ac:dyDescent="0.25">
      <c r="A178" s="1" t="s">
        <v>92</v>
      </c>
      <c r="B178" s="1" t="s">
        <v>403</v>
      </c>
      <c r="C178" s="1" t="s">
        <v>769</v>
      </c>
      <c r="D178" s="8" t="s">
        <v>213</v>
      </c>
      <c r="E178" s="1" t="s">
        <v>106</v>
      </c>
      <c r="F178" s="1" t="s">
        <v>1364</v>
      </c>
      <c r="G178" s="5">
        <f>_xlfn.XLOOKUP(A178,'BG Stock Log'!C:C,'BG Stock Log'!H:H,,0,-1)</f>
        <v>2545</v>
      </c>
      <c r="H178" s="5"/>
      <c r="I178" s="1"/>
      <c r="J178" s="1">
        <v>10000</v>
      </c>
      <c r="K178" s="1">
        <f>SUMIFS('BG Stock Log'!G:G,'BG Stock Log'!C:C,'BG Dashboard'!A95,'BG Stock Log'!F:F,"ADD")</f>
        <v>4000</v>
      </c>
      <c r="L178" s="1">
        <f>_xlfn.XLOOKUP(A178,'New BG List'!A:A,'New BG List'!K:K,,0)</f>
        <v>24</v>
      </c>
      <c r="M178" s="1">
        <f>_xlfn.XLOOKUP(A178,'New BG List'!A:A,'New BG List'!J:J,0)</f>
        <v>1408</v>
      </c>
      <c r="N178" s="1"/>
      <c r="O178" s="1" t="str" cm="1">
        <f t="array" ref="O178">GetLastItem(AA178)</f>
        <v/>
      </c>
      <c r="P178" s="1" t="str" cm="1">
        <f t="array" ref="P178">IFERROR(INDEX(_xlfn._xlws.SORT(_xlfn._xlws.FILTER('BG Stock Log'!G:G, ('BG Stock Log'!C:C=A178) * ('BG Stock Log'!G:G&gt;0)), 1, -1), 1),"")</f>
        <v/>
      </c>
      <c r="Q178" s="1">
        <f>IFERROR(ROUND(AVERAGEIFS('BG Stock Log'!G:G,'BG Stock Log'!C:C,'BG Dashboard'!A95,'BG Stock Log'!F:F,"ADD"),0),"")</f>
        <v>4000</v>
      </c>
      <c r="R178" s="1" t="s">
        <v>511</v>
      </c>
      <c r="S178" s="1" t="s">
        <v>950</v>
      </c>
      <c r="T178" s="37">
        <v>3.0000000000000001E-3</v>
      </c>
      <c r="U178" s="37">
        <v>30</v>
      </c>
      <c r="V178" s="1" t="s">
        <v>620</v>
      </c>
      <c r="W178" s="37">
        <v>6.9999999999999999E-4</v>
      </c>
      <c r="X178" s="37">
        <v>7</v>
      </c>
      <c r="Y178" s="36">
        <f>IFERROR(SUMIFS('BG Stock Log'!L:L,'BG Stock Log'!C:C,'BG Dashboard'!A95)/SUMIFS('BG Stock Log'!G:G,'BG Stock Log'!C:C,'BG Dashboard'!A95,'BG Stock Log'!F:F,"ADD"),"")</f>
        <v>7.5599999999999999E-3</v>
      </c>
      <c r="Z178" s="36">
        <f t="shared" si="4"/>
        <v>7.6349999999999998</v>
      </c>
      <c r="AA178" s="1" t="str" cm="1">
        <f t="array" ref="AA178">GetFilteredValues(A178)</f>
        <v/>
      </c>
    </row>
    <row r="179" spans="1:27" x14ac:dyDescent="0.25">
      <c r="A179" s="1" t="s">
        <v>24</v>
      </c>
      <c r="B179" s="1" t="s">
        <v>378</v>
      </c>
      <c r="C179" s="1" t="s">
        <v>776</v>
      </c>
      <c r="D179" s="8" t="s">
        <v>135</v>
      </c>
      <c r="E179" s="1" t="s">
        <v>106</v>
      </c>
      <c r="F179" s="1" t="s">
        <v>1364</v>
      </c>
      <c r="G179" s="5">
        <f>_xlfn.XLOOKUP(A179,'BG Stock Log'!C:C,'BG Stock Log'!H:H,,0,-1)</f>
        <v>17867</v>
      </c>
      <c r="H179" s="5"/>
      <c r="I179" s="1"/>
      <c r="J179" s="1">
        <v>5000</v>
      </c>
      <c r="K179" s="1">
        <f>SUMIFS('BG Stock Log'!G:G,'BG Stock Log'!C:C,'BG Dashboard'!A27,'BG Stock Log'!F:F,"ADD")</f>
        <v>0</v>
      </c>
      <c r="L179" s="1">
        <f>_xlfn.XLOOKUP(A179,'New BG List'!A:A,'New BG List'!K:K,,0)</f>
        <v>27</v>
      </c>
      <c r="M179" s="1">
        <f>_xlfn.XLOOKUP(A179,'New BG List'!A:A,'New BG List'!J:J,0)</f>
        <v>1235</v>
      </c>
      <c r="N179" s="1"/>
      <c r="O179" s="1" t="str" cm="1">
        <f t="array" ref="O179">GetLastItem(AA179)</f>
        <v>LCSC</v>
      </c>
      <c r="P179" s="1" cm="1">
        <f t="array" ref="P179">IFERROR(INDEX(_xlfn._xlws.SORT(_xlfn._xlws.FILTER('BG Stock Log'!G:G, ('BG Stock Log'!C:C=A179) * ('BG Stock Log'!G:G&gt;0)), 1, -1), 1),"")</f>
        <v>10000</v>
      </c>
      <c r="Q179" s="1" t="str">
        <f>IFERROR(ROUND(AVERAGEIFS('BG Stock Log'!G:G,'BG Stock Log'!C:C,'BG Dashboard'!A27,'BG Stock Log'!F:F,"ADD"),0),"")</f>
        <v/>
      </c>
      <c r="R179" s="1" t="s">
        <v>511</v>
      </c>
      <c r="S179" s="1" t="s">
        <v>952</v>
      </c>
      <c r="T179" s="37">
        <v>4.5999999999999999E-3</v>
      </c>
      <c r="U179" s="37">
        <v>23</v>
      </c>
      <c r="V179" s="1" t="s">
        <v>595</v>
      </c>
      <c r="W179" s="37">
        <v>6.9999999999999999E-4</v>
      </c>
      <c r="X179" s="37">
        <v>3.5</v>
      </c>
      <c r="Y179" s="36" t="str">
        <f>IFERROR(SUMIFS('BG Stock Log'!L:L,'BG Stock Log'!C:C,'BG Dashboard'!A27)/SUMIFS('BG Stock Log'!G:G,'BG Stock Log'!C:C,'BG Dashboard'!A27,'BG Stock Log'!F:F,"ADD"),"")</f>
        <v/>
      </c>
      <c r="Z179" s="36">
        <f t="shared" si="4"/>
        <v>82.188199999999995</v>
      </c>
      <c r="AA179" s="1" t="str" cm="1">
        <f t="array" ref="AA179">GetFilteredValues(A179)</f>
        <v>LCSC, LCSC</v>
      </c>
    </row>
    <row r="180" spans="1:27" x14ac:dyDescent="0.25">
      <c r="A180" s="1" t="s">
        <v>4</v>
      </c>
      <c r="B180" s="1" t="s">
        <v>377</v>
      </c>
      <c r="C180" s="1" t="s">
        <v>723</v>
      </c>
      <c r="D180" s="8" t="s">
        <v>111</v>
      </c>
      <c r="E180" s="1" t="s">
        <v>106</v>
      </c>
      <c r="F180" s="1" t="s">
        <v>1364</v>
      </c>
      <c r="G180" s="5">
        <f>_xlfn.XLOOKUP(A180,'BG Stock Log'!C:C,'BG Stock Log'!H:H,,0,-1)</f>
        <v>6387</v>
      </c>
      <c r="H180" s="5"/>
      <c r="I180" s="1"/>
      <c r="J180" s="1">
        <v>5000</v>
      </c>
      <c r="K180" s="1">
        <f>SUMIFS('BG Stock Log'!G:G,'BG Stock Log'!C:C,'BG Dashboard'!A7,'BG Stock Log'!F:F,"ADD")</f>
        <v>0</v>
      </c>
      <c r="L180" s="1">
        <f>_xlfn.XLOOKUP(A180,'New BG List'!A:A,'New BG List'!K:K,,0)</f>
        <v>21</v>
      </c>
      <c r="M180" s="1">
        <f>_xlfn.XLOOKUP(A180,'New BG List'!A:A,'New BG List'!J:J,0)</f>
        <v>6750</v>
      </c>
      <c r="N180" s="1"/>
      <c r="O180" s="1" t="str" cm="1">
        <f t="array" ref="O180">GetLastItem(AA180)</f>
        <v/>
      </c>
      <c r="P180" s="1" t="str" cm="1">
        <f t="array" ref="P180">IFERROR(INDEX(_xlfn._xlws.SORT(_xlfn._xlws.FILTER('BG Stock Log'!G:G, ('BG Stock Log'!C:C=A180) * ('BG Stock Log'!G:G&gt;0)), 1, -1), 1),"")</f>
        <v/>
      </c>
      <c r="Q180" s="1" t="str">
        <f>IFERROR(ROUND(AVERAGEIFS('BG Stock Log'!G:G,'BG Stock Log'!C:C,'BG Dashboard'!A7,'BG Stock Log'!F:F,"ADD"),0),"")</f>
        <v/>
      </c>
      <c r="R180" s="1" t="s">
        <v>511</v>
      </c>
      <c r="S180" s="1" t="s">
        <v>943</v>
      </c>
      <c r="T180" s="37">
        <v>6.1000000000000004E-3</v>
      </c>
      <c r="U180" s="37">
        <v>30.500000000000004</v>
      </c>
      <c r="V180" s="1" t="s">
        <v>594</v>
      </c>
      <c r="W180" s="37">
        <v>8.0000000000000004E-4</v>
      </c>
      <c r="X180" s="37">
        <v>4</v>
      </c>
      <c r="Y180" s="36" t="str">
        <f>IFERROR(SUMIFS('BG Stock Log'!L:L,'BG Stock Log'!C:C,'BG Dashboard'!A7)/SUMIFS('BG Stock Log'!G:G,'BG Stock Log'!C:C,'BG Dashboard'!A7,'BG Stock Log'!F:F,"ADD"),"")</f>
        <v/>
      </c>
      <c r="Z180" s="36">
        <f t="shared" si="4"/>
        <v>38.960700000000003</v>
      </c>
      <c r="AA180" s="1" t="str" cm="1">
        <f t="array" ref="AA180">GetFilteredValues(A180)</f>
        <v/>
      </c>
    </row>
    <row r="181" spans="1:27" x14ac:dyDescent="0.25">
      <c r="A181" s="1" t="s">
        <v>25</v>
      </c>
      <c r="B181" s="1" t="s">
        <v>491</v>
      </c>
      <c r="C181" s="1" t="s">
        <v>746</v>
      </c>
      <c r="D181" s="8" t="s">
        <v>136</v>
      </c>
      <c r="E181" s="1" t="s">
        <v>106</v>
      </c>
      <c r="F181" s="1" t="s">
        <v>1364</v>
      </c>
      <c r="G181" s="5">
        <f>_xlfn.XLOOKUP(A181,'BG Stock Log'!C:C,'BG Stock Log'!H:H,,0,-1)</f>
        <v>9561</v>
      </c>
      <c r="H181" s="5"/>
      <c r="I181" s="1"/>
      <c r="J181" s="1">
        <v>5000</v>
      </c>
      <c r="K181" s="1">
        <f>SUMIFS('BG Stock Log'!G:G,'BG Stock Log'!C:C,'BG Dashboard'!A28,'BG Stock Log'!F:F,"ADD")</f>
        <v>0</v>
      </c>
      <c r="L181" s="1">
        <f>_xlfn.XLOOKUP(A181,'New BG List'!A:A,'New BG List'!K:K,,0)</f>
        <v>7</v>
      </c>
      <c r="M181" s="1">
        <f>_xlfn.XLOOKUP(A181,'New BG List'!A:A,'New BG List'!J:J,0)</f>
        <v>2252</v>
      </c>
      <c r="N181" s="1"/>
      <c r="O181" s="1" t="str" cm="1">
        <f t="array" ref="O181">GetLastItem(AA181)</f>
        <v>LCSC</v>
      </c>
      <c r="P181" s="1" cm="1">
        <f t="array" ref="P181">IFERROR(INDEX(_xlfn._xlws.SORT(_xlfn._xlws.FILTER('BG Stock Log'!G:G, ('BG Stock Log'!C:C=A181) * ('BG Stock Log'!G:G&gt;0)), 1, -1), 1),"")</f>
        <v>10000</v>
      </c>
      <c r="Q181" s="1" t="str">
        <f>IFERROR(ROUND(AVERAGEIFS('BG Stock Log'!G:G,'BG Stock Log'!C:C,'BG Dashboard'!A28,'BG Stock Log'!F:F,"ADD"),0),"")</f>
        <v/>
      </c>
      <c r="R181" s="1" t="s">
        <v>511</v>
      </c>
      <c r="S181" s="1" t="s">
        <v>919</v>
      </c>
      <c r="T181" s="37">
        <v>6.0000000000000001E-3</v>
      </c>
      <c r="U181" s="37">
        <v>30</v>
      </c>
      <c r="V181" s="1" t="s">
        <v>674</v>
      </c>
      <c r="W181" s="37">
        <v>8.0000000000000004E-4</v>
      </c>
      <c r="X181" s="37">
        <v>4</v>
      </c>
      <c r="Y181" s="36" t="str">
        <f>IFERROR(SUMIFS('BG Stock Log'!L:L,'BG Stock Log'!C:C,'BG Dashboard'!A28)/SUMIFS('BG Stock Log'!G:G,'BG Stock Log'!C:C,'BG Dashboard'!A28,'BG Stock Log'!F:F,"ADD"),"")</f>
        <v/>
      </c>
      <c r="Z181" s="36">
        <f t="shared" si="4"/>
        <v>57.366</v>
      </c>
      <c r="AA181" s="1" t="str" cm="1">
        <f t="array" ref="AA181">GetFilteredValues(A181)</f>
        <v>LCSC</v>
      </c>
    </row>
    <row r="182" spans="1:27" x14ac:dyDescent="0.25">
      <c r="A182" s="1" t="s">
        <v>26</v>
      </c>
      <c r="B182" s="1" t="s">
        <v>380</v>
      </c>
      <c r="C182" s="1" t="s">
        <v>821</v>
      </c>
      <c r="D182" s="8" t="s">
        <v>137</v>
      </c>
      <c r="E182" s="1" t="s">
        <v>106</v>
      </c>
      <c r="F182" s="1" t="s">
        <v>1364</v>
      </c>
      <c r="G182" s="5">
        <f>_xlfn.XLOOKUP(A182,'BG Stock Log'!C:C,'BG Stock Log'!H:H,,0,-1)</f>
        <v>3170</v>
      </c>
      <c r="H182" s="5"/>
      <c r="I182" s="1"/>
      <c r="J182" s="1">
        <v>5000</v>
      </c>
      <c r="K182" s="1">
        <f>SUMIFS('BG Stock Log'!G:G,'BG Stock Log'!C:C,'BG Dashboard'!A29,'BG Stock Log'!F:F,"ADD")</f>
        <v>0</v>
      </c>
      <c r="L182" s="1">
        <f>_xlfn.XLOOKUP(A182,'New BG List'!A:A,'New BG List'!K:K,,0)</f>
        <v>14</v>
      </c>
      <c r="M182" s="1">
        <f>_xlfn.XLOOKUP(A182,'New BG List'!A:A,'New BG List'!J:J,0)</f>
        <v>430</v>
      </c>
      <c r="N182" s="1"/>
      <c r="O182" s="1" t="str" cm="1">
        <f t="array" ref="O182">GetLastItem(AA182)</f>
        <v/>
      </c>
      <c r="P182" s="1" t="str" cm="1">
        <f t="array" ref="P182">IFERROR(INDEX(_xlfn._xlws.SORT(_xlfn._xlws.FILTER('BG Stock Log'!G:G, ('BG Stock Log'!C:C=A182) * ('BG Stock Log'!G:G&gt;0)), 1, -1), 1),"")</f>
        <v/>
      </c>
      <c r="Q182" s="1" t="str">
        <f>IFERROR(ROUND(AVERAGEIFS('BG Stock Log'!G:G,'BG Stock Log'!C:C,'BG Dashboard'!A29,'BG Stock Log'!F:F,"ADD"),0),"")</f>
        <v/>
      </c>
      <c r="R182" s="1" t="s">
        <v>511</v>
      </c>
      <c r="S182" s="1" t="s">
        <v>961</v>
      </c>
      <c r="T182" s="37">
        <v>3.0000000000000001E-3</v>
      </c>
      <c r="U182" s="37">
        <v>15</v>
      </c>
      <c r="V182" s="1" t="s">
        <v>597</v>
      </c>
      <c r="W182" s="37">
        <v>8.0000000000000004E-4</v>
      </c>
      <c r="X182" s="37">
        <v>4</v>
      </c>
      <c r="Y182" s="36" t="str">
        <f>IFERROR(SUMIFS('BG Stock Log'!L:L,'BG Stock Log'!C:C,'BG Dashboard'!A29)/SUMIFS('BG Stock Log'!G:G,'BG Stock Log'!C:C,'BG Dashboard'!A29,'BG Stock Log'!F:F,"ADD"),"")</f>
        <v/>
      </c>
      <c r="Z182" s="36">
        <f t="shared" si="4"/>
        <v>9.51</v>
      </c>
      <c r="AA182" s="1" t="str" cm="1">
        <f t="array" ref="AA182">GetFilteredValues(A182)</f>
        <v/>
      </c>
    </row>
    <row r="183" spans="1:27" x14ac:dyDescent="0.25">
      <c r="A183" s="1" t="s">
        <v>27</v>
      </c>
      <c r="B183" s="1" t="s">
        <v>381</v>
      </c>
      <c r="C183" s="1" t="s">
        <v>703</v>
      </c>
      <c r="D183" s="8" t="s">
        <v>138</v>
      </c>
      <c r="E183" s="1" t="s">
        <v>106</v>
      </c>
      <c r="F183" s="1" t="s">
        <v>1364</v>
      </c>
      <c r="G183" s="5">
        <f>_xlfn.XLOOKUP(A183,'BG Stock Log'!C:C,'BG Stock Log'!H:H,,0,-1)</f>
        <v>29478</v>
      </c>
      <c r="H183" s="5"/>
      <c r="I183" s="1"/>
      <c r="J183" s="1">
        <v>5000</v>
      </c>
      <c r="K183" s="1">
        <f>SUMIFS('BG Stock Log'!G:G,'BG Stock Log'!C:C,'BG Dashboard'!A30,'BG Stock Log'!F:F,"ADD")</f>
        <v>0</v>
      </c>
      <c r="L183" s="1">
        <f>_xlfn.XLOOKUP(A183,'New BG List'!A:A,'New BG List'!K:K,,0)</f>
        <v>75</v>
      </c>
      <c r="M183" s="1">
        <f>_xlfn.XLOOKUP(A183,'New BG List'!A:A,'New BG List'!J:J,0)</f>
        <v>61345</v>
      </c>
      <c r="N183" s="1"/>
      <c r="O183" s="1" t="str" cm="1">
        <f t="array" ref="O183">GetLastItem(AA183)</f>
        <v>LCSC</v>
      </c>
      <c r="P183" s="1" cm="1">
        <f t="array" ref="P183">IFERROR(INDEX(_xlfn._xlws.SORT(_xlfn._xlws.FILTER('BG Stock Log'!G:G, ('BG Stock Log'!C:C=A183) * ('BG Stock Log'!G:G&gt;0)), 1, -1), 1),"")</f>
        <v>50000</v>
      </c>
      <c r="Q183" s="1" t="str">
        <f>IFERROR(ROUND(AVERAGEIFS('BG Stock Log'!G:G,'BG Stock Log'!C:C,'BG Dashboard'!A30,'BG Stock Log'!F:F,"ADD"),0),"")</f>
        <v/>
      </c>
      <c r="R183" s="1" t="s">
        <v>511</v>
      </c>
      <c r="S183" s="1" t="s">
        <v>936</v>
      </c>
      <c r="T183" s="37">
        <v>4.5999999999999999E-3</v>
      </c>
      <c r="U183" s="37">
        <v>23</v>
      </c>
      <c r="V183" s="1" t="s">
        <v>598</v>
      </c>
      <c r="W183" s="37">
        <v>6.9999999999999999E-4</v>
      </c>
      <c r="X183" s="37">
        <v>3.5</v>
      </c>
      <c r="Y183" s="36" t="str">
        <f>IFERROR(SUMIFS('BG Stock Log'!L:L,'BG Stock Log'!C:C,'BG Dashboard'!A30)/SUMIFS('BG Stock Log'!G:G,'BG Stock Log'!C:C,'BG Dashboard'!A30,'BG Stock Log'!F:F,"ADD"),"")</f>
        <v/>
      </c>
      <c r="Z183" s="36">
        <f t="shared" si="4"/>
        <v>135.59880000000001</v>
      </c>
      <c r="AA183" s="1" t="str" cm="1">
        <f t="array" ref="AA183">GetFilteredValues(A183)</f>
        <v>Future, LCSC, LCSC, LCSC, LCSC, LCSC</v>
      </c>
    </row>
    <row r="184" spans="1:27" x14ac:dyDescent="0.25">
      <c r="A184" s="1" t="s">
        <v>28</v>
      </c>
      <c r="B184" s="1" t="s">
        <v>382</v>
      </c>
      <c r="C184" s="1" t="s">
        <v>813</v>
      </c>
      <c r="D184" s="8" t="s">
        <v>139</v>
      </c>
      <c r="E184" s="1" t="s">
        <v>106</v>
      </c>
      <c r="F184" s="1" t="s">
        <v>1364</v>
      </c>
      <c r="G184" s="5">
        <f>_xlfn.XLOOKUP(A184,'BG Stock Log'!C:C,'BG Stock Log'!H:H,,0,-1)</f>
        <v>2399</v>
      </c>
      <c r="H184" s="5"/>
      <c r="I184" s="1"/>
      <c r="J184" s="1">
        <v>5000</v>
      </c>
      <c r="K184" s="1">
        <f>SUMIFS('BG Stock Log'!G:G,'BG Stock Log'!C:C,'BG Dashboard'!A31,'BG Stock Log'!F:F,"ADD")</f>
        <v>0</v>
      </c>
      <c r="L184" s="1">
        <f>_xlfn.XLOOKUP(A184,'New BG List'!A:A,'New BG List'!K:K,,0)</f>
        <v>16</v>
      </c>
      <c r="M184" s="1">
        <f>_xlfn.XLOOKUP(A184,'New BG List'!A:A,'New BG List'!J:J,0)</f>
        <v>483</v>
      </c>
      <c r="N184" s="1"/>
      <c r="O184" s="1" t="str" cm="1">
        <f t="array" ref="O184">GetLastItem(AA184)</f>
        <v/>
      </c>
      <c r="P184" s="1" t="str" cm="1">
        <f t="array" ref="P184">IFERROR(INDEX(_xlfn._xlws.SORT(_xlfn._xlws.FILTER('BG Stock Log'!G:G, ('BG Stock Log'!C:C=A184) * ('BG Stock Log'!G:G&gt;0)), 1, -1), 1),"")</f>
        <v/>
      </c>
      <c r="Q184" s="1" t="str">
        <f>IFERROR(ROUND(AVERAGEIFS('BG Stock Log'!G:G,'BG Stock Log'!C:C,'BG Dashboard'!A31,'BG Stock Log'!F:F,"ADD"),0),"")</f>
        <v/>
      </c>
      <c r="R184" s="1" t="s">
        <v>511</v>
      </c>
      <c r="S184" s="1" t="s">
        <v>959</v>
      </c>
      <c r="T184" s="37">
        <v>4.5999999999999999E-3</v>
      </c>
      <c r="U184" s="37">
        <v>23</v>
      </c>
      <c r="V184" s="1" t="s">
        <v>599</v>
      </c>
      <c r="W184" s="37">
        <v>8.0000000000000004E-4</v>
      </c>
      <c r="X184" s="37">
        <v>4</v>
      </c>
      <c r="Y184" s="36" t="str">
        <f>IFERROR(SUMIFS('BG Stock Log'!L:L,'BG Stock Log'!C:C,'BG Dashboard'!A31)/SUMIFS('BG Stock Log'!G:G,'BG Stock Log'!C:C,'BG Dashboard'!A31,'BG Stock Log'!F:F,"ADD"),"")</f>
        <v/>
      </c>
      <c r="Z184" s="36">
        <f t="shared" si="4"/>
        <v>11.035399999999999</v>
      </c>
      <c r="AA184" s="1" t="str" cm="1">
        <f t="array" ref="AA184">GetFilteredValues(A184)</f>
        <v/>
      </c>
    </row>
    <row r="185" spans="1:27" x14ac:dyDescent="0.25">
      <c r="A185" s="1" t="s">
        <v>468</v>
      </c>
      <c r="B185" s="1" t="s">
        <v>469</v>
      </c>
      <c r="C185" s="1" t="s">
        <v>856</v>
      </c>
      <c r="D185" s="8" t="s">
        <v>1131</v>
      </c>
      <c r="E185" s="1" t="s">
        <v>222</v>
      </c>
      <c r="F185" s="1" t="s">
        <v>1364</v>
      </c>
      <c r="G185" s="5">
        <f>_xlfn.XLOOKUP(A185,'BG Stock Log'!C:C,'BG Stock Log'!H:H,,0,-1)</f>
        <v>3472</v>
      </c>
      <c r="H185" s="5"/>
      <c r="I185" s="1"/>
      <c r="J185" s="1">
        <v>5000</v>
      </c>
      <c r="K185" s="1">
        <f>SUMIFS('BG Stock Log'!G:G,'BG Stock Log'!C:C,'BG Dashboard'!A134,'BG Stock Log'!F:F,"ADD")</f>
        <v>2500</v>
      </c>
      <c r="L185" s="1">
        <f>_xlfn.XLOOKUP(A185,'New BG List'!A:A,'New BG List'!K:K,,0)</f>
        <v>13</v>
      </c>
      <c r="M185" s="1">
        <f>_xlfn.XLOOKUP(A185,'New BG List'!A:A,'New BG List'!J:J,0)</f>
        <v>156</v>
      </c>
      <c r="N185" s="1"/>
      <c r="O185" s="1" t="str" cm="1">
        <f t="array" ref="O185">GetLastItem(AA185)</f>
        <v>LCSC</v>
      </c>
      <c r="P185" s="1" cm="1">
        <f t="array" ref="P185">IFERROR(INDEX(_xlfn._xlws.SORT(_xlfn._xlws.FILTER('BG Stock Log'!G:G, ('BG Stock Log'!C:C=A185) * ('BG Stock Log'!G:G&gt;0)), 1, -1), 1),"")</f>
        <v>5000</v>
      </c>
      <c r="Q185" s="1">
        <f>IFERROR(ROUND(AVERAGEIFS('BG Stock Log'!G:G,'BG Stock Log'!C:C,'BG Dashboard'!A134,'BG Stock Log'!F:F,"ADD"),0),"")</f>
        <v>2500</v>
      </c>
      <c r="R185" s="1" t="s">
        <v>1316</v>
      </c>
      <c r="S185" s="1" t="s">
        <v>1439</v>
      </c>
      <c r="T185" s="37">
        <v>8.0000000000000002E-3</v>
      </c>
      <c r="U185" s="37">
        <v>40</v>
      </c>
      <c r="V185" s="1" t="s">
        <v>1440</v>
      </c>
      <c r="W185" s="37">
        <v>8.0000000000000004E-4</v>
      </c>
      <c r="X185" s="37">
        <v>4</v>
      </c>
      <c r="Y185" s="36">
        <f>IFERROR(SUMIFS('BG Stock Log'!L:L,'BG Stock Log'!C:C,'BG Dashboard'!A134)/SUMIFS('BG Stock Log'!G:G,'BG Stock Log'!C:C,'BG Dashboard'!A134,'BG Stock Log'!F:F,"ADD"),"")</f>
        <v>0</v>
      </c>
      <c r="Z185" s="36">
        <f t="shared" si="4"/>
        <v>27.776</v>
      </c>
      <c r="AA185" s="1" t="str" cm="1">
        <f t="array" ref="AA185">GetFilteredValues(A185)</f>
        <v>LCSC</v>
      </c>
    </row>
    <row r="186" spans="1:27" x14ac:dyDescent="0.25">
      <c r="A186" s="1" t="s">
        <v>29</v>
      </c>
      <c r="B186" s="1" t="s">
        <v>383</v>
      </c>
      <c r="C186" s="1" t="s">
        <v>765</v>
      </c>
      <c r="D186" s="8" t="s">
        <v>140</v>
      </c>
      <c r="E186" s="1" t="s">
        <v>106</v>
      </c>
      <c r="F186" s="1" t="s">
        <v>1364</v>
      </c>
      <c r="G186" s="5">
        <f>_xlfn.XLOOKUP(A186,'BG Stock Log'!C:C,'BG Stock Log'!H:H,,0,-1)</f>
        <v>7981</v>
      </c>
      <c r="H186" s="5"/>
      <c r="I186" s="1"/>
      <c r="J186" s="1">
        <v>5000</v>
      </c>
      <c r="K186" s="1">
        <f>SUMIFS('BG Stock Log'!G:G,'BG Stock Log'!C:C,'BG Dashboard'!A32,'BG Stock Log'!F:F,"ADD")</f>
        <v>0</v>
      </c>
      <c r="L186" s="1">
        <f>_xlfn.XLOOKUP(A186,'New BG List'!A:A,'New BG List'!K:K,,0)</f>
        <v>15</v>
      </c>
      <c r="M186" s="1">
        <f>_xlfn.XLOOKUP(A186,'New BG List'!A:A,'New BG List'!J:J,0)</f>
        <v>1494</v>
      </c>
      <c r="N186" s="1"/>
      <c r="O186" s="1" t="str" cm="1">
        <f t="array" ref="O186">GetLastItem(AA186)</f>
        <v>LCSC</v>
      </c>
      <c r="P186" s="1" cm="1">
        <f t="array" ref="P186">IFERROR(INDEX(_xlfn._xlws.SORT(_xlfn._xlws.FILTER('BG Stock Log'!G:G, ('BG Stock Log'!C:C=A186) * ('BG Stock Log'!G:G&gt;0)), 1, -1), 1),"")</f>
        <v>10000</v>
      </c>
      <c r="Q186" s="1" t="str">
        <f>IFERROR(ROUND(AVERAGEIFS('BG Stock Log'!G:G,'BG Stock Log'!C:C,'BG Dashboard'!A32,'BG Stock Log'!F:F,"ADD"),0),"")</f>
        <v/>
      </c>
      <c r="R186" s="1" t="s">
        <v>511</v>
      </c>
      <c r="S186" s="1" t="s">
        <v>949</v>
      </c>
      <c r="T186" s="37">
        <v>4.5999999999999999E-3</v>
      </c>
      <c r="U186" s="37">
        <v>23</v>
      </c>
      <c r="V186" s="1" t="s">
        <v>600</v>
      </c>
      <c r="W186" s="37">
        <v>8.0000000000000004E-4</v>
      </c>
      <c r="X186" s="37">
        <v>4</v>
      </c>
      <c r="Y186" s="36" t="str">
        <f>IFERROR(SUMIFS('BG Stock Log'!L:L,'BG Stock Log'!C:C,'BG Dashboard'!A32)/SUMIFS('BG Stock Log'!G:G,'BG Stock Log'!C:C,'BG Dashboard'!A32,'BG Stock Log'!F:F,"ADD"),"")</f>
        <v/>
      </c>
      <c r="Z186" s="36">
        <f t="shared" si="4"/>
        <v>36.712600000000002</v>
      </c>
      <c r="AA186" s="1" t="str" cm="1">
        <f t="array" ref="AA186">GetFilteredValues(A186)</f>
        <v>LCSC, LCSC</v>
      </c>
    </row>
    <row r="187" spans="1:27" x14ac:dyDescent="0.25">
      <c r="A187" s="1" t="s">
        <v>30</v>
      </c>
      <c r="B187" s="1" t="s">
        <v>492</v>
      </c>
      <c r="C187" s="1" t="s">
        <v>853</v>
      </c>
      <c r="D187" s="8" t="s">
        <v>141</v>
      </c>
      <c r="E187" s="1" t="s">
        <v>106</v>
      </c>
      <c r="F187" s="1" t="s">
        <v>1364</v>
      </c>
      <c r="G187" s="5">
        <f>_xlfn.XLOOKUP(A187,'BG Stock Log'!C:C,'BG Stock Log'!H:H,,0,-1)</f>
        <v>3640</v>
      </c>
      <c r="H187" s="5"/>
      <c r="I187" s="1"/>
      <c r="J187" s="1">
        <v>5000</v>
      </c>
      <c r="K187" s="1">
        <f>SUMIFS('BG Stock Log'!G:G,'BG Stock Log'!C:C,'BG Dashboard'!A33,'BG Stock Log'!F:F,"ADD")</f>
        <v>0</v>
      </c>
      <c r="L187" s="1">
        <f>_xlfn.XLOOKUP(A187,'New BG List'!A:A,'New BG List'!K:K,,0)</f>
        <v>2</v>
      </c>
      <c r="M187" s="1">
        <f>_xlfn.XLOOKUP(A187,'New BG List'!A:A,'New BG List'!J:J,0)</f>
        <v>179</v>
      </c>
      <c r="N187" s="1"/>
      <c r="O187" s="1" t="str" cm="1">
        <f t="array" ref="O187">GetLastItem(AA187)</f>
        <v/>
      </c>
      <c r="P187" s="1" t="str" cm="1">
        <f t="array" ref="P187">IFERROR(INDEX(_xlfn._xlws.SORT(_xlfn._xlws.FILTER('BG Stock Log'!G:G, ('BG Stock Log'!C:C=A187) * ('BG Stock Log'!G:G&gt;0)), 1, -1), 1),"")</f>
        <v/>
      </c>
      <c r="Q187" s="1" t="str">
        <f>IFERROR(ROUND(AVERAGEIFS('BG Stock Log'!G:G,'BG Stock Log'!C:C,'BG Dashboard'!A33,'BG Stock Log'!F:F,"ADD"),0),"")</f>
        <v/>
      </c>
      <c r="R187" s="1" t="s">
        <v>511</v>
      </c>
      <c r="S187" s="1" t="s">
        <v>931</v>
      </c>
      <c r="T187" s="37">
        <v>6.1000000000000004E-3</v>
      </c>
      <c r="U187" s="37">
        <v>30.500000000000004</v>
      </c>
      <c r="V187" s="1" t="s">
        <v>675</v>
      </c>
      <c r="W187" s="37">
        <v>8.0000000000000004E-4</v>
      </c>
      <c r="X187" s="37">
        <v>4</v>
      </c>
      <c r="Y187" s="36" t="str">
        <f>IFERROR(SUMIFS('BG Stock Log'!L:L,'BG Stock Log'!C:C,'BG Dashboard'!A33)/SUMIFS('BG Stock Log'!G:G,'BG Stock Log'!C:C,'BG Dashboard'!A33,'BG Stock Log'!F:F,"ADD"),"")</f>
        <v/>
      </c>
      <c r="Z187" s="36">
        <f t="shared" si="4"/>
        <v>22.204000000000001</v>
      </c>
      <c r="AA187" s="1" t="str" cm="1">
        <f t="array" ref="AA187">GetFilteredValues(A187)</f>
        <v/>
      </c>
    </row>
    <row r="188" spans="1:27" x14ac:dyDescent="0.25">
      <c r="A188" s="10" t="s">
        <v>481</v>
      </c>
      <c r="B188" s="1" t="s">
        <v>482</v>
      </c>
      <c r="C188" s="1" t="s">
        <v>878</v>
      </c>
      <c r="D188" s="8" t="s">
        <v>1134</v>
      </c>
      <c r="E188" s="1" t="s">
        <v>1135</v>
      </c>
      <c r="F188" s="1" t="s">
        <v>1364</v>
      </c>
      <c r="G188" s="5">
        <f>_xlfn.XLOOKUP(A188,'BG Stock Log'!C:C,'BG Stock Log'!H:H,,0,-1)</f>
        <v>4975</v>
      </c>
      <c r="H188" s="5"/>
      <c r="I188" s="1"/>
      <c r="J188" s="1">
        <v>5000</v>
      </c>
      <c r="K188" s="1">
        <f>SUMIFS('BG Stock Log'!G:G,'BG Stock Log'!C:C,'BG Dashboard'!A178,'BG Stock Log'!F:F,"ADD")</f>
        <v>0</v>
      </c>
      <c r="L188" s="1">
        <f>_xlfn.XLOOKUP(A188,'New BG List'!A:A,'New BG List'!K:K,,0)</f>
        <v>12</v>
      </c>
      <c r="M188" s="1">
        <f>_xlfn.XLOOKUP(A188,'New BG List'!A:A,'New BG List'!J:J,0)</f>
        <v>30</v>
      </c>
      <c r="N188" s="1"/>
      <c r="O188" s="1" t="str" cm="1">
        <f t="array" ref="O188">GetLastItem(AA188)</f>
        <v>LCSC</v>
      </c>
      <c r="P188" s="1" cm="1">
        <f t="array" ref="P188">IFERROR(INDEX(_xlfn._xlws.SORT(_xlfn._xlws.FILTER('BG Stock Log'!G:G, ('BG Stock Log'!C:C=A188) * ('BG Stock Log'!G:G&gt;0)), 1, -1), 1),"")</f>
        <v>5000</v>
      </c>
      <c r="Q188" s="1" t="str">
        <f>IFERROR(ROUND(AVERAGEIFS('BG Stock Log'!G:G,'BG Stock Log'!C:C,'BG Dashboard'!A178,'BG Stock Log'!F:F,"ADD"),0),"")</f>
        <v/>
      </c>
      <c r="R188" s="1" t="s">
        <v>511</v>
      </c>
      <c r="S188" s="1" t="s">
        <v>915</v>
      </c>
      <c r="T188" s="37">
        <v>3.5000000000000001E-3</v>
      </c>
      <c r="U188" s="37">
        <v>17.5</v>
      </c>
      <c r="V188" s="1" t="s">
        <v>665</v>
      </c>
      <c r="W188" s="37">
        <v>4.0000000000000001E-3</v>
      </c>
      <c r="X188" s="37">
        <v>20</v>
      </c>
      <c r="Y188" s="36" t="str">
        <f>IFERROR(SUMIFS('BG Stock Log'!L:L,'BG Stock Log'!C:C,'BG Dashboard'!A178)/SUMIFS('BG Stock Log'!G:G,'BG Stock Log'!C:C,'BG Dashboard'!A178,'BG Stock Log'!F:F,"ADD"),"")</f>
        <v/>
      </c>
      <c r="Z188" s="36">
        <f t="shared" si="4"/>
        <v>17.412500000000001</v>
      </c>
      <c r="AA188" s="1" t="str" cm="1">
        <f t="array" ref="AA188">GetFilteredValues(A188)</f>
        <v>LCSC</v>
      </c>
    </row>
    <row r="189" spans="1:27" x14ac:dyDescent="0.25">
      <c r="A189" s="1" t="s">
        <v>31</v>
      </c>
      <c r="B189" s="1" t="s">
        <v>493</v>
      </c>
      <c r="C189" s="1" t="s">
        <v>785</v>
      </c>
      <c r="D189" s="8" t="s">
        <v>142</v>
      </c>
      <c r="E189" s="1" t="s">
        <v>106</v>
      </c>
      <c r="F189" s="1" t="s">
        <v>1364</v>
      </c>
      <c r="G189" s="5">
        <f>_xlfn.XLOOKUP(A189,'BG Stock Log'!C:C,'BG Stock Log'!H:H,,0,-1)</f>
        <v>2439</v>
      </c>
      <c r="H189" s="5"/>
      <c r="I189" s="1"/>
      <c r="J189" s="1">
        <v>5000</v>
      </c>
      <c r="K189" s="1">
        <f>SUMIFS('BG Stock Log'!G:G,'BG Stock Log'!C:C,'BG Dashboard'!A34,'BG Stock Log'!F:F,"ADD")</f>
        <v>0</v>
      </c>
      <c r="L189" s="1">
        <f>_xlfn.XLOOKUP(A189,'New BG List'!A:A,'New BG List'!K:K,,0)</f>
        <v>7</v>
      </c>
      <c r="M189" s="1">
        <f>_xlfn.XLOOKUP(A189,'New BG List'!A:A,'New BG List'!J:J,0)</f>
        <v>922</v>
      </c>
      <c r="N189" s="1"/>
      <c r="O189" s="1" t="str" cm="1">
        <f t="array" ref="O189">GetLastItem(AA189)</f>
        <v/>
      </c>
      <c r="P189" s="1" t="str" cm="1">
        <f t="array" ref="P189">IFERROR(INDEX(_xlfn._xlws.SORT(_xlfn._xlws.FILTER('BG Stock Log'!G:G, ('BG Stock Log'!C:C=A189) * ('BG Stock Log'!G:G&gt;0)), 1, -1), 1),"")</f>
        <v/>
      </c>
      <c r="Q189" s="1" t="str">
        <f>IFERROR(ROUND(AVERAGEIFS('BG Stock Log'!G:G,'BG Stock Log'!C:C,'BG Dashboard'!A34,'BG Stock Log'!F:F,"ADD"),0),"")</f>
        <v/>
      </c>
      <c r="R189" s="1" t="s">
        <v>1316</v>
      </c>
      <c r="S189" s="1" t="s">
        <v>1416</v>
      </c>
      <c r="T189" s="37">
        <v>5.0000000000000001E-3</v>
      </c>
      <c r="U189" s="37">
        <v>25</v>
      </c>
      <c r="V189" s="1" t="s">
        <v>676</v>
      </c>
      <c r="W189" s="37">
        <v>8.0000000000000004E-4</v>
      </c>
      <c r="X189" s="37">
        <v>4</v>
      </c>
      <c r="Y189" s="36" t="str">
        <f>IFERROR(SUMIFS('BG Stock Log'!L:L,'BG Stock Log'!C:C,'BG Dashboard'!A34)/SUMIFS('BG Stock Log'!G:G,'BG Stock Log'!C:C,'BG Dashboard'!A34,'BG Stock Log'!F:F,"ADD"),"")</f>
        <v/>
      </c>
      <c r="Z189" s="36">
        <f t="shared" si="4"/>
        <v>12.195</v>
      </c>
      <c r="AA189" s="1" t="str" cm="1">
        <f t="array" ref="AA189">GetFilteredValues(A189)</f>
        <v/>
      </c>
    </row>
    <row r="190" spans="1:27" x14ac:dyDescent="0.25">
      <c r="A190" s="1" t="s">
        <v>5</v>
      </c>
      <c r="B190" s="1" t="s">
        <v>389</v>
      </c>
      <c r="C190" s="1" t="s">
        <v>711</v>
      </c>
      <c r="D190" s="8" t="s">
        <v>112</v>
      </c>
      <c r="E190" s="1" t="s">
        <v>106</v>
      </c>
      <c r="F190" s="1" t="s">
        <v>1364</v>
      </c>
      <c r="G190" s="5">
        <f>_xlfn.XLOOKUP(A190,'BG Stock Log'!C:C,'BG Stock Log'!H:H,,0,-1)</f>
        <v>9910</v>
      </c>
      <c r="H190" s="5"/>
      <c r="I190" s="1"/>
      <c r="J190" s="1">
        <v>5000</v>
      </c>
      <c r="K190" s="1">
        <f>SUMIFS('BG Stock Log'!G:G,'BG Stock Log'!C:C,'BG Dashboard'!A8,'BG Stock Log'!F:F,"ADD")</f>
        <v>2000</v>
      </c>
      <c r="L190" s="1">
        <f>_xlfn.XLOOKUP(A190,'New BG List'!A:A,'New BG List'!K:K,,0)</f>
        <v>29</v>
      </c>
      <c r="M190" s="1">
        <f>_xlfn.XLOOKUP(A190,'New BG List'!A:A,'New BG List'!J:J,0)</f>
        <v>10493</v>
      </c>
      <c r="N190" s="1"/>
      <c r="O190" s="1" t="str" cm="1">
        <f t="array" ref="O190">GetLastItem(AA190)</f>
        <v>LCSC</v>
      </c>
      <c r="P190" s="1" cm="1">
        <f t="array" ref="P190">IFERROR(INDEX(_xlfn._xlws.SORT(_xlfn._xlws.FILTER('BG Stock Log'!G:G, ('BG Stock Log'!C:C=A190) * ('BG Stock Log'!G:G&gt;0)), 1, -1), 1),"")</f>
        <v>15000</v>
      </c>
      <c r="Q190" s="1">
        <f>IFERROR(ROUND(AVERAGEIFS('BG Stock Log'!G:G,'BG Stock Log'!C:C,'BG Dashboard'!A8,'BG Stock Log'!F:F,"ADD"),0),"")</f>
        <v>2000</v>
      </c>
      <c r="R190" s="1" t="s">
        <v>511</v>
      </c>
      <c r="S190" s="1" t="s">
        <v>940</v>
      </c>
      <c r="T190" s="37">
        <v>4.5999999999999999E-3</v>
      </c>
      <c r="U190" s="37">
        <v>23</v>
      </c>
      <c r="V190" s="1" t="s">
        <v>606</v>
      </c>
      <c r="W190" s="37">
        <v>5.9999999999999995E-4</v>
      </c>
      <c r="X190" s="37">
        <v>2.9999999999999996</v>
      </c>
      <c r="Y190" s="36">
        <f>IFERROR(SUMIFS('BG Stock Log'!L:L,'BG Stock Log'!C:C,'BG Dashboard'!A8)/SUMIFS('BG Stock Log'!G:G,'BG Stock Log'!C:C,'BG Dashboard'!A8,'BG Stock Log'!F:F,"ADD"),"")</f>
        <v>0</v>
      </c>
      <c r="Z190" s="36">
        <f t="shared" ref="Z190:Z221" si="5">IFERROR(T190*G190,"")</f>
        <v>45.585999999999999</v>
      </c>
      <c r="AA190" s="1" t="str" cm="1">
        <f t="array" ref="AA190">GetFilteredValues(A190)</f>
        <v>LCSC</v>
      </c>
    </row>
    <row r="191" spans="1:27" x14ac:dyDescent="0.25">
      <c r="A191" s="1" t="s">
        <v>32</v>
      </c>
      <c r="B191" s="1" t="s">
        <v>384</v>
      </c>
      <c r="C191" s="1" t="s">
        <v>830</v>
      </c>
      <c r="D191" s="8" t="s">
        <v>143</v>
      </c>
      <c r="E191" s="1" t="s">
        <v>106</v>
      </c>
      <c r="F191" s="1" t="s">
        <v>1364</v>
      </c>
      <c r="G191" s="5">
        <f>_xlfn.XLOOKUP(A191,'BG Stock Log'!C:C,'BG Stock Log'!H:H,,0,-1)</f>
        <v>2866</v>
      </c>
      <c r="H191" s="5"/>
      <c r="I191" s="1"/>
      <c r="J191" s="1">
        <v>5000</v>
      </c>
      <c r="K191" s="1">
        <f>SUMIFS('BG Stock Log'!G:G,'BG Stock Log'!C:C,'BG Dashboard'!A35,'BG Stock Log'!F:F,"ADD")</f>
        <v>0</v>
      </c>
      <c r="L191" s="1">
        <f>_xlfn.XLOOKUP(A191,'New BG List'!A:A,'New BG List'!K:K,,0)</f>
        <v>24</v>
      </c>
      <c r="M191" s="1">
        <f>_xlfn.XLOOKUP(A191,'New BG List'!A:A,'New BG List'!J:J,0)</f>
        <v>355</v>
      </c>
      <c r="N191" s="1"/>
      <c r="O191" s="1" t="str" cm="1">
        <f t="array" ref="O191">GetLastItem(AA191)</f>
        <v/>
      </c>
      <c r="P191" s="1" t="str" cm="1">
        <f t="array" ref="P191">IFERROR(INDEX(_xlfn._xlws.SORT(_xlfn._xlws.FILTER('BG Stock Log'!G:G, ('BG Stock Log'!C:C=A191) * ('BG Stock Log'!G:G&gt;0)), 1, -1), 1),"")</f>
        <v/>
      </c>
      <c r="Q191" s="1" t="str">
        <f>IFERROR(ROUND(AVERAGEIFS('BG Stock Log'!G:G,'BG Stock Log'!C:C,'BG Dashboard'!A35,'BG Stock Log'!F:F,"ADD"),0),"")</f>
        <v/>
      </c>
      <c r="R191" s="1" t="s">
        <v>511</v>
      </c>
      <c r="S191" s="1" t="s">
        <v>963</v>
      </c>
      <c r="T191" s="37">
        <v>4.5999999999999999E-3</v>
      </c>
      <c r="U191" s="37">
        <v>23</v>
      </c>
      <c r="V191" s="1" t="s">
        <v>601</v>
      </c>
      <c r="W191" s="37">
        <v>8.0000000000000004E-4</v>
      </c>
      <c r="X191" s="37">
        <v>4</v>
      </c>
      <c r="Y191" s="36" t="str">
        <f>IFERROR(SUMIFS('BG Stock Log'!L:L,'BG Stock Log'!C:C,'BG Dashboard'!A35)/SUMIFS('BG Stock Log'!G:G,'BG Stock Log'!C:C,'BG Dashboard'!A35,'BG Stock Log'!F:F,"ADD"),"")</f>
        <v/>
      </c>
      <c r="Z191" s="36">
        <f t="shared" si="5"/>
        <v>13.1836</v>
      </c>
      <c r="AA191" s="1" t="str" cm="1">
        <f t="array" ref="AA191">GetFilteredValues(A191)</f>
        <v/>
      </c>
    </row>
    <row r="192" spans="1:27" x14ac:dyDescent="0.25">
      <c r="A192" s="1" t="s">
        <v>93</v>
      </c>
      <c r="B192" s="1" t="s">
        <v>505</v>
      </c>
      <c r="C192" s="1" t="s">
        <v>858</v>
      </c>
      <c r="D192" s="8" t="s">
        <v>214</v>
      </c>
      <c r="E192" s="1" t="s">
        <v>106</v>
      </c>
      <c r="F192" s="1" t="s">
        <v>1364</v>
      </c>
      <c r="G192" s="5">
        <f>_xlfn.XLOOKUP(A192,'BG Stock Log'!C:C,'BG Stock Log'!H:H,,0,-1)</f>
        <v>4556</v>
      </c>
      <c r="H192" s="5"/>
      <c r="I192" s="1"/>
      <c r="J192" s="1">
        <v>5000</v>
      </c>
      <c r="K192" s="1">
        <f>SUMIFS('BG Stock Log'!G:G,'BG Stock Log'!C:C,'BG Dashboard'!A96,'BG Stock Log'!F:F,"ADD")</f>
        <v>4000</v>
      </c>
      <c r="L192" s="1">
        <f>_xlfn.XLOOKUP(A192,'New BG List'!A:A,'New BG List'!K:K,,0)</f>
        <v>11</v>
      </c>
      <c r="M192" s="1">
        <f>_xlfn.XLOOKUP(A192,'New BG List'!A:A,'New BG List'!J:J,0)</f>
        <v>154</v>
      </c>
      <c r="N192" s="1"/>
      <c r="O192" s="1" t="str" cm="1">
        <f t="array" ref="O192">GetLastItem(AA192)</f>
        <v/>
      </c>
      <c r="P192" s="1" t="str" cm="1">
        <f t="array" ref="P192">IFERROR(INDEX(_xlfn._xlws.SORT(_xlfn._xlws.FILTER('BG Stock Log'!G:G, ('BG Stock Log'!C:C=A192) * ('BG Stock Log'!G:G&gt;0)), 1, -1), 1),"")</f>
        <v/>
      </c>
      <c r="Q192" s="1">
        <f>IFERROR(ROUND(AVERAGEIFS('BG Stock Log'!G:G,'BG Stock Log'!C:C,'BG Dashboard'!A96,'BG Stock Log'!F:F,"ADD"),0),"")</f>
        <v>4000</v>
      </c>
      <c r="R192" s="1" t="s">
        <v>511</v>
      </c>
      <c r="S192" s="1" t="s">
        <v>933</v>
      </c>
      <c r="T192" s="37">
        <v>7.6E-3</v>
      </c>
      <c r="U192" s="37">
        <v>38</v>
      </c>
      <c r="V192" s="1" t="s">
        <v>688</v>
      </c>
      <c r="W192" s="37">
        <v>1.6999999999999999E-3</v>
      </c>
      <c r="X192" s="37">
        <v>8.5</v>
      </c>
      <c r="Y192" s="36">
        <f>IFERROR(SUMIFS('BG Stock Log'!L:L,'BG Stock Log'!C:C,'BG Dashboard'!A96)/SUMIFS('BG Stock Log'!G:G,'BG Stock Log'!C:C,'BG Dashboard'!A96,'BG Stock Log'!F:F,"ADD"),"")</f>
        <v>5.7399999999999994E-3</v>
      </c>
      <c r="Z192" s="36">
        <f t="shared" si="5"/>
        <v>34.625599999999999</v>
      </c>
      <c r="AA192" s="1" t="str" cm="1">
        <f t="array" ref="AA192">GetFilteredValues(A192)</f>
        <v/>
      </c>
    </row>
    <row r="193" spans="1:27" x14ac:dyDescent="0.25">
      <c r="A193" s="10" t="s">
        <v>464</v>
      </c>
      <c r="B193" s="1" t="s">
        <v>465</v>
      </c>
      <c r="C193" s="1" t="s">
        <v>873</v>
      </c>
      <c r="D193" s="8" t="s">
        <v>1133</v>
      </c>
      <c r="E193" s="1" t="s">
        <v>106</v>
      </c>
      <c r="F193" s="1" t="s">
        <v>1364</v>
      </c>
      <c r="G193" s="5">
        <f>_xlfn.XLOOKUP(A193,'BG Stock Log'!C:C,'BG Stock Log'!H:H,,0,-1)</f>
        <v>3860</v>
      </c>
      <c r="H193" s="5"/>
      <c r="I193" s="1"/>
      <c r="J193" s="1">
        <v>5000</v>
      </c>
      <c r="K193" s="1">
        <f>SUMIFS('BG Stock Log'!G:G,'BG Stock Log'!C:C,'BG Dashboard'!A186,'BG Stock Log'!F:F,"ADD")</f>
        <v>15000</v>
      </c>
      <c r="L193" s="1">
        <f>_xlfn.XLOOKUP(A193,'New BG List'!A:A,'New BG List'!K:K,,0)</f>
        <v>13</v>
      </c>
      <c r="M193" s="1">
        <f>_xlfn.XLOOKUP(A193,'New BG List'!A:A,'New BG List'!J:J,0)</f>
        <v>45</v>
      </c>
      <c r="N193" s="1"/>
      <c r="O193" s="1" t="str" cm="1">
        <f t="array" ref="O193">GetLastItem(AA193)</f>
        <v>LCSC</v>
      </c>
      <c r="P193" s="1" cm="1">
        <f t="array" ref="P193">IFERROR(INDEX(_xlfn._xlws.SORT(_xlfn._xlws.FILTER('BG Stock Log'!G:G, ('BG Stock Log'!C:C=A193) * ('BG Stock Log'!G:G&gt;0)), 1, -1), 1),"")</f>
        <v>5000</v>
      </c>
      <c r="Q193" s="1">
        <f>IFERROR(ROUND(AVERAGEIFS('BG Stock Log'!G:G,'BG Stock Log'!C:C,'BG Dashboard'!A186,'BG Stock Log'!F:F,"ADD"),0),"")</f>
        <v>7500</v>
      </c>
      <c r="R193" s="1" t="s">
        <v>511</v>
      </c>
      <c r="S193" s="1" t="s">
        <v>914</v>
      </c>
      <c r="T193" s="37">
        <v>3.0000000000000001E-3</v>
      </c>
      <c r="U193" s="37">
        <v>15</v>
      </c>
      <c r="V193" s="1" t="s">
        <v>656</v>
      </c>
      <c r="W193" s="37">
        <v>6.9999999999999999E-4</v>
      </c>
      <c r="X193" s="37">
        <v>3.5</v>
      </c>
      <c r="Y193" s="36">
        <f>IFERROR(SUMIFS('BG Stock Log'!L:L,'BG Stock Log'!C:C,'BG Dashboard'!A186)/SUMIFS('BG Stock Log'!G:G,'BG Stock Log'!C:C,'BG Dashboard'!A186,'BG Stock Log'!F:F,"ADD"),"")</f>
        <v>1.0266666666666666E-3</v>
      </c>
      <c r="Z193" s="36">
        <f t="shared" si="5"/>
        <v>11.58</v>
      </c>
      <c r="AA193" s="1" t="str" cm="1">
        <f t="array" ref="AA193">GetFilteredValues(A193)</f>
        <v>LCSC</v>
      </c>
    </row>
    <row r="194" spans="1:27" x14ac:dyDescent="0.25">
      <c r="A194" s="10" t="s">
        <v>445</v>
      </c>
      <c r="B194" s="1" t="s">
        <v>446</v>
      </c>
      <c r="C194" s="1" t="s">
        <v>829</v>
      </c>
      <c r="D194" s="8" t="s">
        <v>1128</v>
      </c>
      <c r="E194" s="1" t="s">
        <v>106</v>
      </c>
      <c r="F194" s="1" t="s">
        <v>1364</v>
      </c>
      <c r="G194" s="5">
        <f>_xlfn.XLOOKUP(A194,'BG Stock Log'!C:C,'BG Stock Log'!H:H,,0,-1)</f>
        <v>2788</v>
      </c>
      <c r="H194" s="5"/>
      <c r="I194" s="1"/>
      <c r="J194" s="1">
        <v>5000</v>
      </c>
      <c r="K194" s="1">
        <f>SUMIFS('BG Stock Log'!G:G,'BG Stock Log'!C:C,'BG Dashboard'!A184,'BG Stock Log'!F:F,"ADD")</f>
        <v>0</v>
      </c>
      <c r="L194" s="1">
        <f>_xlfn.XLOOKUP(A194,'New BG List'!A:A,'New BG List'!K:K,,0)</f>
        <v>16</v>
      </c>
      <c r="M194" s="1">
        <f>_xlfn.XLOOKUP(A194,'New BG List'!A:A,'New BG List'!J:J,0)</f>
        <v>362</v>
      </c>
      <c r="N194" s="1"/>
      <c r="O194" s="1" t="str" cm="1">
        <f t="array" ref="O194">GetLastItem(AA194)</f>
        <v>LCSC</v>
      </c>
      <c r="P194" s="1" cm="1">
        <f t="array" ref="P194">IFERROR(INDEX(_xlfn._xlws.SORT(_xlfn._xlws.FILTER('BG Stock Log'!G:G, ('BG Stock Log'!C:C=A194) * ('BG Stock Log'!G:G&gt;0)), 1, -1), 1),"")</f>
        <v>5000</v>
      </c>
      <c r="Q194" s="1" t="str">
        <f>IFERROR(ROUND(AVERAGEIFS('BG Stock Log'!G:G,'BG Stock Log'!C:C,'BG Dashboard'!A184,'BG Stock Log'!F:F,"ADD"),0),"")</f>
        <v/>
      </c>
      <c r="R194" s="1" t="s">
        <v>511</v>
      </c>
      <c r="S194" s="1" t="s">
        <v>909</v>
      </c>
      <c r="T194" s="37">
        <v>2.0799999999999998E-3</v>
      </c>
      <c r="U194" s="37">
        <v>10.399999999999999</v>
      </c>
      <c r="V194" s="1" t="s">
        <v>646</v>
      </c>
      <c r="W194" s="37">
        <v>6.9999999999999999E-4</v>
      </c>
      <c r="X194" s="37">
        <v>3.5</v>
      </c>
      <c r="Y194" s="36" t="str">
        <f>IFERROR(SUMIFS('BG Stock Log'!L:L,'BG Stock Log'!C:C,'BG Dashboard'!A184)/SUMIFS('BG Stock Log'!G:G,'BG Stock Log'!C:C,'BG Dashboard'!A184,'BG Stock Log'!F:F,"ADD"),"")</f>
        <v/>
      </c>
      <c r="Z194" s="36">
        <f t="shared" si="5"/>
        <v>5.7990399999999998</v>
      </c>
      <c r="AA194" s="1" t="str" cm="1">
        <f t="array" ref="AA194">GetFilteredValues(A194)</f>
        <v>LCSC</v>
      </c>
    </row>
    <row r="195" spans="1:27" x14ac:dyDescent="0.25">
      <c r="A195" s="1" t="s">
        <v>94</v>
      </c>
      <c r="B195" s="1" t="s">
        <v>404</v>
      </c>
      <c r="C195" s="1" t="s">
        <v>728</v>
      </c>
      <c r="D195" s="8" t="s">
        <v>117</v>
      </c>
      <c r="E195" s="1" t="s">
        <v>106</v>
      </c>
      <c r="F195" s="1" t="s">
        <v>1364</v>
      </c>
      <c r="G195" s="5">
        <f>_xlfn.XLOOKUP(A195,'BG Stock Log'!C:C,'BG Stock Log'!H:H,,0,-1)</f>
        <v>2566</v>
      </c>
      <c r="H195" s="5"/>
      <c r="I195" s="1"/>
      <c r="J195" s="1">
        <v>5000</v>
      </c>
      <c r="K195" s="1">
        <f>SUMIFS('BG Stock Log'!G:G,'BG Stock Log'!C:C,'BG Dashboard'!A97,'BG Stock Log'!F:F,"ADD")</f>
        <v>4000</v>
      </c>
      <c r="L195" s="1">
        <f>_xlfn.XLOOKUP(A195,'New BG List'!A:A,'New BG List'!K:K,,0)</f>
        <v>62</v>
      </c>
      <c r="M195" s="1">
        <f>_xlfn.XLOOKUP(A195,'New BG List'!A:A,'New BG List'!J:J,0)</f>
        <v>4432</v>
      </c>
      <c r="N195" s="1"/>
      <c r="O195" s="1" t="str" cm="1">
        <f t="array" ref="O195">GetLastItem(AA195)</f>
        <v/>
      </c>
      <c r="P195" s="1" cm="1">
        <f t="array" ref="P195">IFERROR(INDEX(_xlfn._xlws.SORT(_xlfn._xlws.FILTER('BG Stock Log'!G:G, ('BG Stock Log'!C:C=A195) * ('BG Stock Log'!G:G&gt;0)), 1, -1), 1),"")</f>
        <v>5468</v>
      </c>
      <c r="Q195" s="1">
        <f>IFERROR(ROUND(AVERAGEIFS('BG Stock Log'!G:G,'BG Stock Log'!C:C,'BG Dashboard'!A97,'BG Stock Log'!F:F,"ADD"),0),"")</f>
        <v>2000</v>
      </c>
      <c r="R195" s="1" t="s">
        <v>511</v>
      </c>
      <c r="S195" s="1" t="s">
        <v>934</v>
      </c>
      <c r="T195" s="37">
        <v>4.5999999999999999E-3</v>
      </c>
      <c r="U195" s="37">
        <v>23</v>
      </c>
      <c r="V195" s="1" t="s">
        <v>621</v>
      </c>
      <c r="W195" s="37">
        <v>6.9999999999999999E-4</v>
      </c>
      <c r="X195" s="37">
        <v>3.5</v>
      </c>
      <c r="Y195" s="36">
        <f>IFERROR(SUMIFS('BG Stock Log'!L:L,'BG Stock Log'!C:C,'BG Dashboard'!A97)/SUMIFS('BG Stock Log'!G:G,'BG Stock Log'!C:C,'BG Dashboard'!A97,'BG Stock Log'!F:F,"ADD"),"")</f>
        <v>9.6039999999999997E-3</v>
      </c>
      <c r="Z195" s="36">
        <f t="shared" si="5"/>
        <v>11.803599999999999</v>
      </c>
      <c r="AA195" s="1" t="str" cm="1">
        <f t="array" ref="AA195">GetFilteredValues(A195)</f>
        <v/>
      </c>
    </row>
    <row r="196" spans="1:27" x14ac:dyDescent="0.25">
      <c r="A196" s="1" t="s">
        <v>33</v>
      </c>
      <c r="B196" s="1" t="s">
        <v>494</v>
      </c>
      <c r="C196" s="1" t="s">
        <v>836</v>
      </c>
      <c r="D196" s="8" t="s">
        <v>144</v>
      </c>
      <c r="E196" s="1" t="s">
        <v>106</v>
      </c>
      <c r="F196" s="1" t="s">
        <v>1364</v>
      </c>
      <c r="G196" s="5">
        <f>_xlfn.XLOOKUP(A196,'BG Stock Log'!C:C,'BG Stock Log'!H:H,,0,-1)</f>
        <v>3328</v>
      </c>
      <c r="H196" s="5"/>
      <c r="I196" s="1"/>
      <c r="J196" s="1">
        <v>5000</v>
      </c>
      <c r="K196" s="1">
        <f>SUMIFS('BG Stock Log'!G:G,'BG Stock Log'!C:C,'BG Dashboard'!A36,'BG Stock Log'!F:F,"ADD")</f>
        <v>500</v>
      </c>
      <c r="L196" s="1">
        <f>_xlfn.XLOOKUP(A196,'New BG List'!A:A,'New BG List'!K:K,,0)</f>
        <v>8</v>
      </c>
      <c r="M196" s="1">
        <f>_xlfn.XLOOKUP(A196,'New BG List'!A:A,'New BG List'!J:J,0)</f>
        <v>293</v>
      </c>
      <c r="N196" s="1"/>
      <c r="O196" s="1" t="str" cm="1">
        <f t="array" ref="O196">GetLastItem(AA196)</f>
        <v/>
      </c>
      <c r="P196" s="1" t="str" cm="1">
        <f t="array" ref="P196">IFERROR(INDEX(_xlfn._xlws.SORT(_xlfn._xlws.FILTER('BG Stock Log'!G:G, ('BG Stock Log'!C:C=A196) * ('BG Stock Log'!G:G&gt;0)), 1, -1), 1),"")</f>
        <v/>
      </c>
      <c r="Q196" s="1">
        <f>IFERROR(ROUND(AVERAGEIFS('BG Stock Log'!G:G,'BG Stock Log'!C:C,'BG Dashboard'!A36,'BG Stock Log'!F:F,"ADD"),0),"")</f>
        <v>500</v>
      </c>
      <c r="R196" s="1" t="s">
        <v>1316</v>
      </c>
      <c r="S196" s="1" t="s">
        <v>1417</v>
      </c>
      <c r="T196" s="37">
        <v>8.9999999999999993E-3</v>
      </c>
      <c r="U196" s="37">
        <v>45</v>
      </c>
      <c r="V196" s="1" t="s">
        <v>677</v>
      </c>
      <c r="W196" s="37">
        <v>6.9999999999999999E-4</v>
      </c>
      <c r="X196" s="37">
        <v>3.5</v>
      </c>
      <c r="Y196" s="36">
        <f>IFERROR(SUMIFS('BG Stock Log'!L:L,'BG Stock Log'!C:C,'BG Dashboard'!A36)/SUMIFS('BG Stock Log'!G:G,'BG Stock Log'!C:C,'BG Dashboard'!A36,'BG Stock Log'!F:F,"ADD"),"")</f>
        <v>0</v>
      </c>
      <c r="Z196" s="36">
        <f t="shared" si="5"/>
        <v>29.951999999999998</v>
      </c>
      <c r="AA196" s="1" t="str" cm="1">
        <f t="array" ref="AA196">GetFilteredValues(A196)</f>
        <v/>
      </c>
    </row>
    <row r="197" spans="1:27" x14ac:dyDescent="0.25">
      <c r="A197" s="1" t="s">
        <v>6</v>
      </c>
      <c r="B197" s="1" t="s">
        <v>400</v>
      </c>
      <c r="C197" s="1" t="s">
        <v>752</v>
      </c>
      <c r="D197" s="8" t="s">
        <v>113</v>
      </c>
      <c r="E197" s="1" t="s">
        <v>106</v>
      </c>
      <c r="F197" s="1" t="s">
        <v>1364</v>
      </c>
      <c r="G197" s="5">
        <f>_xlfn.XLOOKUP(A197,'BG Stock Log'!C:C,'BG Stock Log'!H:H,,0,-1)</f>
        <v>3961</v>
      </c>
      <c r="H197" s="5"/>
      <c r="I197" s="1"/>
      <c r="J197" s="1">
        <v>5000</v>
      </c>
      <c r="K197" s="1">
        <f>SUMIFS('BG Stock Log'!G:G,'BG Stock Log'!C:C,'BG Dashboard'!A9,'BG Stock Log'!F:F,"ADD")</f>
        <v>500</v>
      </c>
      <c r="L197" s="1">
        <f>_xlfn.XLOOKUP(A197,'New BG List'!A:A,'New BG List'!K:K,,0)</f>
        <v>32</v>
      </c>
      <c r="M197" s="1">
        <f>_xlfn.XLOOKUP(A197,'New BG List'!A:A,'New BG List'!J:J,0)</f>
        <v>1977</v>
      </c>
      <c r="N197" s="1"/>
      <c r="O197" s="1" t="str" cm="1">
        <f t="array" ref="O197">GetLastItem(AA197)</f>
        <v/>
      </c>
      <c r="P197" s="1" t="str" cm="1">
        <f t="array" ref="P197">IFERROR(INDEX(_xlfn._xlws.SORT(_xlfn._xlws.FILTER('BG Stock Log'!G:G, ('BG Stock Log'!C:C=A197) * ('BG Stock Log'!G:G&gt;0)), 1, -1), 1),"")</f>
        <v/>
      </c>
      <c r="Q197" s="1">
        <f>IFERROR(ROUND(AVERAGEIFS('BG Stock Log'!G:G,'BG Stock Log'!C:C,'BG Dashboard'!A9,'BG Stock Log'!F:F,"ADD"),0),"")</f>
        <v>500</v>
      </c>
      <c r="R197" s="1" t="s">
        <v>511</v>
      </c>
      <c r="S197" s="1" t="s">
        <v>946</v>
      </c>
      <c r="T197" s="37">
        <v>4.5999999999999999E-3</v>
      </c>
      <c r="U197" s="37">
        <v>23</v>
      </c>
      <c r="V197" s="1" t="s">
        <v>617</v>
      </c>
      <c r="W197" s="37">
        <v>6.9999999999999999E-4</v>
      </c>
      <c r="X197" s="37">
        <v>3.5</v>
      </c>
      <c r="Y197" s="36">
        <f>IFERROR(SUMIFS('BG Stock Log'!L:L,'BG Stock Log'!C:C,'BG Dashboard'!A9)/SUMIFS('BG Stock Log'!G:G,'BG Stock Log'!C:C,'BG Dashboard'!A9,'BG Stock Log'!F:F,"ADD"),"")</f>
        <v>0</v>
      </c>
      <c r="Z197" s="36">
        <f t="shared" si="5"/>
        <v>18.220600000000001</v>
      </c>
      <c r="AA197" s="1" t="str" cm="1">
        <f t="array" ref="AA197">GetFilteredValues(A197)</f>
        <v/>
      </c>
    </row>
    <row r="198" spans="1:27" x14ac:dyDescent="0.25">
      <c r="A198" s="1" t="s">
        <v>95</v>
      </c>
      <c r="B198" s="1" t="s">
        <v>405</v>
      </c>
      <c r="C198" s="1" t="s">
        <v>787</v>
      </c>
      <c r="D198" s="8" t="s">
        <v>215</v>
      </c>
      <c r="E198" s="1" t="s">
        <v>106</v>
      </c>
      <c r="F198" s="1" t="s">
        <v>1364</v>
      </c>
      <c r="G198" s="5">
        <f>_xlfn.XLOOKUP(A198,'BG Stock Log'!C:C,'BG Stock Log'!H:H,,0,-1)</f>
        <v>2695</v>
      </c>
      <c r="H198" s="5"/>
      <c r="I198" s="1"/>
      <c r="J198" s="1">
        <v>5000</v>
      </c>
      <c r="K198" s="1">
        <f>SUMIFS('BG Stock Log'!G:G,'BG Stock Log'!C:C,'BG Dashboard'!A98,'BG Stock Log'!F:F,"ADD")</f>
        <v>4000</v>
      </c>
      <c r="L198" s="1">
        <f>_xlfn.XLOOKUP(A198,'New BG List'!A:A,'New BG List'!K:K,,0)</f>
        <v>19</v>
      </c>
      <c r="M198" s="1">
        <f>_xlfn.XLOOKUP(A198,'New BG List'!A:A,'New BG List'!J:J,0)</f>
        <v>894</v>
      </c>
      <c r="N198" s="1"/>
      <c r="O198" s="1" t="str" cm="1">
        <f t="array" ref="O198">GetLastItem(AA198)</f>
        <v/>
      </c>
      <c r="P198" s="1" t="str" cm="1">
        <f t="array" ref="P198">IFERROR(INDEX(_xlfn._xlws.SORT(_xlfn._xlws.FILTER('BG Stock Log'!G:G, ('BG Stock Log'!C:C=A198) * ('BG Stock Log'!G:G&gt;0)), 1, -1), 1),"")</f>
        <v/>
      </c>
      <c r="Q198" s="1">
        <f>IFERROR(ROUND(AVERAGEIFS('BG Stock Log'!G:G,'BG Stock Log'!C:C,'BG Dashboard'!A98,'BG Stock Log'!F:F,"ADD"),0),"")</f>
        <v>4000</v>
      </c>
      <c r="R198" s="1" t="s">
        <v>511</v>
      </c>
      <c r="S198" s="1" t="s">
        <v>955</v>
      </c>
      <c r="T198" s="37">
        <v>3.0000000000000001E-3</v>
      </c>
      <c r="U198" s="37">
        <v>15</v>
      </c>
      <c r="V198" s="1" t="s">
        <v>622</v>
      </c>
      <c r="W198" s="37">
        <v>6.9999999999999999E-4</v>
      </c>
      <c r="X198" s="37">
        <v>3.5</v>
      </c>
      <c r="Y198" s="36">
        <f>IFERROR(SUMIFS('BG Stock Log'!L:L,'BG Stock Log'!C:C,'BG Dashboard'!A98)/SUMIFS('BG Stock Log'!G:G,'BG Stock Log'!C:C,'BG Dashboard'!A98,'BG Stock Log'!F:F,"ADD"),"")</f>
        <v>2.24E-2</v>
      </c>
      <c r="Z198" s="36">
        <f t="shared" si="5"/>
        <v>8.0850000000000009</v>
      </c>
      <c r="AA198" s="1" t="str" cm="1">
        <f t="array" ref="AA198">GetFilteredValues(A198)</f>
        <v/>
      </c>
    </row>
    <row r="199" spans="1:27" x14ac:dyDescent="0.25">
      <c r="A199" s="1" t="s">
        <v>34</v>
      </c>
      <c r="B199" s="1" t="s">
        <v>495</v>
      </c>
      <c r="C199" s="1" t="s">
        <v>712</v>
      </c>
      <c r="D199" s="8" t="s">
        <v>145</v>
      </c>
      <c r="E199" s="1" t="s">
        <v>106</v>
      </c>
      <c r="F199" s="1" t="s">
        <v>1364</v>
      </c>
      <c r="G199" s="5">
        <f>_xlfn.XLOOKUP(A199,'BG Stock Log'!C:C,'BG Stock Log'!H:H,,0,-1)</f>
        <v>1774</v>
      </c>
      <c r="H199" s="5"/>
      <c r="I199" s="1"/>
      <c r="J199" s="1">
        <v>5000</v>
      </c>
      <c r="K199" s="1">
        <f>SUMIFS('BG Stock Log'!G:G,'BG Stock Log'!C:C,'BG Dashboard'!A37,'BG Stock Log'!F:F,"ADD")</f>
        <v>0</v>
      </c>
      <c r="L199" s="1">
        <f>_xlfn.XLOOKUP(A199,'New BG List'!A:A,'New BG List'!K:K,,0)</f>
        <v>10</v>
      </c>
      <c r="M199" s="1">
        <f>_xlfn.XLOOKUP(A199,'New BG List'!A:A,'New BG List'!J:J,0)</f>
        <v>10487</v>
      </c>
      <c r="N199" s="1"/>
      <c r="O199" s="1" t="str" cm="1">
        <f t="array" ref="O199">GetLastItem(AA199)</f>
        <v/>
      </c>
      <c r="P199" s="1" t="str" cm="1">
        <f t="array" ref="P199">IFERROR(INDEX(_xlfn._xlws.SORT(_xlfn._xlws.FILTER('BG Stock Log'!G:G, ('BG Stock Log'!C:C=A199) * ('BG Stock Log'!G:G&gt;0)), 1, -1), 1),"")</f>
        <v/>
      </c>
      <c r="Q199" s="1" t="str">
        <f>IFERROR(ROUND(AVERAGEIFS('BG Stock Log'!G:G,'BG Stock Log'!C:C,'BG Dashboard'!A37,'BG Stock Log'!F:F,"ADD"),0),"")</f>
        <v/>
      </c>
      <c r="R199" s="1" t="s">
        <v>511</v>
      </c>
      <c r="S199" s="1" t="s">
        <v>916</v>
      </c>
      <c r="T199" s="37">
        <v>3.0000000000000001E-3</v>
      </c>
      <c r="U199" s="37">
        <v>15</v>
      </c>
      <c r="V199" s="1" t="s">
        <v>678</v>
      </c>
      <c r="W199" s="37">
        <v>5.9999999999999995E-4</v>
      </c>
      <c r="X199" s="37">
        <v>2.9999999999999996</v>
      </c>
      <c r="Y199" s="36" t="str">
        <f>IFERROR(SUMIFS('BG Stock Log'!L:L,'BG Stock Log'!C:C,'BG Dashboard'!A37)/SUMIFS('BG Stock Log'!G:G,'BG Stock Log'!C:C,'BG Dashboard'!A37,'BG Stock Log'!F:F,"ADD"),"")</f>
        <v/>
      </c>
      <c r="Z199" s="36">
        <f t="shared" si="5"/>
        <v>5.3220000000000001</v>
      </c>
      <c r="AA199" s="1" t="str" cm="1">
        <f t="array" ref="AA199">GetFilteredValues(A199)</f>
        <v/>
      </c>
    </row>
    <row r="200" spans="1:27" x14ac:dyDescent="0.25">
      <c r="A200" s="1" t="s">
        <v>96</v>
      </c>
      <c r="B200" s="1" t="s">
        <v>406</v>
      </c>
      <c r="C200" s="1" t="s">
        <v>770</v>
      </c>
      <c r="D200" s="8" t="s">
        <v>216</v>
      </c>
      <c r="E200" s="1" t="s">
        <v>106</v>
      </c>
      <c r="F200" s="1" t="s">
        <v>1364</v>
      </c>
      <c r="G200" s="5">
        <f>_xlfn.XLOOKUP(A200,'BG Stock Log'!C:C,'BG Stock Log'!H:H,,0,-1)</f>
        <v>4685</v>
      </c>
      <c r="H200" s="5"/>
      <c r="I200" s="1"/>
      <c r="J200" s="1">
        <v>5000</v>
      </c>
      <c r="K200" s="1">
        <f>SUMIFS('BG Stock Log'!G:G,'BG Stock Log'!C:C,'BG Dashboard'!A99,'BG Stock Log'!F:F,"ADD")</f>
        <v>0</v>
      </c>
      <c r="L200" s="1">
        <f>_xlfn.XLOOKUP(A200,'New BG List'!A:A,'New BG List'!K:K,,0)</f>
        <v>19</v>
      </c>
      <c r="M200" s="1">
        <f>_xlfn.XLOOKUP(A200,'New BG List'!A:A,'New BG List'!J:J,0)</f>
        <v>1371</v>
      </c>
      <c r="N200" s="1"/>
      <c r="O200" s="1" t="str" cm="1">
        <f t="array" ref="O200">GetLastItem(AA200)</f>
        <v>LCSC</v>
      </c>
      <c r="P200" s="1" cm="1">
        <f t="array" ref="P200">IFERROR(INDEX(_xlfn._xlws.SORT(_xlfn._xlws.FILTER('BG Stock Log'!G:G, ('BG Stock Log'!C:C=A200) * ('BG Stock Log'!G:G&gt;0)), 1, -1), 1),"")</f>
        <v>10000</v>
      </c>
      <c r="Q200" s="1" t="str">
        <f>IFERROR(ROUND(AVERAGEIFS('BG Stock Log'!G:G,'BG Stock Log'!C:C,'BG Dashboard'!A99,'BG Stock Log'!F:F,"ADD"),0),"")</f>
        <v/>
      </c>
      <c r="R200" s="1" t="s">
        <v>511</v>
      </c>
      <c r="S200" s="1" t="s">
        <v>951</v>
      </c>
      <c r="T200" s="37">
        <v>4.5999999999999999E-3</v>
      </c>
      <c r="U200" s="37">
        <v>23</v>
      </c>
      <c r="V200" s="1" t="s">
        <v>623</v>
      </c>
      <c r="W200" s="37">
        <v>6.9999999999999999E-4</v>
      </c>
      <c r="X200" s="37">
        <v>3.5</v>
      </c>
      <c r="Y200" s="36" t="str">
        <f>IFERROR(SUMIFS('BG Stock Log'!L:L,'BG Stock Log'!C:C,'BG Dashboard'!A99)/SUMIFS('BG Stock Log'!G:G,'BG Stock Log'!C:C,'BG Dashboard'!A99,'BG Stock Log'!F:F,"ADD"),"")</f>
        <v/>
      </c>
      <c r="Z200" s="36">
        <f t="shared" si="5"/>
        <v>21.550999999999998</v>
      </c>
      <c r="AA200" s="1" t="str" cm="1">
        <f t="array" ref="AA200">GetFilteredValues(A200)</f>
        <v>LCSC</v>
      </c>
    </row>
    <row r="201" spans="1:27" x14ac:dyDescent="0.25">
      <c r="A201" s="1" t="s">
        <v>35</v>
      </c>
      <c r="B201" s="1" t="s">
        <v>496</v>
      </c>
      <c r="C201" s="1" t="s">
        <v>741</v>
      </c>
      <c r="D201" s="8" t="s">
        <v>146</v>
      </c>
      <c r="E201" s="1" t="s">
        <v>106</v>
      </c>
      <c r="F201" s="1" t="s">
        <v>1364</v>
      </c>
      <c r="G201" s="5">
        <f>_xlfn.XLOOKUP(A201,'BG Stock Log'!C:C,'BG Stock Log'!H:H,,0,-1)</f>
        <v>12</v>
      </c>
      <c r="H201" s="5"/>
      <c r="I201" s="1"/>
      <c r="J201" s="1">
        <v>5000</v>
      </c>
      <c r="K201" s="1">
        <f>SUMIFS('BG Stock Log'!G:G,'BG Stock Log'!C:C,'BG Dashboard'!A38,'BG Stock Log'!F:F,"ADD")</f>
        <v>0</v>
      </c>
      <c r="L201" s="1">
        <f>_xlfn.XLOOKUP(A201,'New BG List'!A:A,'New BG List'!K:K,,0)</f>
        <v>10</v>
      </c>
      <c r="M201" s="1">
        <f>_xlfn.XLOOKUP(A201,'New BG List'!A:A,'New BG List'!J:J,0)</f>
        <v>2448</v>
      </c>
      <c r="N201" s="1"/>
      <c r="O201" s="1" t="str" cm="1">
        <f t="array" ref="O201">GetLastItem(AA201)</f>
        <v/>
      </c>
      <c r="P201" s="1" t="str" cm="1">
        <f t="array" ref="P201">IFERROR(INDEX(_xlfn._xlws.SORT(_xlfn._xlws.FILTER('BG Stock Log'!G:G, ('BG Stock Log'!C:C=A201) * ('BG Stock Log'!G:G&gt;0)), 1, -1), 1),"")</f>
        <v/>
      </c>
      <c r="Q201" s="1" t="str">
        <f>IFERROR(ROUND(AVERAGEIFS('BG Stock Log'!G:G,'BG Stock Log'!C:C,'BG Dashboard'!A38,'BG Stock Log'!F:F,"ADD"),0),"")</f>
        <v/>
      </c>
      <c r="R201" s="1" t="s">
        <v>511</v>
      </c>
      <c r="S201" s="1" t="s">
        <v>917</v>
      </c>
      <c r="T201" s="37">
        <v>4.5999999999999999E-3</v>
      </c>
      <c r="U201" s="37">
        <v>23</v>
      </c>
      <c r="V201" s="1" t="s">
        <v>679</v>
      </c>
      <c r="W201" s="37">
        <v>5.9999999999999995E-4</v>
      </c>
      <c r="X201" s="37">
        <v>2.9999999999999996</v>
      </c>
      <c r="Y201" s="36" t="str">
        <f>IFERROR(SUMIFS('BG Stock Log'!L:L,'BG Stock Log'!C:C,'BG Dashboard'!A38)/SUMIFS('BG Stock Log'!G:G,'BG Stock Log'!C:C,'BG Dashboard'!A38,'BG Stock Log'!F:F,"ADD"),"")</f>
        <v/>
      </c>
      <c r="Z201" s="36">
        <f t="shared" si="5"/>
        <v>5.5199999999999999E-2</v>
      </c>
      <c r="AA201" s="1" t="str" cm="1">
        <f t="array" ref="AA201">GetFilteredValues(A201)</f>
        <v/>
      </c>
    </row>
    <row r="202" spans="1:27" x14ac:dyDescent="0.25">
      <c r="A202" s="1" t="s">
        <v>36</v>
      </c>
      <c r="B202" s="1" t="s">
        <v>385</v>
      </c>
      <c r="C202" s="1" t="s">
        <v>706</v>
      </c>
      <c r="D202" s="8" t="s">
        <v>147</v>
      </c>
      <c r="E202" s="1" t="s">
        <v>106</v>
      </c>
      <c r="F202" s="1" t="s">
        <v>1364</v>
      </c>
      <c r="G202" s="5">
        <f>_xlfn.XLOOKUP(A202,'BG Stock Log'!C:C,'BG Stock Log'!H:H,,0,-1)</f>
        <v>8437</v>
      </c>
      <c r="H202" s="5"/>
      <c r="I202" s="1"/>
      <c r="J202" s="1">
        <v>5000</v>
      </c>
      <c r="K202" s="1">
        <f>SUMIFS('BG Stock Log'!G:G,'BG Stock Log'!C:C,'BG Dashboard'!A39,'BG Stock Log'!F:F,"ADD")</f>
        <v>0</v>
      </c>
      <c r="L202" s="1">
        <f>_xlfn.XLOOKUP(A202,'New BG List'!A:A,'New BG List'!K:K,,0)</f>
        <v>57</v>
      </c>
      <c r="M202" s="1">
        <f>_xlfn.XLOOKUP(A202,'New BG List'!A:A,'New BG List'!J:J,0)</f>
        <v>13483</v>
      </c>
      <c r="N202" s="1"/>
      <c r="O202" s="1" t="str" cm="1">
        <f t="array" ref="O202">GetLastItem(AA202)</f>
        <v>LCSC</v>
      </c>
      <c r="P202" s="1" cm="1">
        <f t="array" ref="P202">IFERROR(INDEX(_xlfn._xlws.SORT(_xlfn._xlws.FILTER('BG Stock Log'!G:G, ('BG Stock Log'!C:C=A202) * ('BG Stock Log'!G:G&gt;0)), 1, -1), 1),"")</f>
        <v>15000</v>
      </c>
      <c r="Q202" s="1" t="str">
        <f>IFERROR(ROUND(AVERAGEIFS('BG Stock Log'!G:G,'BG Stock Log'!C:C,'BG Dashboard'!A39,'BG Stock Log'!F:F,"ADD"),0),"")</f>
        <v/>
      </c>
      <c r="R202" s="1" t="s">
        <v>511</v>
      </c>
      <c r="S202" s="1" t="s">
        <v>938</v>
      </c>
      <c r="T202" s="37">
        <v>3.0000000000000001E-3</v>
      </c>
      <c r="U202" s="37">
        <v>15</v>
      </c>
      <c r="V202" s="1" t="s">
        <v>602</v>
      </c>
      <c r="W202" s="37">
        <v>6.9999999999999999E-4</v>
      </c>
      <c r="X202" s="37">
        <v>3.5</v>
      </c>
      <c r="Y202" s="36" t="str">
        <f>IFERROR(SUMIFS('BG Stock Log'!L:L,'BG Stock Log'!C:C,'BG Dashboard'!A39)/SUMIFS('BG Stock Log'!G:G,'BG Stock Log'!C:C,'BG Dashboard'!A39,'BG Stock Log'!F:F,"ADD"),"")</f>
        <v/>
      </c>
      <c r="Z202" s="36">
        <f t="shared" si="5"/>
        <v>25.311</v>
      </c>
      <c r="AA202" s="1" t="str" cm="1">
        <f t="array" ref="AA202">GetFilteredValues(A202)</f>
        <v>LCSC</v>
      </c>
    </row>
    <row r="203" spans="1:27" x14ac:dyDescent="0.25">
      <c r="A203" s="10" t="s">
        <v>477</v>
      </c>
      <c r="B203" s="1" t="s">
        <v>478</v>
      </c>
      <c r="C203" s="1" t="s">
        <v>852</v>
      </c>
      <c r="D203" s="8" t="s">
        <v>1130</v>
      </c>
      <c r="E203" s="1" t="s">
        <v>106</v>
      </c>
      <c r="F203" s="1" t="s">
        <v>1364</v>
      </c>
      <c r="G203" s="5">
        <f>_xlfn.XLOOKUP(A203,'BG Stock Log'!C:C,'BG Stock Log'!H:H,,0,-1)</f>
        <v>1722</v>
      </c>
      <c r="H203" s="5"/>
      <c r="I203" s="1"/>
      <c r="J203" s="1">
        <v>5000</v>
      </c>
      <c r="K203" s="1">
        <f>SUMIFS('BG Stock Log'!G:G,'BG Stock Log'!C:C,'BG Dashboard'!A187,'BG Stock Log'!F:F,"ADD")</f>
        <v>0</v>
      </c>
      <c r="L203" s="1">
        <f>_xlfn.XLOOKUP(A203,'New BG List'!A:A,'New BG List'!K:K,,0)</f>
        <v>13</v>
      </c>
      <c r="M203" s="1">
        <f>_xlfn.XLOOKUP(A203,'New BG List'!A:A,'New BG List'!J:J,0)</f>
        <v>191</v>
      </c>
      <c r="N203" s="1"/>
      <c r="O203" s="1" t="str" cm="1">
        <f t="array" ref="O203">GetLastItem(AA203)</f>
        <v>LCSC</v>
      </c>
      <c r="P203" s="1" cm="1">
        <f t="array" ref="P203">IFERROR(INDEX(_xlfn._xlws.SORT(_xlfn._xlws.FILTER('BG Stock Log'!G:G, ('BG Stock Log'!C:C=A203) * ('BG Stock Log'!G:G&gt;0)), 1, -1), 1),"")</f>
        <v>5000</v>
      </c>
      <c r="Q203" s="1" t="str">
        <f>IFERROR(ROUND(AVERAGEIFS('BG Stock Log'!G:G,'BG Stock Log'!C:C,'BG Dashboard'!A187,'BG Stock Log'!F:F,"ADD"),0),"")</f>
        <v/>
      </c>
      <c r="R203" s="1" t="s">
        <v>511</v>
      </c>
      <c r="S203" s="1" t="s">
        <v>911</v>
      </c>
      <c r="T203" s="37">
        <v>4.5999999999999999E-3</v>
      </c>
      <c r="U203" s="37">
        <v>23</v>
      </c>
      <c r="V203" s="1" t="s">
        <v>663</v>
      </c>
      <c r="W203" s="37">
        <v>6.9999999999999999E-4</v>
      </c>
      <c r="X203" s="37">
        <v>3.5</v>
      </c>
      <c r="Y203" s="36" t="str">
        <f>IFERROR(SUMIFS('BG Stock Log'!L:L,'BG Stock Log'!C:C,'BG Dashboard'!A187)/SUMIFS('BG Stock Log'!G:G,'BG Stock Log'!C:C,'BG Dashboard'!A187,'BG Stock Log'!F:F,"ADD"),"")</f>
        <v/>
      </c>
      <c r="Z203" s="36">
        <f t="shared" si="5"/>
        <v>7.9211999999999998</v>
      </c>
      <c r="AA203" s="1" t="str" cm="1">
        <f t="array" ref="AA203">GetFilteredValues(A203)</f>
        <v>LCSC</v>
      </c>
    </row>
    <row r="204" spans="1:27" x14ac:dyDescent="0.25">
      <c r="A204" s="10" t="s">
        <v>439</v>
      </c>
      <c r="B204" s="1" t="s">
        <v>440</v>
      </c>
      <c r="C204" s="1" t="s">
        <v>870</v>
      </c>
      <c r="D204" s="8" t="s">
        <v>1132</v>
      </c>
      <c r="E204" s="1" t="s">
        <v>106</v>
      </c>
      <c r="F204" s="1" t="s">
        <v>1364</v>
      </c>
      <c r="G204" s="5">
        <f>_xlfn.XLOOKUP(A204,'BG Stock Log'!C:C,'BG Stock Log'!H:H,,0,-1)</f>
        <v>4437</v>
      </c>
      <c r="H204" s="5"/>
      <c r="I204" s="1"/>
      <c r="J204" s="1">
        <v>5000</v>
      </c>
      <c r="K204" s="1">
        <f>SUMIFS('BG Stock Log'!G:G,'BG Stock Log'!C:C,'BG Dashboard'!A185,'BG Stock Log'!F:F,"ADD")</f>
        <v>5000</v>
      </c>
      <c r="L204" s="1">
        <f>_xlfn.XLOOKUP(A204,'New BG List'!A:A,'New BG List'!K:K,,0)</f>
        <v>17</v>
      </c>
      <c r="M204" s="1">
        <f>_xlfn.XLOOKUP(A204,'New BG List'!A:A,'New BG List'!J:J,0)</f>
        <v>57</v>
      </c>
      <c r="N204" s="1"/>
      <c r="O204" s="1" t="str" cm="1">
        <f t="array" ref="O204">GetLastItem(AA204)</f>
        <v>Ling</v>
      </c>
      <c r="P204" s="1" cm="1">
        <f t="array" ref="P204">IFERROR(INDEX(_xlfn._xlws.SORT(_xlfn._xlws.FILTER('BG Stock Log'!G:G, ('BG Stock Log'!C:C=A204) * ('BG Stock Log'!G:G&gt;0)), 1, -1), 1),"")</f>
        <v>5000</v>
      </c>
      <c r="Q204" s="1">
        <f>IFERROR(ROUND(AVERAGEIFS('BG Stock Log'!G:G,'BG Stock Log'!C:C,'BG Dashboard'!A185,'BG Stock Log'!F:F,"ADD"),0),"")</f>
        <v>5000</v>
      </c>
      <c r="R204" s="1" t="s">
        <v>511</v>
      </c>
      <c r="S204" s="1" t="s">
        <v>913</v>
      </c>
      <c r="T204" s="37">
        <v>3.0000000000000001E-3</v>
      </c>
      <c r="U204" s="37">
        <v>15</v>
      </c>
      <c r="V204" s="1" t="s">
        <v>643</v>
      </c>
      <c r="W204" s="37">
        <v>8.0000000000000004E-4</v>
      </c>
      <c r="X204" s="37">
        <v>4</v>
      </c>
      <c r="Y204" s="36">
        <f>IFERROR(SUMIFS('BG Stock Log'!L:L,'BG Stock Log'!C:C,'BG Dashboard'!A185)/SUMIFS('BG Stock Log'!G:G,'BG Stock Log'!C:C,'BG Dashboard'!A185,'BG Stock Log'!F:F,"ADD"),"")</f>
        <v>1.1199999999999999E-3</v>
      </c>
      <c r="Z204" s="36">
        <f t="shared" si="5"/>
        <v>13.311</v>
      </c>
      <c r="AA204" s="1" t="str" cm="1">
        <f t="array" ref="AA204">GetFilteredValues(A204)</f>
        <v>Ling</v>
      </c>
    </row>
    <row r="205" spans="1:27" x14ac:dyDescent="0.25">
      <c r="A205" s="1" t="s">
        <v>424</v>
      </c>
      <c r="B205" s="1" t="s">
        <v>425</v>
      </c>
      <c r="C205" s="1" t="s">
        <v>790</v>
      </c>
      <c r="D205" s="8" t="s">
        <v>1126</v>
      </c>
      <c r="E205" s="1" t="s">
        <v>106</v>
      </c>
      <c r="F205" s="1" t="s">
        <v>1364</v>
      </c>
      <c r="G205" s="5">
        <f>_xlfn.XLOOKUP(A205,'BG Stock Log'!C:C,'BG Stock Log'!H:H,,0,-1)</f>
        <v>3595</v>
      </c>
      <c r="H205" s="5"/>
      <c r="I205" s="1"/>
      <c r="J205" s="1">
        <v>5000</v>
      </c>
      <c r="K205" s="1">
        <f>SUMIFS('BG Stock Log'!G:G,'BG Stock Log'!C:C,'BG Dashboard'!A123,'BG Stock Log'!F:F,"ADD")</f>
        <v>3000</v>
      </c>
      <c r="L205" s="1">
        <f>_xlfn.XLOOKUP(A205,'New BG List'!A:A,'New BG List'!K:K,,0)</f>
        <v>21</v>
      </c>
      <c r="M205" s="1">
        <f>_xlfn.XLOOKUP(A205,'New BG List'!A:A,'New BG List'!J:J,0)</f>
        <v>844</v>
      </c>
      <c r="N205" s="1"/>
      <c r="O205" s="1" t="str" cm="1">
        <f t="array" ref="O205">GetLastItem(AA205)</f>
        <v>LCSC</v>
      </c>
      <c r="P205" s="1" cm="1">
        <f t="array" ref="P205">IFERROR(INDEX(_xlfn._xlws.SORT(_xlfn._xlws.FILTER('BG Stock Log'!G:G, ('BG Stock Log'!C:C=A205) * ('BG Stock Log'!G:G&gt;0)), 1, -1), 1),"")</f>
        <v>5000</v>
      </c>
      <c r="Q205" s="1">
        <f>IFERROR(ROUND(AVERAGEIFS('BG Stock Log'!G:G,'BG Stock Log'!C:C,'BG Dashboard'!A123,'BG Stock Log'!F:F,"ADD"),0),"")</f>
        <v>3000</v>
      </c>
      <c r="R205" s="1" t="s">
        <v>511</v>
      </c>
      <c r="S205" s="1" t="s">
        <v>907</v>
      </c>
      <c r="T205" s="37">
        <v>3.0000000000000001E-3</v>
      </c>
      <c r="U205" s="37">
        <v>15</v>
      </c>
      <c r="V205" s="1" t="s">
        <v>635</v>
      </c>
      <c r="W205" s="37">
        <v>6.9999999999999999E-4</v>
      </c>
      <c r="X205" s="37">
        <v>3.5</v>
      </c>
      <c r="Y205" s="36">
        <f>IFERROR(SUMIFS('BG Stock Log'!L:L,'BG Stock Log'!C:C,'BG Dashboard'!A123)/SUMIFS('BG Stock Log'!G:G,'BG Stock Log'!C:C,'BG Dashboard'!A123,'BG Stock Log'!F:F,"ADD"),"")</f>
        <v>0.17799999999999999</v>
      </c>
      <c r="Z205" s="36">
        <f t="shared" si="5"/>
        <v>10.785</v>
      </c>
      <c r="AA205" s="1" t="str" cm="1">
        <f t="array" ref="AA205">GetFilteredValues(A205)</f>
        <v>LCSC</v>
      </c>
    </row>
    <row r="206" spans="1:27" x14ac:dyDescent="0.25">
      <c r="A206" s="1" t="s">
        <v>37</v>
      </c>
      <c r="B206" s="1" t="s">
        <v>497</v>
      </c>
      <c r="C206" s="1" t="s">
        <v>782</v>
      </c>
      <c r="D206" s="8" t="s">
        <v>148</v>
      </c>
      <c r="E206" s="1" t="s">
        <v>132</v>
      </c>
      <c r="F206" s="1" t="s">
        <v>1364</v>
      </c>
      <c r="G206" s="5">
        <f>_xlfn.XLOOKUP(A206,'BG Stock Log'!C:C,'BG Stock Log'!H:H,,0,-1)</f>
        <v>5997</v>
      </c>
      <c r="H206" s="5"/>
      <c r="I206" s="1"/>
      <c r="J206" s="1">
        <v>5000</v>
      </c>
      <c r="K206" s="1">
        <f>SUMIFS('BG Stock Log'!G:G,'BG Stock Log'!C:C,'BG Dashboard'!A40,'BG Stock Log'!F:F,"ADD")</f>
        <v>0</v>
      </c>
      <c r="L206" s="1">
        <f>_xlfn.XLOOKUP(A206,'New BG List'!A:A,'New BG List'!K:K,,0)</f>
        <v>8</v>
      </c>
      <c r="M206" s="1">
        <f>_xlfn.XLOOKUP(A206,'New BG List'!A:A,'New BG List'!J:J,0)</f>
        <v>1015</v>
      </c>
      <c r="N206" s="1"/>
      <c r="O206" s="1" t="str" cm="1">
        <f t="array" ref="O206">GetLastItem(AA206)</f>
        <v/>
      </c>
      <c r="P206" s="1" cm="1">
        <f t="array" ref="P206">IFERROR(INDEX(_xlfn._xlws.SORT(_xlfn._xlws.FILTER('BG Stock Log'!G:G, ('BG Stock Log'!C:C=A206) * ('BG Stock Log'!G:G&gt;0)), 1, -1), 1),"")</f>
        <v>3745</v>
      </c>
      <c r="Q206" s="1" t="str">
        <f>IFERROR(ROUND(AVERAGEIFS('BG Stock Log'!G:G,'BG Stock Log'!C:C,'BG Dashboard'!A40,'BG Stock Log'!F:F,"ADD"),0),"")</f>
        <v/>
      </c>
      <c r="R206" s="1" t="s">
        <v>511</v>
      </c>
      <c r="S206" s="1" t="s">
        <v>921</v>
      </c>
      <c r="T206" s="37">
        <v>6.6E-3</v>
      </c>
      <c r="U206" s="37">
        <v>33</v>
      </c>
      <c r="V206" s="1" t="s">
        <v>680</v>
      </c>
      <c r="W206" s="37">
        <v>3.8999999999999998E-3</v>
      </c>
      <c r="X206" s="37">
        <v>19.5</v>
      </c>
      <c r="Y206" s="36" t="str">
        <f>IFERROR(SUMIFS('BG Stock Log'!L:L,'BG Stock Log'!C:C,'BG Dashboard'!A40)/SUMIFS('BG Stock Log'!G:G,'BG Stock Log'!C:C,'BG Dashboard'!A40,'BG Stock Log'!F:F,"ADD"),"")</f>
        <v/>
      </c>
      <c r="Z206" s="36">
        <f t="shared" si="5"/>
        <v>39.580199999999998</v>
      </c>
      <c r="AA206" s="1" t="str" cm="1">
        <f t="array" ref="AA206">GetFilteredValues(A206)</f>
        <v/>
      </c>
    </row>
    <row r="207" spans="1:27" x14ac:dyDescent="0.25">
      <c r="A207" s="1" t="s">
        <v>70</v>
      </c>
      <c r="B207" s="1" t="s">
        <v>402</v>
      </c>
      <c r="C207" s="1" t="s">
        <v>713</v>
      </c>
      <c r="D207" s="8" t="s">
        <v>118</v>
      </c>
      <c r="E207" s="1" t="s">
        <v>106</v>
      </c>
      <c r="F207" s="1" t="s">
        <v>1364</v>
      </c>
      <c r="G207" s="5">
        <f>_xlfn.XLOOKUP(A207,'BG Stock Log'!C:C,'BG Stock Log'!H:H,,0,-1)</f>
        <v>16572</v>
      </c>
      <c r="H207" s="5"/>
      <c r="I207" s="1"/>
      <c r="J207" s="1">
        <v>5000</v>
      </c>
      <c r="K207" s="1">
        <f>SUMIFS('BG Stock Log'!G:G,'BG Stock Log'!C:C,'BG Dashboard'!A73,'BG Stock Log'!F:F,"ADD")</f>
        <v>50</v>
      </c>
      <c r="L207" s="1">
        <f>_xlfn.XLOOKUP(A207,'New BG List'!A:A,'New BG List'!K:K,,0)</f>
        <v>44</v>
      </c>
      <c r="M207" s="1">
        <f>_xlfn.XLOOKUP(A207,'New BG List'!A:A,'New BG List'!J:J,0)</f>
        <v>10195</v>
      </c>
      <c r="N207" s="1"/>
      <c r="O207" s="1" t="str" cm="1">
        <f t="array" ref="O207">GetLastItem(AA207)</f>
        <v>Future</v>
      </c>
      <c r="P207" s="1" cm="1">
        <f t="array" ref="P207">IFERROR(INDEX(_xlfn._xlws.SORT(_xlfn._xlws.FILTER('BG Stock Log'!G:G, ('BG Stock Log'!C:C=A207) * ('BG Stock Log'!G:G&gt;0)), 1, -1), 1),"")</f>
        <v>18370</v>
      </c>
      <c r="Q207" s="1">
        <f>IFERROR(ROUND(AVERAGEIFS('BG Stock Log'!G:G,'BG Stock Log'!C:C,'BG Dashboard'!A73,'BG Stock Log'!F:F,"ADD"),0),"")</f>
        <v>50</v>
      </c>
      <c r="R207" s="1" t="s">
        <v>511</v>
      </c>
      <c r="S207" s="1" t="s">
        <v>935</v>
      </c>
      <c r="T207" s="37">
        <v>3.0000000000000001E-3</v>
      </c>
      <c r="U207" s="37">
        <v>15</v>
      </c>
      <c r="V207" s="1" t="s">
        <v>619</v>
      </c>
      <c r="W207" s="37">
        <v>6.9999999999999999E-4</v>
      </c>
      <c r="X207" s="37">
        <v>3.5</v>
      </c>
      <c r="Y207" s="36">
        <f>IFERROR(SUMIFS('BG Stock Log'!L:L,'BG Stock Log'!C:C,'BG Dashboard'!A73)/SUMIFS('BG Stock Log'!G:G,'BG Stock Log'!C:C,'BG Dashboard'!A73,'BG Stock Log'!F:F,"ADD"),"")</f>
        <v>0</v>
      </c>
      <c r="Z207" s="36">
        <f t="shared" si="5"/>
        <v>49.716000000000001</v>
      </c>
      <c r="AA207" s="1" t="str" cm="1">
        <f t="array" ref="AA207">GetFilteredValues(A207)</f>
        <v>Future</v>
      </c>
    </row>
    <row r="208" spans="1:27" x14ac:dyDescent="0.25">
      <c r="A208" s="1" t="s">
        <v>38</v>
      </c>
      <c r="B208" s="1" t="s">
        <v>386</v>
      </c>
      <c r="C208" s="1" t="s">
        <v>714</v>
      </c>
      <c r="D208" s="8" t="s">
        <v>149</v>
      </c>
      <c r="E208" s="1" t="s">
        <v>106</v>
      </c>
      <c r="F208" s="1" t="s">
        <v>1364</v>
      </c>
      <c r="G208" s="5">
        <f>_xlfn.XLOOKUP(A208,'BG Stock Log'!C:C,'BG Stock Log'!H:H,,0,-1)</f>
        <v>20875</v>
      </c>
      <c r="H208" s="5"/>
      <c r="I208" s="1"/>
      <c r="J208" s="1">
        <v>5000</v>
      </c>
      <c r="K208" s="1">
        <f>SUMIFS('BG Stock Log'!G:G,'BG Stock Log'!C:C,'BG Dashboard'!A41,'BG Stock Log'!F:F,"ADD")</f>
        <v>0</v>
      </c>
      <c r="L208" s="1">
        <f>_xlfn.XLOOKUP(A208,'New BG List'!A:A,'New BG List'!K:K,,0)</f>
        <v>63</v>
      </c>
      <c r="M208" s="1">
        <f>_xlfn.XLOOKUP(A208,'New BG List'!A:A,'New BG List'!J:J,0)</f>
        <v>9749</v>
      </c>
      <c r="N208" s="1"/>
      <c r="O208" s="1" t="str" cm="1">
        <f t="array" ref="O208">GetLastItem(AA208)</f>
        <v>Future</v>
      </c>
      <c r="P208" s="1" cm="1">
        <f t="array" ref="P208">IFERROR(INDEX(_xlfn._xlws.SORT(_xlfn._xlws.FILTER('BG Stock Log'!G:G, ('BG Stock Log'!C:C=A208) * ('BG Stock Log'!G:G&gt;0)), 1, -1), 1),"")</f>
        <v>20000</v>
      </c>
      <c r="Q208" s="1" t="str">
        <f>IFERROR(ROUND(AVERAGEIFS('BG Stock Log'!G:G,'BG Stock Log'!C:C,'BG Dashboard'!A41,'BG Stock Log'!F:F,"ADD"),0),"")</f>
        <v/>
      </c>
      <c r="R208" s="1" t="s">
        <v>511</v>
      </c>
      <c r="S208" s="1" t="s">
        <v>941</v>
      </c>
      <c r="T208" s="37">
        <v>3.0000000000000001E-3</v>
      </c>
      <c r="U208" s="37">
        <v>15</v>
      </c>
      <c r="V208" s="1" t="s">
        <v>603</v>
      </c>
      <c r="W208" s="37">
        <v>6.9999999999999999E-4</v>
      </c>
      <c r="X208" s="37">
        <v>3.5</v>
      </c>
      <c r="Y208" s="36" t="str">
        <f>IFERROR(SUMIFS('BG Stock Log'!L:L,'BG Stock Log'!C:C,'BG Dashboard'!A41)/SUMIFS('BG Stock Log'!G:G,'BG Stock Log'!C:C,'BG Dashboard'!A41,'BG Stock Log'!F:F,"ADD"),"")</f>
        <v/>
      </c>
      <c r="Z208" s="36">
        <f t="shared" si="5"/>
        <v>62.625</v>
      </c>
      <c r="AA208" s="1" t="str" cm="1">
        <f t="array" ref="AA208">GetFilteredValues(A208)</f>
        <v>Future</v>
      </c>
    </row>
    <row r="209" spans="1:27" x14ac:dyDescent="0.25">
      <c r="A209" s="1" t="s">
        <v>39</v>
      </c>
      <c r="B209" s="1" t="s">
        <v>387</v>
      </c>
      <c r="C209" s="1" t="s">
        <v>764</v>
      </c>
      <c r="D209" s="8" t="s">
        <v>150</v>
      </c>
      <c r="E209" s="1" t="s">
        <v>106</v>
      </c>
      <c r="F209" s="1" t="s">
        <v>1364</v>
      </c>
      <c r="G209" s="5">
        <f>_xlfn.XLOOKUP(A209,'BG Stock Log'!C:C,'BG Stock Log'!H:H,,0,-1)</f>
        <v>6107</v>
      </c>
      <c r="H209" s="5"/>
      <c r="I209" s="1"/>
      <c r="J209" s="1">
        <v>5000</v>
      </c>
      <c r="K209" s="1">
        <f>SUMIFS('BG Stock Log'!G:G,'BG Stock Log'!C:C,'BG Dashboard'!A42,'BG Stock Log'!F:F,"ADD")</f>
        <v>0</v>
      </c>
      <c r="L209" s="1">
        <f>_xlfn.XLOOKUP(A209,'New BG List'!A:A,'New BG List'!K:K,,0)</f>
        <v>26</v>
      </c>
      <c r="M209" s="1">
        <f>_xlfn.XLOOKUP(A209,'New BG List'!A:A,'New BG List'!J:J,0)</f>
        <v>1513</v>
      </c>
      <c r="N209" s="1"/>
      <c r="O209" s="1" t="str" cm="1">
        <f t="array" ref="O209">GetLastItem(AA209)</f>
        <v/>
      </c>
      <c r="P209" s="1" cm="1">
        <f t="array" ref="P209">IFERROR(INDEX(_xlfn._xlws.SORT(_xlfn._xlws.FILTER('BG Stock Log'!G:G, ('BG Stock Log'!C:C=A209) * ('BG Stock Log'!G:G&gt;0)), 1, -1), 1),"")</f>
        <v>2686</v>
      </c>
      <c r="Q209" s="1" t="str">
        <f>IFERROR(ROUND(AVERAGEIFS('BG Stock Log'!G:G,'BG Stock Log'!C:C,'BG Dashboard'!A42,'BG Stock Log'!F:F,"ADD"),0),"")</f>
        <v/>
      </c>
      <c r="R209" s="1" t="s">
        <v>511</v>
      </c>
      <c r="S209" s="1" t="s">
        <v>948</v>
      </c>
      <c r="T209" s="37">
        <v>4.5999999999999999E-3</v>
      </c>
      <c r="U209" s="37">
        <v>23</v>
      </c>
      <c r="V209" s="1" t="s">
        <v>604</v>
      </c>
      <c r="W209" s="37">
        <v>6.9999999999999999E-4</v>
      </c>
      <c r="X209" s="37">
        <v>3.5</v>
      </c>
      <c r="Y209" s="36" t="str">
        <f>IFERROR(SUMIFS('BG Stock Log'!L:L,'BG Stock Log'!C:C,'BG Dashboard'!A42)/SUMIFS('BG Stock Log'!G:G,'BG Stock Log'!C:C,'BG Dashboard'!A42,'BG Stock Log'!F:F,"ADD"),"")</f>
        <v/>
      </c>
      <c r="Z209" s="36">
        <f t="shared" si="5"/>
        <v>28.092199999999998</v>
      </c>
      <c r="AA209" s="1" t="str" cm="1">
        <f t="array" ref="AA209">GetFilteredValues(A209)</f>
        <v/>
      </c>
    </row>
    <row r="210" spans="1:27" x14ac:dyDescent="0.25">
      <c r="A210" s="1" t="s">
        <v>40</v>
      </c>
      <c r="B210" s="1" t="s">
        <v>388</v>
      </c>
      <c r="C210" s="1" t="s">
        <v>799</v>
      </c>
      <c r="D210" s="8" t="s">
        <v>151</v>
      </c>
      <c r="E210" s="1" t="s">
        <v>106</v>
      </c>
      <c r="F210" s="1" t="s">
        <v>1364</v>
      </c>
      <c r="G210" s="5">
        <f>_xlfn.XLOOKUP(A210,'BG Stock Log'!C:C,'BG Stock Log'!H:H,,0,-1)</f>
        <v>5876</v>
      </c>
      <c r="H210" s="5"/>
      <c r="I210" s="1"/>
      <c r="J210" s="1">
        <v>5000</v>
      </c>
      <c r="K210" s="1">
        <f>SUMIFS('BG Stock Log'!G:G,'BG Stock Log'!C:C,'BG Dashboard'!A43,'BG Stock Log'!F:F,"ADD")</f>
        <v>0</v>
      </c>
      <c r="L210" s="1">
        <f>_xlfn.XLOOKUP(A210,'New BG List'!A:A,'New BG List'!K:K,,0)</f>
        <v>18</v>
      </c>
      <c r="M210" s="1">
        <f>_xlfn.XLOOKUP(A210,'New BG List'!A:A,'New BG List'!J:J,0)</f>
        <v>688</v>
      </c>
      <c r="N210" s="1"/>
      <c r="O210" s="1" t="str" cm="1">
        <f t="array" ref="O210">GetLastItem(AA210)</f>
        <v/>
      </c>
      <c r="P210" s="1" cm="1">
        <f t="array" ref="P210">IFERROR(INDEX(_xlfn._xlws.SORT(_xlfn._xlws.FILTER('BG Stock Log'!G:G, ('BG Stock Log'!C:C=A210) * ('BG Stock Log'!G:G&gt;0)), 1, -1), 1),"")</f>
        <v>2677</v>
      </c>
      <c r="Q210" s="1" t="str">
        <f>IFERROR(ROUND(AVERAGEIFS('BG Stock Log'!G:G,'BG Stock Log'!C:C,'BG Dashboard'!A43,'BG Stock Log'!F:F,"ADD"),0),"")</f>
        <v/>
      </c>
      <c r="R210" s="1" t="s">
        <v>511</v>
      </c>
      <c r="S210" s="1" t="s">
        <v>957</v>
      </c>
      <c r="T210" s="37">
        <v>3.0000000000000001E-3</v>
      </c>
      <c r="U210" s="37">
        <v>15</v>
      </c>
      <c r="V210" s="1" t="s">
        <v>605</v>
      </c>
      <c r="W210" s="37">
        <v>6.9999999999999999E-4</v>
      </c>
      <c r="X210" s="37">
        <v>3.5</v>
      </c>
      <c r="Y210" s="36" t="str">
        <f>IFERROR(SUMIFS('BG Stock Log'!L:L,'BG Stock Log'!C:C,'BG Dashboard'!A43)/SUMIFS('BG Stock Log'!G:G,'BG Stock Log'!C:C,'BG Dashboard'!A43,'BG Stock Log'!F:F,"ADD"),"")</f>
        <v/>
      </c>
      <c r="Z210" s="36">
        <f t="shared" si="5"/>
        <v>17.628</v>
      </c>
      <c r="AA210" s="1" t="str" cm="1">
        <f t="array" ref="AA210">GetFilteredValues(A210)</f>
        <v/>
      </c>
    </row>
    <row r="211" spans="1:27" x14ac:dyDescent="0.25">
      <c r="A211" s="1" t="s">
        <v>41</v>
      </c>
      <c r="B211" s="1" t="s">
        <v>390</v>
      </c>
      <c r="C211" s="1" t="s">
        <v>828</v>
      </c>
      <c r="D211" s="8" t="s">
        <v>152</v>
      </c>
      <c r="E211" s="1" t="s">
        <v>106</v>
      </c>
      <c r="F211" s="1" t="s">
        <v>1364</v>
      </c>
      <c r="G211" s="5">
        <f>_xlfn.XLOOKUP(A211,'BG Stock Log'!C:C,'BG Stock Log'!H:H,,0,-1)</f>
        <v>3203</v>
      </c>
      <c r="H211" s="5"/>
      <c r="I211" s="1"/>
      <c r="J211" s="1">
        <v>5000</v>
      </c>
      <c r="K211" s="1">
        <f>SUMIFS('BG Stock Log'!G:G,'BG Stock Log'!C:C,'BG Dashboard'!A44,'BG Stock Log'!F:F,"ADD")</f>
        <v>0</v>
      </c>
      <c r="L211" s="1">
        <f>_xlfn.XLOOKUP(A211,'New BG List'!A:A,'New BG List'!K:K,,0)</f>
        <v>12</v>
      </c>
      <c r="M211" s="1">
        <f>_xlfn.XLOOKUP(A211,'New BG List'!A:A,'New BG List'!J:J,0)</f>
        <v>394</v>
      </c>
      <c r="N211" s="1"/>
      <c r="O211" s="1" t="str" cm="1">
        <f t="array" ref="O211">GetLastItem(AA211)</f>
        <v/>
      </c>
      <c r="P211" s="1" t="str" cm="1">
        <f t="array" ref="P211">IFERROR(INDEX(_xlfn._xlws.SORT(_xlfn._xlws.FILTER('BG Stock Log'!G:G, ('BG Stock Log'!C:C=A211) * ('BG Stock Log'!G:G&gt;0)), 1, -1), 1),"")</f>
        <v/>
      </c>
      <c r="Q211" s="1" t="str">
        <f>IFERROR(ROUND(AVERAGEIFS('BG Stock Log'!G:G,'BG Stock Log'!C:C,'BG Dashboard'!A44,'BG Stock Log'!F:F,"ADD"),0),"")</f>
        <v/>
      </c>
      <c r="R211" s="1" t="s">
        <v>511</v>
      </c>
      <c r="S211" s="1" t="s">
        <v>962</v>
      </c>
      <c r="T211" s="37">
        <v>3.0000000000000001E-3</v>
      </c>
      <c r="U211" s="37">
        <v>15</v>
      </c>
      <c r="V211" s="1" t="s">
        <v>607</v>
      </c>
      <c r="W211" s="37">
        <v>6.9999999999999999E-4</v>
      </c>
      <c r="X211" s="37">
        <v>3.5</v>
      </c>
      <c r="Y211" s="36" t="str">
        <f>IFERROR(SUMIFS('BG Stock Log'!L:L,'BG Stock Log'!C:C,'BG Dashboard'!A44)/SUMIFS('BG Stock Log'!G:G,'BG Stock Log'!C:C,'BG Dashboard'!A44,'BG Stock Log'!F:F,"ADD"),"")</f>
        <v/>
      </c>
      <c r="Z211" s="36">
        <f t="shared" si="5"/>
        <v>9.609</v>
      </c>
      <c r="AA211" s="1" t="str" cm="1">
        <f t="array" ref="AA211">GetFilteredValues(A211)</f>
        <v/>
      </c>
    </row>
    <row r="212" spans="1:27" x14ac:dyDescent="0.25">
      <c r="A212" s="1" t="s">
        <v>42</v>
      </c>
      <c r="B212" s="1" t="s">
        <v>391</v>
      </c>
      <c r="C212" s="1" t="s">
        <v>744</v>
      </c>
      <c r="D212" s="8" t="s">
        <v>153</v>
      </c>
      <c r="E212" s="1" t="s">
        <v>106</v>
      </c>
      <c r="F212" s="1" t="s">
        <v>1364</v>
      </c>
      <c r="G212" s="5">
        <f>_xlfn.XLOOKUP(A212,'BG Stock Log'!C:C,'BG Stock Log'!H:H,,0,-1)</f>
        <v>1680</v>
      </c>
      <c r="H212" s="5"/>
      <c r="I212" s="1"/>
      <c r="J212" s="1">
        <v>5000</v>
      </c>
      <c r="K212" s="1">
        <f>SUMIFS('BG Stock Log'!G:G,'BG Stock Log'!C:C,'BG Dashboard'!A45,'BG Stock Log'!F:F,"ADD")</f>
        <v>0</v>
      </c>
      <c r="L212" s="1">
        <f>_xlfn.XLOOKUP(A212,'New BG List'!A:A,'New BG List'!K:K,,0)</f>
        <v>51</v>
      </c>
      <c r="M212" s="1">
        <f>_xlfn.XLOOKUP(A212,'New BG List'!A:A,'New BG List'!J:J,0)</f>
        <v>2317</v>
      </c>
      <c r="N212" s="1"/>
      <c r="O212" s="1" t="str" cm="1">
        <f t="array" ref="O212">GetLastItem(AA212)</f>
        <v/>
      </c>
      <c r="P212" s="1" cm="1">
        <f t="array" ref="P212">IFERROR(INDEX(_xlfn._xlws.SORT(_xlfn._xlws.FILTER('BG Stock Log'!G:G, ('BG Stock Log'!C:C=A212) * ('BG Stock Log'!G:G&gt;0)), 1, -1), 1),"")</f>
        <v>1733</v>
      </c>
      <c r="Q212" s="1" t="str">
        <f>IFERROR(ROUND(AVERAGEIFS('BG Stock Log'!G:G,'BG Stock Log'!C:C,'BG Dashboard'!A45,'BG Stock Log'!F:F,"ADD"),0),"")</f>
        <v/>
      </c>
      <c r="R212" s="1" t="s">
        <v>511</v>
      </c>
      <c r="S212" s="1" t="s">
        <v>945</v>
      </c>
      <c r="T212" s="37">
        <v>3.0000000000000001E-3</v>
      </c>
      <c r="U212" s="37">
        <v>15</v>
      </c>
      <c r="V212" s="1" t="s">
        <v>608</v>
      </c>
      <c r="W212" s="37">
        <v>6.9999999999999999E-4</v>
      </c>
      <c r="X212" s="37">
        <v>3.5</v>
      </c>
      <c r="Y212" s="36" t="str">
        <f>IFERROR(SUMIFS('BG Stock Log'!L:L,'BG Stock Log'!C:C,'BG Dashboard'!A45)/SUMIFS('BG Stock Log'!G:G,'BG Stock Log'!C:C,'BG Dashboard'!A45,'BG Stock Log'!F:F,"ADD"),"")</f>
        <v/>
      </c>
      <c r="Z212" s="36">
        <f t="shared" si="5"/>
        <v>5.04</v>
      </c>
      <c r="AA212" s="1" t="str" cm="1">
        <f t="array" ref="AA212">GetFilteredValues(A212)</f>
        <v/>
      </c>
    </row>
    <row r="213" spans="1:27" x14ac:dyDescent="0.25">
      <c r="A213" s="1" t="s">
        <v>414</v>
      </c>
      <c r="B213" s="1" t="s">
        <v>415</v>
      </c>
      <c r="C213" s="1" t="s">
        <v>798</v>
      </c>
      <c r="D213" s="8" t="s">
        <v>1127</v>
      </c>
      <c r="E213" s="1" t="s">
        <v>106</v>
      </c>
      <c r="F213" s="1" t="s">
        <v>1364</v>
      </c>
      <c r="G213" s="5">
        <f>_xlfn.XLOOKUP(A213,'BG Stock Log'!C:C,'BG Stock Log'!H:H,,0,-1)</f>
        <v>3199</v>
      </c>
      <c r="H213" s="5"/>
      <c r="I213" s="1"/>
      <c r="J213" s="1">
        <v>5000</v>
      </c>
      <c r="K213" s="1">
        <f>SUMIFS('BG Stock Log'!G:G,'BG Stock Log'!C:C,'BG Dashboard'!A121,'BG Stock Log'!F:F,"ADD")</f>
        <v>26595</v>
      </c>
      <c r="L213" s="1">
        <f>_xlfn.XLOOKUP(A213,'New BG List'!A:A,'New BG List'!K:K,,0)</f>
        <v>35</v>
      </c>
      <c r="M213" s="1">
        <f>_xlfn.XLOOKUP(A213,'New BG List'!A:A,'New BG List'!J:J,0)</f>
        <v>704</v>
      </c>
      <c r="N213" s="1"/>
      <c r="O213" s="1" t="str" cm="1">
        <f t="array" ref="O213">GetLastItem(AA213)</f>
        <v>LCSC</v>
      </c>
      <c r="P213" s="1" cm="1">
        <f t="array" ref="P213">IFERROR(INDEX(_xlfn._xlws.SORT(_xlfn._xlws.FILTER('BG Stock Log'!G:G, ('BG Stock Log'!C:C=A213) * ('BG Stock Log'!G:G&gt;0)), 1, -1), 1),"")</f>
        <v>5000</v>
      </c>
      <c r="Q213" s="1">
        <f>IFERROR(ROUND(AVERAGEIFS('BG Stock Log'!G:G,'BG Stock Log'!C:C,'BG Dashboard'!A121,'BG Stock Log'!F:F,"ADD"),0),"")</f>
        <v>5319</v>
      </c>
      <c r="R213" s="1" t="s">
        <v>511</v>
      </c>
      <c r="S213" s="1" t="s">
        <v>908</v>
      </c>
      <c r="T213" s="37">
        <v>6.1000000000000004E-3</v>
      </c>
      <c r="U213" s="37">
        <v>30.500000000000004</v>
      </c>
      <c r="V213" s="1" t="s">
        <v>630</v>
      </c>
      <c r="W213" s="37">
        <v>6.9999999999999999E-4</v>
      </c>
      <c r="X213" s="37">
        <v>3.5</v>
      </c>
      <c r="Y213" s="36">
        <f>IFERROR(SUMIFS('BG Stock Log'!L:L,'BG Stock Log'!C:C,'BG Dashboard'!A121)/SUMIFS('BG Stock Log'!G:G,'BG Stock Log'!C:C,'BG Dashboard'!A121,'BG Stock Log'!F:F,"ADD"),"")</f>
        <v>1.5975559315660838E-2</v>
      </c>
      <c r="Z213" s="36">
        <f t="shared" si="5"/>
        <v>19.5139</v>
      </c>
      <c r="AA213" s="1" t="str" cm="1">
        <f t="array" ref="AA213">GetFilteredValues(A213)</f>
        <v>LCSC</v>
      </c>
    </row>
    <row r="214" spans="1:27" x14ac:dyDescent="0.25">
      <c r="A214" s="1" t="s">
        <v>43</v>
      </c>
      <c r="B214" s="1" t="s">
        <v>499</v>
      </c>
      <c r="C214" s="1" t="s">
        <v>805</v>
      </c>
      <c r="D214" s="8" t="s">
        <v>154</v>
      </c>
      <c r="E214" s="1" t="s">
        <v>106</v>
      </c>
      <c r="F214" s="1" t="s">
        <v>1364</v>
      </c>
      <c r="G214" s="5">
        <f>_xlfn.XLOOKUP(A214,'BG Stock Log'!C:C,'BG Stock Log'!H:H,,0,-1)</f>
        <v>2639</v>
      </c>
      <c r="H214" s="5"/>
      <c r="I214" s="1"/>
      <c r="J214" s="1">
        <v>5000</v>
      </c>
      <c r="K214" s="1">
        <f>SUMIFS('BG Stock Log'!G:G,'BG Stock Log'!C:C,'BG Dashboard'!A46,'BG Stock Log'!F:F,"ADD")</f>
        <v>0</v>
      </c>
      <c r="L214" s="1">
        <f>_xlfn.XLOOKUP(A214,'New BG List'!A:A,'New BG List'!K:K,,0)</f>
        <v>6</v>
      </c>
      <c r="M214" s="1">
        <f>_xlfn.XLOOKUP(A214,'New BG List'!A:A,'New BG List'!J:J,0)</f>
        <v>616</v>
      </c>
      <c r="N214" s="1"/>
      <c r="O214" s="1" t="str" cm="1">
        <f t="array" ref="O214">GetLastItem(AA214)</f>
        <v/>
      </c>
      <c r="P214" s="1" t="str" cm="1">
        <f t="array" ref="P214">IFERROR(INDEX(_xlfn._xlws.SORT(_xlfn._xlws.FILTER('BG Stock Log'!G:G, ('BG Stock Log'!C:C=A214) * ('BG Stock Log'!G:G&gt;0)), 1, -1), 1),"")</f>
        <v/>
      </c>
      <c r="Q214" s="1" t="str">
        <f>IFERROR(ROUND(AVERAGEIFS('BG Stock Log'!G:G,'BG Stock Log'!C:C,'BG Dashboard'!A46,'BG Stock Log'!F:F,"ADD"),0),"")</f>
        <v/>
      </c>
      <c r="R214" s="1" t="s">
        <v>511</v>
      </c>
      <c r="S214" s="1" t="s">
        <v>925</v>
      </c>
      <c r="T214" s="37">
        <v>2.0799999999999998E-3</v>
      </c>
      <c r="U214" s="37">
        <v>10.399999999999999</v>
      </c>
      <c r="V214" s="1" t="s">
        <v>682</v>
      </c>
      <c r="W214" s="37">
        <v>6.9999999999999999E-4</v>
      </c>
      <c r="X214" s="37">
        <v>3.5</v>
      </c>
      <c r="Y214" s="36" t="str">
        <f>IFERROR(SUMIFS('BG Stock Log'!L:L,'BG Stock Log'!C:C,'BG Dashboard'!A46)/SUMIFS('BG Stock Log'!G:G,'BG Stock Log'!C:C,'BG Dashboard'!A46,'BG Stock Log'!F:F,"ADD"),"")</f>
        <v/>
      </c>
      <c r="Z214" s="36">
        <f t="shared" si="5"/>
        <v>5.4891199999999998</v>
      </c>
      <c r="AA214" s="1" t="str" cm="1">
        <f t="array" ref="AA214">GetFilteredValues(A214)</f>
        <v/>
      </c>
    </row>
    <row r="215" spans="1:27" x14ac:dyDescent="0.25">
      <c r="A215" s="1" t="s">
        <v>44</v>
      </c>
      <c r="B215" s="1" t="s">
        <v>392</v>
      </c>
      <c r="C215" s="1" t="s">
        <v>721</v>
      </c>
      <c r="D215" s="8" t="s">
        <v>155</v>
      </c>
      <c r="E215" s="1" t="s">
        <v>106</v>
      </c>
      <c r="F215" s="1" t="s">
        <v>1364</v>
      </c>
      <c r="G215" s="5">
        <f>_xlfn.XLOOKUP(A215,'BG Stock Log'!C:C,'BG Stock Log'!H:H,,0,-1)</f>
        <v>1739</v>
      </c>
      <c r="H215" s="5"/>
      <c r="I215" s="1"/>
      <c r="J215" s="1">
        <v>5000</v>
      </c>
      <c r="K215" s="1">
        <f>SUMIFS('BG Stock Log'!G:G,'BG Stock Log'!C:C,'BG Dashboard'!A47,'BG Stock Log'!F:F,"ADD")</f>
        <v>0</v>
      </c>
      <c r="L215" s="1">
        <f>_xlfn.XLOOKUP(A215,'New BG List'!A:A,'New BG List'!K:K,,0)</f>
        <v>26</v>
      </c>
      <c r="M215" s="1">
        <f>_xlfn.XLOOKUP(A215,'New BG List'!A:A,'New BG List'!J:J,0)</f>
        <v>7120</v>
      </c>
      <c r="N215" s="1"/>
      <c r="O215" s="1" t="str" cm="1">
        <f t="array" ref="O215">GetLastItem(AA215)</f>
        <v>LCSC</v>
      </c>
      <c r="P215" s="1" cm="1">
        <f t="array" ref="P215">IFERROR(INDEX(_xlfn._xlws.SORT(_xlfn._xlws.FILTER('BG Stock Log'!G:G, ('BG Stock Log'!C:C=A215) * ('BG Stock Log'!G:G&gt;0)), 1, -1), 1),"")</f>
        <v>10000</v>
      </c>
      <c r="Q215" s="1" t="str">
        <f>IFERROR(ROUND(AVERAGEIFS('BG Stock Log'!G:G,'BG Stock Log'!C:C,'BG Dashboard'!A47,'BG Stock Log'!F:F,"ADD"),0),"")</f>
        <v/>
      </c>
      <c r="R215" s="1" t="s">
        <v>511</v>
      </c>
      <c r="S215" s="1" t="s">
        <v>942</v>
      </c>
      <c r="T215" s="37">
        <v>3.0000000000000001E-3</v>
      </c>
      <c r="U215" s="37">
        <v>15</v>
      </c>
      <c r="V215" s="1" t="s">
        <v>1418</v>
      </c>
      <c r="W215" s="37">
        <v>6.9999999999999999E-4</v>
      </c>
      <c r="X215" s="37">
        <v>3.5</v>
      </c>
      <c r="Y215" s="36" t="str">
        <f>IFERROR(SUMIFS('BG Stock Log'!L:L,'BG Stock Log'!C:C,'BG Dashboard'!A47)/SUMIFS('BG Stock Log'!G:G,'BG Stock Log'!C:C,'BG Dashboard'!A47,'BG Stock Log'!F:F,"ADD"),"")</f>
        <v/>
      </c>
      <c r="Z215" s="36">
        <f t="shared" si="5"/>
        <v>5.2170000000000005</v>
      </c>
      <c r="AA215" s="1" t="str" cm="1">
        <f t="array" ref="AA215">GetFilteredValues(A215)</f>
        <v>LCSC</v>
      </c>
    </row>
    <row r="216" spans="1:27" x14ac:dyDescent="0.25">
      <c r="A216" s="1" t="s">
        <v>45</v>
      </c>
      <c r="B216" s="1" t="s">
        <v>393</v>
      </c>
      <c r="C216" s="1" t="s">
        <v>820</v>
      </c>
      <c r="D216" s="8" t="s">
        <v>156</v>
      </c>
      <c r="E216" s="1" t="s">
        <v>106</v>
      </c>
      <c r="F216" s="1" t="s">
        <v>1364</v>
      </c>
      <c r="G216" s="5">
        <f>_xlfn.XLOOKUP(A216,'BG Stock Log'!C:C,'BG Stock Log'!H:H,,0,-1)</f>
        <v>3055</v>
      </c>
      <c r="H216" s="5"/>
      <c r="I216" s="1"/>
      <c r="J216" s="1">
        <v>5000</v>
      </c>
      <c r="K216" s="1">
        <f>SUMIFS('BG Stock Log'!G:G,'BG Stock Log'!C:C,'BG Dashboard'!A48,'BG Stock Log'!F:F,"ADD")</f>
        <v>0</v>
      </c>
      <c r="L216" s="1">
        <f>_xlfn.XLOOKUP(A216,'New BG List'!A:A,'New BG List'!K:K,,0)</f>
        <v>21</v>
      </c>
      <c r="M216" s="1">
        <f>_xlfn.XLOOKUP(A216,'New BG List'!A:A,'New BG List'!J:J,0)</f>
        <v>438</v>
      </c>
      <c r="N216" s="1"/>
      <c r="O216" s="1" t="str" cm="1">
        <f t="array" ref="O216">GetLastItem(AA216)</f>
        <v/>
      </c>
      <c r="P216" s="1" t="str" cm="1">
        <f t="array" ref="P216">IFERROR(INDEX(_xlfn._xlws.SORT(_xlfn._xlws.FILTER('BG Stock Log'!G:G, ('BG Stock Log'!C:C=A216) * ('BG Stock Log'!G:G&gt;0)), 1, -1), 1),"")</f>
        <v/>
      </c>
      <c r="Q216" s="1" t="str">
        <f>IFERROR(ROUND(AVERAGEIFS('BG Stock Log'!G:G,'BG Stock Log'!C:C,'BG Dashboard'!A48,'BG Stock Log'!F:F,"ADD"),0),"")</f>
        <v/>
      </c>
      <c r="R216" s="1" t="s">
        <v>511</v>
      </c>
      <c r="S216" s="1" t="s">
        <v>960</v>
      </c>
      <c r="T216" s="37">
        <v>4.5999999999999999E-3</v>
      </c>
      <c r="U216" s="37">
        <v>23</v>
      </c>
      <c r="V216" s="1" t="s">
        <v>610</v>
      </c>
      <c r="W216" s="37">
        <v>6.9999999999999999E-4</v>
      </c>
      <c r="X216" s="37">
        <v>3.5</v>
      </c>
      <c r="Y216" s="36" t="str">
        <f>IFERROR(SUMIFS('BG Stock Log'!L:L,'BG Stock Log'!C:C,'BG Dashboard'!A48)/SUMIFS('BG Stock Log'!G:G,'BG Stock Log'!C:C,'BG Dashboard'!A48,'BG Stock Log'!F:F,"ADD"),"")</f>
        <v/>
      </c>
      <c r="Z216" s="36">
        <f t="shared" si="5"/>
        <v>14.052999999999999</v>
      </c>
      <c r="AA216" s="1" t="str" cm="1">
        <f t="array" ref="AA216">GetFilteredValues(A216)</f>
        <v/>
      </c>
    </row>
    <row r="217" spans="1:27" x14ac:dyDescent="0.25">
      <c r="A217" s="1" t="s">
        <v>46</v>
      </c>
      <c r="B217" s="1" t="s">
        <v>394</v>
      </c>
      <c r="C217" s="1" t="s">
        <v>812</v>
      </c>
      <c r="D217" s="8" t="s">
        <v>157</v>
      </c>
      <c r="E217" s="1" t="s">
        <v>106</v>
      </c>
      <c r="F217" s="1" t="s">
        <v>1364</v>
      </c>
      <c r="G217" s="5">
        <f>_xlfn.XLOOKUP(A217,'BG Stock Log'!C:C,'BG Stock Log'!H:H,,0,-1)</f>
        <v>3190</v>
      </c>
      <c r="H217" s="5"/>
      <c r="I217" s="1"/>
      <c r="J217" s="1">
        <v>5000</v>
      </c>
      <c r="K217" s="1">
        <f>SUMIFS('BG Stock Log'!G:G,'BG Stock Log'!C:C,'BG Dashboard'!A49,'BG Stock Log'!F:F,"ADD")</f>
        <v>0</v>
      </c>
      <c r="L217" s="1">
        <f>_xlfn.XLOOKUP(A217,'New BG List'!A:A,'New BG List'!K:K,,0)</f>
        <v>22</v>
      </c>
      <c r="M217" s="1">
        <f>_xlfn.XLOOKUP(A217,'New BG List'!A:A,'New BG List'!J:J,0)</f>
        <v>492</v>
      </c>
      <c r="N217" s="1"/>
      <c r="O217" s="1" t="str" cm="1">
        <f t="array" ref="O217">GetLastItem(AA217)</f>
        <v/>
      </c>
      <c r="P217" s="1" t="str" cm="1">
        <f t="array" ref="P217">IFERROR(INDEX(_xlfn._xlws.SORT(_xlfn._xlws.FILTER('BG Stock Log'!G:G, ('BG Stock Log'!C:C=A217) * ('BG Stock Log'!G:G&gt;0)), 1, -1), 1),"")</f>
        <v/>
      </c>
      <c r="Q217" s="1" t="str">
        <f>IFERROR(ROUND(AVERAGEIFS('BG Stock Log'!G:G,'BG Stock Log'!C:C,'BG Dashboard'!A49,'BG Stock Log'!F:F,"ADD"),0),"")</f>
        <v/>
      </c>
      <c r="R217" s="1" t="s">
        <v>511</v>
      </c>
      <c r="S217" s="1" t="s">
        <v>958</v>
      </c>
      <c r="T217" s="37">
        <v>3.0000000000000001E-3</v>
      </c>
      <c r="U217" s="37">
        <v>15</v>
      </c>
      <c r="V217" s="1" t="s">
        <v>611</v>
      </c>
      <c r="W217" s="37">
        <v>6.9999999999999999E-4</v>
      </c>
      <c r="X217" s="37">
        <v>3.5</v>
      </c>
      <c r="Y217" s="36" t="str">
        <f>IFERROR(SUMIFS('BG Stock Log'!L:L,'BG Stock Log'!C:C,'BG Dashboard'!A49)/SUMIFS('BG Stock Log'!G:G,'BG Stock Log'!C:C,'BG Dashboard'!A49,'BG Stock Log'!F:F,"ADD"),"")</f>
        <v/>
      </c>
      <c r="Z217" s="36">
        <f t="shared" si="5"/>
        <v>9.57</v>
      </c>
      <c r="AA217" s="1" t="str" cm="1">
        <f t="array" ref="AA217">GetFilteredValues(A217)</f>
        <v/>
      </c>
    </row>
    <row r="218" spans="1:27" x14ac:dyDescent="0.25">
      <c r="A218" s="1" t="s">
        <v>47</v>
      </c>
      <c r="B218" s="1" t="s">
        <v>395</v>
      </c>
      <c r="C218" s="1" t="s">
        <v>707</v>
      </c>
      <c r="D218" s="8" t="s">
        <v>158</v>
      </c>
      <c r="E218" s="1" t="s">
        <v>106</v>
      </c>
      <c r="F218" s="1" t="s">
        <v>1364</v>
      </c>
      <c r="G218" s="5">
        <f>_xlfn.XLOOKUP(A218,'BG Stock Log'!C:C,'BG Stock Log'!H:H,,0,-1)</f>
        <v>16215</v>
      </c>
      <c r="H218" s="5"/>
      <c r="I218" s="1"/>
      <c r="J218" s="1">
        <v>5000</v>
      </c>
      <c r="K218" s="1">
        <f>SUMIFS('BG Stock Log'!G:G,'BG Stock Log'!C:C,'BG Dashboard'!A50,'BG Stock Log'!F:F,"ADD")</f>
        <v>0</v>
      </c>
      <c r="L218" s="1">
        <f>_xlfn.XLOOKUP(A218,'New BG List'!A:A,'New BG List'!K:K,,0)</f>
        <v>86</v>
      </c>
      <c r="M218" s="1">
        <f>_xlfn.XLOOKUP(A218,'New BG List'!A:A,'New BG List'!J:J,0)</f>
        <v>13011</v>
      </c>
      <c r="N218" s="1"/>
      <c r="O218" s="1" t="str" cm="1">
        <f t="array" ref="O218">GetLastItem(AA218)</f>
        <v>Arrow</v>
      </c>
      <c r="P218" s="1" cm="1">
        <f t="array" ref="P218">IFERROR(INDEX(_xlfn._xlws.SORT(_xlfn._xlws.FILTER('BG Stock Log'!G:G, ('BG Stock Log'!C:C=A218) * ('BG Stock Log'!G:G&gt;0)), 1, -1), 1),"")</f>
        <v>25000</v>
      </c>
      <c r="Q218" s="1" t="str">
        <f>IFERROR(ROUND(AVERAGEIFS('BG Stock Log'!G:G,'BG Stock Log'!C:C,'BG Dashboard'!A50,'BG Stock Log'!F:F,"ADD"),0),"")</f>
        <v/>
      </c>
      <c r="R218" s="1" t="s">
        <v>511</v>
      </c>
      <c r="S218" s="1" t="s">
        <v>939</v>
      </c>
      <c r="T218" s="37">
        <v>4.4000000000000003E-3</v>
      </c>
      <c r="U218" s="37">
        <v>22</v>
      </c>
      <c r="V218" s="1" t="s">
        <v>612</v>
      </c>
      <c r="W218" s="37">
        <v>6.9999999999999999E-4</v>
      </c>
      <c r="X218" s="37">
        <v>3.5</v>
      </c>
      <c r="Y218" s="36" t="str">
        <f>IFERROR(SUMIFS('BG Stock Log'!L:L,'BG Stock Log'!C:C,'BG Dashboard'!A50)/SUMIFS('BG Stock Log'!G:G,'BG Stock Log'!C:C,'BG Dashboard'!A50,'BG Stock Log'!F:F,"ADD"),"")</f>
        <v/>
      </c>
      <c r="Z218" s="36">
        <f t="shared" si="5"/>
        <v>71.346000000000004</v>
      </c>
      <c r="AA218" s="1" t="str" cm="1">
        <f t="array" ref="AA218">GetFilteredValues(A218)</f>
        <v>Arrow</v>
      </c>
    </row>
    <row r="219" spans="1:27" x14ac:dyDescent="0.25">
      <c r="A219" s="1" t="s">
        <v>97</v>
      </c>
      <c r="B219" s="1" t="s">
        <v>407</v>
      </c>
      <c r="C219" s="1" t="s">
        <v>793</v>
      </c>
      <c r="D219" s="8" t="s">
        <v>217</v>
      </c>
      <c r="E219" s="1" t="s">
        <v>106</v>
      </c>
      <c r="F219" s="1" t="s">
        <v>1364</v>
      </c>
      <c r="G219" s="5">
        <f>_xlfn.XLOOKUP(A219,'BG Stock Log'!C:C,'BG Stock Log'!H:H,,0,-1)</f>
        <v>5211</v>
      </c>
      <c r="H219" s="5"/>
      <c r="I219" s="1"/>
      <c r="J219" s="1">
        <v>5000</v>
      </c>
      <c r="K219" s="1">
        <f>SUMIFS('BG Stock Log'!G:G,'BG Stock Log'!C:C,'BG Dashboard'!A100,'BG Stock Log'!F:F,"ADD")</f>
        <v>5217</v>
      </c>
      <c r="L219" s="1">
        <f>_xlfn.XLOOKUP(A219,'New BG List'!A:A,'New BG List'!K:K,,0)</f>
        <v>19</v>
      </c>
      <c r="M219" s="1">
        <f>_xlfn.XLOOKUP(A219,'New BG List'!A:A,'New BG List'!J:J,0)</f>
        <v>789</v>
      </c>
      <c r="N219" s="1"/>
      <c r="O219" s="1" t="str" cm="1">
        <f t="array" ref="O219">GetLastItem(AA219)</f>
        <v/>
      </c>
      <c r="P219" s="1" cm="1">
        <f t="array" ref="P219">IFERROR(INDEX(_xlfn._xlws.SORT(_xlfn._xlws.FILTER('BG Stock Log'!G:G, ('BG Stock Log'!C:C=A219) * ('BG Stock Log'!G:G&gt;0)), 1, -1), 1),"")</f>
        <v>1538</v>
      </c>
      <c r="Q219" s="1">
        <f>IFERROR(ROUND(AVERAGEIFS('BG Stock Log'!G:G,'BG Stock Log'!C:C,'BG Dashboard'!A100,'BG Stock Log'!F:F,"ADD"),0),"")</f>
        <v>2609</v>
      </c>
      <c r="R219" s="1" t="s">
        <v>511</v>
      </c>
      <c r="S219" s="1" t="s">
        <v>977</v>
      </c>
      <c r="T219" s="37">
        <v>6.1000000000000004E-3</v>
      </c>
      <c r="U219" s="37">
        <v>30.500000000000004</v>
      </c>
      <c r="V219" s="1" t="s">
        <v>624</v>
      </c>
      <c r="W219" s="37">
        <v>1.1000000000000001E-3</v>
      </c>
      <c r="X219" s="37">
        <v>5.5</v>
      </c>
      <c r="Y219" s="36">
        <f>IFERROR(SUMIFS('BG Stock Log'!L:L,'BG Stock Log'!C:C,'BG Dashboard'!A100)/SUMIFS('BG Stock Log'!G:G,'BG Stock Log'!C:C,'BG Dashboard'!A100,'BG Stock Log'!F:F,"ADD"),"")</f>
        <v>4.9377036611079157E-3</v>
      </c>
      <c r="Z219" s="36">
        <f t="shared" si="5"/>
        <v>31.787100000000002</v>
      </c>
      <c r="AA219" s="1" t="str" cm="1">
        <f t="array" ref="AA219">GetFilteredValues(A219)</f>
        <v/>
      </c>
    </row>
    <row r="220" spans="1:27" x14ac:dyDescent="0.25">
      <c r="A220" s="1" t="s">
        <v>48</v>
      </c>
      <c r="B220" s="1" t="s">
        <v>396</v>
      </c>
      <c r="C220" s="1" t="s">
        <v>755</v>
      </c>
      <c r="D220" s="8" t="s">
        <v>160</v>
      </c>
      <c r="E220" s="1" t="s">
        <v>159</v>
      </c>
      <c r="F220" s="1" t="s">
        <v>1364</v>
      </c>
      <c r="G220" s="5">
        <f>_xlfn.XLOOKUP(A220,'BG Stock Log'!C:C,'BG Stock Log'!H:H,,0,-1)</f>
        <v>13930</v>
      </c>
      <c r="H220" s="5"/>
      <c r="I220" s="1"/>
      <c r="J220" s="1">
        <v>5000</v>
      </c>
      <c r="K220" s="1">
        <f>SUMIFS('BG Stock Log'!G:G,'BG Stock Log'!C:C,'BG Dashboard'!A51,'BG Stock Log'!F:F,"ADD")</f>
        <v>0</v>
      </c>
      <c r="L220" s="1">
        <f>_xlfn.XLOOKUP(A220,'New BG List'!A:A,'New BG List'!K:K,,0)</f>
        <v>19</v>
      </c>
      <c r="M220" s="1">
        <f>_xlfn.XLOOKUP(A220,'New BG List'!A:A,'New BG List'!J:J,0)</f>
        <v>1768</v>
      </c>
      <c r="N220" s="1"/>
      <c r="O220" s="1" t="str" cm="1">
        <f t="array" ref="O220">GetLastItem(AA220)</f>
        <v>LCSC</v>
      </c>
      <c r="P220" s="1" cm="1">
        <f t="array" ref="P220">IFERROR(INDEX(_xlfn._xlws.SORT(_xlfn._xlws.FILTER('BG Stock Log'!G:G, ('BG Stock Log'!C:C=A220) * ('BG Stock Log'!G:G&gt;0)), 1, -1), 1),"")</f>
        <v>15000</v>
      </c>
      <c r="Q220" s="1" t="str">
        <f>IFERROR(ROUND(AVERAGEIFS('BG Stock Log'!G:G,'BG Stock Log'!C:C,'BG Dashboard'!A51,'BG Stock Log'!F:F,"ADD"),0),"")</f>
        <v/>
      </c>
      <c r="R220" s="1" t="s">
        <v>511</v>
      </c>
      <c r="S220" s="1" t="s">
        <v>1419</v>
      </c>
      <c r="T220" s="37">
        <v>5.0000000000000001E-3</v>
      </c>
      <c r="U220" s="37">
        <v>25</v>
      </c>
      <c r="V220" s="1" t="s">
        <v>613</v>
      </c>
      <c r="W220" s="37">
        <v>4.3E-3</v>
      </c>
      <c r="X220" s="37">
        <v>21.5</v>
      </c>
      <c r="Y220" s="36" t="str">
        <f>IFERROR(SUMIFS('BG Stock Log'!L:L,'BG Stock Log'!C:C,'BG Dashboard'!A51)/SUMIFS('BG Stock Log'!G:G,'BG Stock Log'!C:C,'BG Dashboard'!A51,'BG Stock Log'!F:F,"ADD"),"")</f>
        <v/>
      </c>
      <c r="Z220" s="36">
        <f t="shared" si="5"/>
        <v>69.650000000000006</v>
      </c>
      <c r="AA220" s="1" t="str" cm="1">
        <f t="array" ref="AA220">GetFilteredValues(A220)</f>
        <v>LCSC</v>
      </c>
    </row>
    <row r="221" spans="1:27" x14ac:dyDescent="0.25">
      <c r="A221" s="1" t="s">
        <v>49</v>
      </c>
      <c r="B221" s="1" t="s">
        <v>500</v>
      </c>
      <c r="C221" s="1" t="s">
        <v>804</v>
      </c>
      <c r="D221" s="8" t="s">
        <v>161</v>
      </c>
      <c r="E221" s="1" t="s">
        <v>106</v>
      </c>
      <c r="F221" s="1" t="s">
        <v>1364</v>
      </c>
      <c r="G221" s="5">
        <f>_xlfn.XLOOKUP(A221,'BG Stock Log'!C:C,'BG Stock Log'!H:H,,0,-1)</f>
        <v>4000</v>
      </c>
      <c r="H221" s="5"/>
      <c r="I221" s="1"/>
      <c r="J221" s="1">
        <v>5000</v>
      </c>
      <c r="K221" s="1">
        <f>SUMIFS('BG Stock Log'!G:G,'BG Stock Log'!C:C,'BG Dashboard'!A52,'BG Stock Log'!F:F,"ADD")</f>
        <v>0</v>
      </c>
      <c r="L221" s="1">
        <f>_xlfn.XLOOKUP(A221,'New BG List'!A:A,'New BG List'!K:K,,0)</f>
        <v>1</v>
      </c>
      <c r="M221" s="1">
        <f>_xlfn.XLOOKUP(A221,'New BG List'!A:A,'New BG List'!J:J,0)</f>
        <v>620</v>
      </c>
      <c r="N221" s="1"/>
      <c r="O221" s="1" t="str" cm="1">
        <f t="array" ref="O221">GetLastItem(AA221)</f>
        <v/>
      </c>
      <c r="P221" s="1" t="str" cm="1">
        <f t="array" ref="P221">IFERROR(INDEX(_xlfn._xlws.SORT(_xlfn._xlws.FILTER('BG Stock Log'!G:G, ('BG Stock Log'!C:C=A221) * ('BG Stock Log'!G:G&gt;0)), 1, -1), 1),"")</f>
        <v/>
      </c>
      <c r="Q221" s="1" t="str">
        <f>IFERROR(ROUND(AVERAGEIFS('BG Stock Log'!G:G,'BG Stock Log'!C:C,'BG Dashboard'!A52,'BG Stock Log'!F:F,"ADD"),0),"")</f>
        <v/>
      </c>
      <c r="R221" s="1" t="s">
        <v>511</v>
      </c>
      <c r="S221" s="1" t="s">
        <v>972</v>
      </c>
      <c r="T221" s="37">
        <v>6.1000000000000004E-3</v>
      </c>
      <c r="U221" s="37">
        <v>30.500000000000004</v>
      </c>
      <c r="V221" s="1" t="s">
        <v>683</v>
      </c>
      <c r="W221" s="37">
        <v>1.2999999999999999E-3</v>
      </c>
      <c r="X221" s="37">
        <v>6.5</v>
      </c>
      <c r="Y221" s="36" t="str">
        <f>IFERROR(SUMIFS('BG Stock Log'!L:L,'BG Stock Log'!C:C,'BG Dashboard'!A52)/SUMIFS('BG Stock Log'!G:G,'BG Stock Log'!C:C,'BG Dashboard'!A52,'BG Stock Log'!F:F,"ADD"),"")</f>
        <v/>
      </c>
      <c r="Z221" s="36">
        <f t="shared" si="5"/>
        <v>24.400000000000002</v>
      </c>
      <c r="AA221" s="1" t="str" cm="1">
        <f t="array" ref="AA221">GetFilteredValues(A221)</f>
        <v/>
      </c>
    </row>
    <row r="222" spans="1:27" x14ac:dyDescent="0.25">
      <c r="A222" s="1" t="s">
        <v>50</v>
      </c>
      <c r="B222" s="1" t="s">
        <v>501</v>
      </c>
      <c r="C222" s="1" t="s">
        <v>779</v>
      </c>
      <c r="D222" s="8" t="s">
        <v>162</v>
      </c>
      <c r="E222" s="1" t="s">
        <v>106</v>
      </c>
      <c r="F222" s="1" t="s">
        <v>1364</v>
      </c>
      <c r="G222" s="5">
        <f>_xlfn.XLOOKUP(A222,'BG Stock Log'!C:C,'BG Stock Log'!H:H,,0,-1)</f>
        <v>2512</v>
      </c>
      <c r="H222" s="5"/>
      <c r="I222" s="1"/>
      <c r="J222" s="1">
        <v>5000</v>
      </c>
      <c r="K222" s="1">
        <f>SUMIFS('BG Stock Log'!G:G,'BG Stock Log'!C:C,'BG Dashboard'!A53,'BG Stock Log'!F:F,"ADD")</f>
        <v>0</v>
      </c>
      <c r="L222" s="1">
        <f>_xlfn.XLOOKUP(A222,'New BG List'!A:A,'New BG List'!K:K,,0)</f>
        <v>10</v>
      </c>
      <c r="M222" s="1">
        <f>_xlfn.XLOOKUP(A222,'New BG List'!A:A,'New BG List'!J:J,0)</f>
        <v>1121</v>
      </c>
      <c r="N222" s="1"/>
      <c r="O222" s="1" t="str" cm="1">
        <f t="array" ref="O222">GetLastItem(AA222)</f>
        <v/>
      </c>
      <c r="P222" s="1" t="str" cm="1">
        <f t="array" ref="P222">IFERROR(INDEX(_xlfn._xlws.SORT(_xlfn._xlws.FILTER('BG Stock Log'!G:G, ('BG Stock Log'!C:C=A222) * ('BG Stock Log'!G:G&gt;0)), 1, -1), 1),"")</f>
        <v/>
      </c>
      <c r="Q222" s="1" t="str">
        <f>IFERROR(ROUND(AVERAGEIFS('BG Stock Log'!G:G,'BG Stock Log'!C:C,'BG Dashboard'!A53,'BG Stock Log'!F:F,"ADD"),0),"")</f>
        <v/>
      </c>
      <c r="R222" s="1" t="s">
        <v>511</v>
      </c>
      <c r="S222" s="1" t="s">
        <v>971</v>
      </c>
      <c r="T222" s="37">
        <v>6.1000000000000004E-3</v>
      </c>
      <c r="U222" s="37">
        <v>30.500000000000004</v>
      </c>
      <c r="V222" s="1" t="s">
        <v>684</v>
      </c>
      <c r="W222" s="37">
        <v>1.2999999999999999E-3</v>
      </c>
      <c r="X222" s="37">
        <v>6.5</v>
      </c>
      <c r="Y222" s="36" t="str">
        <f>IFERROR(SUMIFS('BG Stock Log'!L:L,'BG Stock Log'!C:C,'BG Dashboard'!A53)/SUMIFS('BG Stock Log'!G:G,'BG Stock Log'!C:C,'BG Dashboard'!A53,'BG Stock Log'!F:F,"ADD"),"")</f>
        <v/>
      </c>
      <c r="Z222" s="36">
        <f t="shared" ref="Z222:Z253" si="6">IFERROR(T222*G222,"")</f>
        <v>15.323200000000002</v>
      </c>
      <c r="AA222" s="1" t="str" cm="1">
        <f t="array" ref="AA222">GetFilteredValues(A222)</f>
        <v/>
      </c>
    </row>
    <row r="223" spans="1:27" x14ac:dyDescent="0.25">
      <c r="A223" s="1" t="s">
        <v>51</v>
      </c>
      <c r="B223" s="1" t="s">
        <v>502</v>
      </c>
      <c r="C223" s="1" t="s">
        <v>758</v>
      </c>
      <c r="D223" s="8" t="s">
        <v>163</v>
      </c>
      <c r="E223" s="1" t="s">
        <v>106</v>
      </c>
      <c r="F223" s="1" t="s">
        <v>1364</v>
      </c>
      <c r="G223" s="5">
        <f>_xlfn.XLOOKUP(A223,'BG Stock Log'!C:C,'BG Stock Log'!H:H,,0,-1)</f>
        <v>1778</v>
      </c>
      <c r="H223" s="5"/>
      <c r="I223" s="1"/>
      <c r="J223" s="1">
        <v>5000</v>
      </c>
      <c r="K223" s="1">
        <f>SUMIFS('BG Stock Log'!G:G,'BG Stock Log'!C:C,'BG Dashboard'!A54,'BG Stock Log'!F:F,"ADD")</f>
        <v>0</v>
      </c>
      <c r="L223" s="1">
        <f>_xlfn.XLOOKUP(A223,'New BG List'!A:A,'New BG List'!K:K,,0)</f>
        <v>10</v>
      </c>
      <c r="M223" s="1">
        <f>_xlfn.XLOOKUP(A223,'New BG List'!A:A,'New BG List'!J:J,0)</f>
        <v>1664</v>
      </c>
      <c r="N223" s="1"/>
      <c r="O223" s="1" t="str" cm="1">
        <f t="array" ref="O223">GetLastItem(AA223)</f>
        <v/>
      </c>
      <c r="P223" s="1" t="str" cm="1">
        <f t="array" ref="P223">IFERROR(INDEX(_xlfn._xlws.SORT(_xlfn._xlws.FILTER('BG Stock Log'!G:G, ('BG Stock Log'!C:C=A223) * ('BG Stock Log'!G:G&gt;0)), 1, -1), 1),"")</f>
        <v/>
      </c>
      <c r="Q223" s="1" t="str">
        <f>IFERROR(ROUND(AVERAGEIFS('BG Stock Log'!G:G,'BG Stock Log'!C:C,'BG Dashboard'!A54,'BG Stock Log'!F:F,"ADD"),0),"")</f>
        <v/>
      </c>
      <c r="R223" s="1" t="s">
        <v>511</v>
      </c>
      <c r="S223" s="1" t="s">
        <v>970</v>
      </c>
      <c r="T223" s="37">
        <v>9.1000000000000004E-3</v>
      </c>
      <c r="U223" s="37">
        <v>45.5</v>
      </c>
      <c r="V223" s="1" t="s">
        <v>685</v>
      </c>
      <c r="W223" s="37">
        <v>3.2000000000000002E-3</v>
      </c>
      <c r="X223" s="37">
        <v>16</v>
      </c>
      <c r="Y223" s="36" t="str">
        <f>IFERROR(SUMIFS('BG Stock Log'!L:L,'BG Stock Log'!C:C,'BG Dashboard'!A54)/SUMIFS('BG Stock Log'!G:G,'BG Stock Log'!C:C,'BG Dashboard'!A54,'BG Stock Log'!F:F,"ADD"),"")</f>
        <v/>
      </c>
      <c r="Z223" s="36">
        <f t="shared" si="6"/>
        <v>16.1798</v>
      </c>
      <c r="AA223" s="1" t="str" cm="1">
        <f t="array" ref="AA223">GetFilteredValues(A223)</f>
        <v/>
      </c>
    </row>
    <row r="224" spans="1:27" x14ac:dyDescent="0.25">
      <c r="A224" s="1" t="s">
        <v>52</v>
      </c>
      <c r="B224" s="1" t="s">
        <v>397</v>
      </c>
      <c r="C224" s="1" t="s">
        <v>802</v>
      </c>
      <c r="D224" s="8" t="s">
        <v>1212</v>
      </c>
      <c r="E224" s="1" t="s">
        <v>159</v>
      </c>
      <c r="F224" s="1" t="s">
        <v>1364</v>
      </c>
      <c r="G224" s="5">
        <f>_xlfn.XLOOKUP(A224,'BG Stock Log'!C:C,'BG Stock Log'!H:H,,0,-1)</f>
        <v>7749</v>
      </c>
      <c r="H224" s="5"/>
      <c r="I224" s="1"/>
      <c r="J224" s="1">
        <v>5000</v>
      </c>
      <c r="K224" s="1">
        <f>SUMIFS('BG Stock Log'!G:G,'BG Stock Log'!C:C,'BG Dashboard'!A55,'BG Stock Log'!F:F,"ADD")</f>
        <v>0</v>
      </c>
      <c r="L224" s="1">
        <f>_xlfn.XLOOKUP(A224,'New BG List'!A:A,'New BG List'!K:K,,0)</f>
        <v>24</v>
      </c>
      <c r="M224" s="1">
        <f>_xlfn.XLOOKUP(A224,'New BG List'!A:A,'New BG List'!J:J,0)</f>
        <v>642</v>
      </c>
      <c r="N224" s="1"/>
      <c r="O224" s="1" t="str" cm="1">
        <f t="array" ref="O224">GetLastItem(AA224)</f>
        <v/>
      </c>
      <c r="P224" s="1" cm="1">
        <f t="array" ref="P224">IFERROR(INDEX(_xlfn._xlws.SORT(_xlfn._xlws.FILTER('BG Stock Log'!G:G, ('BG Stock Log'!C:C=A224) * ('BG Stock Log'!G:G&gt;0)), 1, -1), 1),"")</f>
        <v>4051</v>
      </c>
      <c r="Q224" s="1" t="str">
        <f>IFERROR(ROUND(AVERAGEIFS('BG Stock Log'!G:G,'BG Stock Log'!C:C,'BG Dashboard'!A55,'BG Stock Log'!F:F,"ADD"),0),"")</f>
        <v/>
      </c>
      <c r="R224" s="1" t="s">
        <v>511</v>
      </c>
      <c r="S224" s="1" t="s">
        <v>978</v>
      </c>
      <c r="T224" s="37">
        <v>1.2999999999999999E-2</v>
      </c>
      <c r="U224" s="37">
        <v>65</v>
      </c>
      <c r="V224" s="1" t="s">
        <v>614</v>
      </c>
      <c r="W224" s="37">
        <v>1.1999999999999999E-3</v>
      </c>
      <c r="X224" s="37">
        <v>5.9999999999999991</v>
      </c>
      <c r="Y224" s="36" t="str">
        <f>IFERROR(SUMIFS('BG Stock Log'!L:L,'BG Stock Log'!C:C,'BG Dashboard'!A55)/SUMIFS('BG Stock Log'!G:G,'BG Stock Log'!C:C,'BG Dashboard'!A55,'BG Stock Log'!F:F,"ADD"),"")</f>
        <v/>
      </c>
      <c r="Z224" s="36">
        <f t="shared" si="6"/>
        <v>100.73699999999999</v>
      </c>
      <c r="AA224" s="1" t="str" cm="1">
        <f t="array" ref="AA224">GetFilteredValues(A224)</f>
        <v/>
      </c>
    </row>
    <row r="225" spans="1:27" x14ac:dyDescent="0.25">
      <c r="A225" s="10" t="s">
        <v>433</v>
      </c>
      <c r="B225" s="1" t="s">
        <v>434</v>
      </c>
      <c r="C225" s="1" t="s">
        <v>865</v>
      </c>
      <c r="D225" s="8" t="s">
        <v>1141</v>
      </c>
      <c r="E225" s="1" t="s">
        <v>106</v>
      </c>
      <c r="F225" s="1" t="s">
        <v>1364</v>
      </c>
      <c r="G225" s="5">
        <f>_xlfn.XLOOKUP(A225,'BG Stock Log'!C:C,'BG Stock Log'!H:H,,0,-1)</f>
        <v>4220</v>
      </c>
      <c r="H225" s="5"/>
      <c r="I225" s="1"/>
      <c r="J225" s="1">
        <v>5000</v>
      </c>
      <c r="K225" s="1">
        <f>SUMIFS('BG Stock Log'!G:G,'BG Stock Log'!C:C,'BG Dashboard'!A183,'BG Stock Log'!F:F,"ADD")</f>
        <v>180860</v>
      </c>
      <c r="L225" s="1">
        <f>_xlfn.XLOOKUP(A225,'New BG List'!A:A,'New BG List'!K:K,,0)</f>
        <v>19</v>
      </c>
      <c r="M225" s="1">
        <f>_xlfn.XLOOKUP(A225,'New BG List'!A:A,'New BG List'!J:J,0)</f>
        <v>116</v>
      </c>
      <c r="N225" s="1"/>
      <c r="O225" s="1" t="str" cm="1">
        <f t="array" ref="O225">GetLastItem(AA225)</f>
        <v>Ling</v>
      </c>
      <c r="P225" s="1" cm="1">
        <f t="array" ref="P225">IFERROR(INDEX(_xlfn._xlws.SORT(_xlfn._xlws.FILTER('BG Stock Log'!G:G, ('BG Stock Log'!C:C=A225) * ('BG Stock Log'!G:G&gt;0)), 1, -1), 1),"")</f>
        <v>5000</v>
      </c>
      <c r="Q225" s="1">
        <f>IFERROR(ROUND(AVERAGEIFS('BG Stock Log'!G:G,'BG Stock Log'!C:C,'BG Dashboard'!A183,'BG Stock Log'!F:F,"ADD"),0),"")</f>
        <v>25837</v>
      </c>
      <c r="R225" s="1" t="s">
        <v>511</v>
      </c>
      <c r="S225" s="1" t="s">
        <v>969</v>
      </c>
      <c r="T225" s="37">
        <v>6.1000000000000004E-3</v>
      </c>
      <c r="U225" s="37">
        <v>30.500000000000004</v>
      </c>
      <c r="V225" s="1" t="s">
        <v>640</v>
      </c>
      <c r="W225" s="37">
        <v>1.1999999999999999E-3</v>
      </c>
      <c r="X225" s="37">
        <v>5.9999999999999991</v>
      </c>
      <c r="Y225" s="36">
        <f>IFERROR(SUMIFS('BG Stock Log'!L:L,'BG Stock Log'!C:C,'BG Dashboard'!A183)/SUMIFS('BG Stock Log'!G:G,'BG Stock Log'!C:C,'BG Dashboard'!A183,'BG Stock Log'!F:F,"ADD"),"")</f>
        <v>6.7637952007077297E-4</v>
      </c>
      <c r="Z225" s="36">
        <f t="shared" si="6"/>
        <v>25.742000000000001</v>
      </c>
      <c r="AA225" s="1" t="str" cm="1">
        <f t="array" ref="AA225">GetFilteredValues(A225)</f>
        <v>Ling</v>
      </c>
    </row>
    <row r="226" spans="1:27" x14ac:dyDescent="0.25">
      <c r="A226" s="10" t="s">
        <v>475</v>
      </c>
      <c r="B226" s="1" t="s">
        <v>476</v>
      </c>
      <c r="C226" s="1" t="s">
        <v>833</v>
      </c>
      <c r="D226" s="8" t="s">
        <v>1138</v>
      </c>
      <c r="E226" s="1" t="s">
        <v>106</v>
      </c>
      <c r="F226" s="1" t="s">
        <v>1364</v>
      </c>
      <c r="G226" s="5">
        <f>_xlfn.XLOOKUP(A226,'BG Stock Log'!C:C,'BG Stock Log'!H:H,,0,-1)</f>
        <v>4900</v>
      </c>
      <c r="H226" s="5"/>
      <c r="I226" s="1"/>
      <c r="J226" s="1">
        <v>5000</v>
      </c>
      <c r="K226" s="1">
        <f>SUMIFS('BG Stock Log'!G:G,'BG Stock Log'!C:C,'BG Dashboard'!A181,'BG Stock Log'!F:F,"ADD")</f>
        <v>10000</v>
      </c>
      <c r="L226" s="1">
        <f>_xlfn.XLOOKUP(A226,'New BG List'!A:A,'New BG List'!K:K,,0)</f>
        <v>13</v>
      </c>
      <c r="M226" s="1">
        <f>_xlfn.XLOOKUP(A226,'New BG List'!A:A,'New BG List'!J:J,0)</f>
        <v>328</v>
      </c>
      <c r="N226" s="1"/>
      <c r="O226" s="1" t="str" cm="1">
        <f t="array" ref="O226">GetLastItem(AA226)</f>
        <v>Ling</v>
      </c>
      <c r="P226" s="1" cm="1">
        <f t="array" ref="P226">IFERROR(INDEX(_xlfn._xlws.SORT(_xlfn._xlws.FILTER('BG Stock Log'!G:G, ('BG Stock Log'!C:C=A226) * ('BG Stock Log'!G:G&gt;0)), 1, -1), 1),"")</f>
        <v>5000</v>
      </c>
      <c r="Q226" s="1">
        <f>IFERROR(ROUND(AVERAGEIFS('BG Stock Log'!G:G,'BG Stock Log'!C:C,'BG Dashboard'!A181,'BG Stock Log'!F:F,"ADD"),0),"")</f>
        <v>10000</v>
      </c>
      <c r="R226" s="1" t="s">
        <v>511</v>
      </c>
      <c r="S226" s="1" t="s">
        <v>966</v>
      </c>
      <c r="T226" s="37">
        <v>6.1000000000000004E-3</v>
      </c>
      <c r="U226" s="37">
        <v>30.500000000000004</v>
      </c>
      <c r="V226" s="1" t="s">
        <v>662</v>
      </c>
      <c r="W226" s="37">
        <v>1.1999999999999999E-3</v>
      </c>
      <c r="X226" s="37">
        <v>5.9999999999999991</v>
      </c>
      <c r="Y226" s="36">
        <f>IFERROR(SUMIFS('BG Stock Log'!L:L,'BG Stock Log'!C:C,'BG Dashboard'!A181)/SUMIFS('BG Stock Log'!G:G,'BG Stock Log'!C:C,'BG Dashboard'!A181,'BG Stock Log'!F:F,"ADD"),"")</f>
        <v>0</v>
      </c>
      <c r="Z226" s="36">
        <f t="shared" si="6"/>
        <v>29.89</v>
      </c>
      <c r="AA226" s="1" t="str" cm="1">
        <f t="array" ref="AA226">GetFilteredValues(A226)</f>
        <v>Ling</v>
      </c>
    </row>
    <row r="227" spans="1:27" x14ac:dyDescent="0.25">
      <c r="A227" s="1" t="s">
        <v>53</v>
      </c>
      <c r="B227" s="1" t="s">
        <v>398</v>
      </c>
      <c r="C227" s="1" t="s">
        <v>747</v>
      </c>
      <c r="D227" s="8" t="s">
        <v>164</v>
      </c>
      <c r="E227" s="1" t="s">
        <v>106</v>
      </c>
      <c r="F227" s="1" t="s">
        <v>1364</v>
      </c>
      <c r="G227" s="5">
        <f>_xlfn.XLOOKUP(A227,'BG Stock Log'!C:C,'BG Stock Log'!H:H,,0,-1)</f>
        <v>389</v>
      </c>
      <c r="H227" s="5"/>
      <c r="I227" s="1"/>
      <c r="J227" s="1">
        <v>5000</v>
      </c>
      <c r="K227" s="1">
        <f>SUMIFS('BG Stock Log'!G:G,'BG Stock Log'!C:C,'BG Dashboard'!A56,'BG Stock Log'!F:F,"ADD")</f>
        <v>0</v>
      </c>
      <c r="L227" s="1">
        <f>_xlfn.XLOOKUP(A227,'New BG List'!A:A,'New BG List'!K:K,,0)</f>
        <v>13</v>
      </c>
      <c r="M227" s="1">
        <f>_xlfn.XLOOKUP(A227,'New BG List'!A:A,'New BG List'!J:J,0)</f>
        <v>2095</v>
      </c>
      <c r="N227" s="1"/>
      <c r="O227" s="1" t="str" cm="1">
        <f t="array" ref="O227">GetLastItem(AA227)</f>
        <v/>
      </c>
      <c r="P227" s="1" t="str" cm="1">
        <f t="array" ref="P227">IFERROR(INDEX(_xlfn._xlws.SORT(_xlfn._xlws.FILTER('BG Stock Log'!G:G, ('BG Stock Log'!C:C=A227) * ('BG Stock Log'!G:G&gt;0)), 1, -1), 1),"")</f>
        <v/>
      </c>
      <c r="Q227" s="1" t="str">
        <f>IFERROR(ROUND(AVERAGEIFS('BG Stock Log'!G:G,'BG Stock Log'!C:C,'BG Dashboard'!A56,'BG Stock Log'!F:F,"ADD"),0),"")</f>
        <v/>
      </c>
      <c r="R227" s="1" t="s">
        <v>511</v>
      </c>
      <c r="S227" s="1" t="s">
        <v>975</v>
      </c>
      <c r="T227" s="37">
        <v>6.1000000000000004E-3</v>
      </c>
      <c r="U227" s="37">
        <v>30.500000000000004</v>
      </c>
      <c r="V227" s="1" t="s">
        <v>615</v>
      </c>
      <c r="W227" s="37">
        <v>1.1999999999999999E-3</v>
      </c>
      <c r="X227" s="37">
        <v>5.9999999999999991</v>
      </c>
      <c r="Y227" s="36" t="str">
        <f>IFERROR(SUMIFS('BG Stock Log'!L:L,'BG Stock Log'!C:C,'BG Dashboard'!A56)/SUMIFS('BG Stock Log'!G:G,'BG Stock Log'!C:C,'BG Dashboard'!A56,'BG Stock Log'!F:F,"ADD"),"")</f>
        <v/>
      </c>
      <c r="Z227" s="36">
        <f t="shared" si="6"/>
        <v>2.3729</v>
      </c>
      <c r="AA227" s="1" t="str" cm="1">
        <f t="array" ref="AA227">GetFilteredValues(A227)</f>
        <v/>
      </c>
    </row>
    <row r="228" spans="1:27" x14ac:dyDescent="0.25">
      <c r="A228" s="10" t="s">
        <v>449</v>
      </c>
      <c r="B228" s="1" t="s">
        <v>450</v>
      </c>
      <c r="C228" s="1" t="s">
        <v>803</v>
      </c>
      <c r="D228" s="8" t="s">
        <v>1137</v>
      </c>
      <c r="E228" s="1" t="s">
        <v>106</v>
      </c>
      <c r="F228" s="1" t="s">
        <v>1364</v>
      </c>
      <c r="G228" s="5">
        <f>_xlfn.XLOOKUP(A228,'BG Stock Log'!C:C,'BG Stock Log'!H:H,,0,-1)</f>
        <v>4870</v>
      </c>
      <c r="H228" s="5"/>
      <c r="I228" s="1"/>
      <c r="J228" s="1">
        <v>5000</v>
      </c>
      <c r="K228" s="1">
        <f>SUMIFS('BG Stock Log'!G:G,'BG Stock Log'!C:C,'BG Dashboard'!A180,'BG Stock Log'!F:F,"ADD")</f>
        <v>0</v>
      </c>
      <c r="L228" s="1">
        <f>_xlfn.XLOOKUP(A228,'New BG List'!A:A,'New BG List'!K:K,,0)</f>
        <v>16</v>
      </c>
      <c r="M228" s="1">
        <f>_xlfn.XLOOKUP(A228,'New BG List'!A:A,'New BG List'!J:J,0)</f>
        <v>636</v>
      </c>
      <c r="N228" s="1"/>
      <c r="O228" s="1" t="str" cm="1">
        <f t="array" ref="O228">GetLastItem(AA228)</f>
        <v>Ling</v>
      </c>
      <c r="P228" s="1" cm="1">
        <f t="array" ref="P228">IFERROR(INDEX(_xlfn._xlws.SORT(_xlfn._xlws.FILTER('BG Stock Log'!G:G, ('BG Stock Log'!C:C=A228) * ('BG Stock Log'!G:G&gt;0)), 1, -1), 1),"")</f>
        <v>5000</v>
      </c>
      <c r="Q228" s="1" t="str">
        <f>IFERROR(ROUND(AVERAGEIFS('BG Stock Log'!G:G,'BG Stock Log'!C:C,'BG Dashboard'!A180,'BG Stock Log'!F:F,"ADD"),0),"")</f>
        <v/>
      </c>
      <c r="R228" s="1" t="s">
        <v>511</v>
      </c>
      <c r="S228" s="1" t="s">
        <v>965</v>
      </c>
      <c r="T228" s="37">
        <v>7.6E-3</v>
      </c>
      <c r="U228" s="37">
        <v>38</v>
      </c>
      <c r="V228" s="1" t="s">
        <v>648</v>
      </c>
      <c r="W228" s="37">
        <v>1.1999999999999999E-3</v>
      </c>
      <c r="X228" s="37">
        <v>5.9999999999999991</v>
      </c>
      <c r="Y228" s="36" t="str">
        <f>IFERROR(SUMIFS('BG Stock Log'!L:L,'BG Stock Log'!C:C,'BG Dashboard'!A180)/SUMIFS('BG Stock Log'!G:G,'BG Stock Log'!C:C,'BG Dashboard'!A180,'BG Stock Log'!F:F,"ADD"),"")</f>
        <v/>
      </c>
      <c r="Z228" s="36">
        <f t="shared" si="6"/>
        <v>37.012</v>
      </c>
      <c r="AA228" s="1" t="str" cm="1">
        <f t="array" ref="AA228">GetFilteredValues(A228)</f>
        <v>Ling</v>
      </c>
    </row>
    <row r="229" spans="1:27" x14ac:dyDescent="0.25">
      <c r="A229" s="10" t="s">
        <v>422</v>
      </c>
      <c r="B229" s="1" t="s">
        <v>423</v>
      </c>
      <c r="C229" s="1" t="s">
        <v>743</v>
      </c>
      <c r="D229" s="8" t="s">
        <v>1136</v>
      </c>
      <c r="E229" s="1" t="s">
        <v>106</v>
      </c>
      <c r="F229" s="1" t="s">
        <v>1364</v>
      </c>
      <c r="G229" s="5">
        <f>_xlfn.XLOOKUP(A229,'BG Stock Log'!C:C,'BG Stock Log'!H:H,,0,-1)</f>
        <v>4750</v>
      </c>
      <c r="H229" s="5"/>
      <c r="I229" s="1"/>
      <c r="J229" s="1">
        <v>5000</v>
      </c>
      <c r="K229" s="1">
        <f>SUMIFS('BG Stock Log'!G:G,'BG Stock Log'!C:C,'BG Dashboard'!A179,'BG Stock Log'!F:F,"ADD")</f>
        <v>20000</v>
      </c>
      <c r="L229" s="1">
        <f>_xlfn.XLOOKUP(A229,'New BG List'!A:A,'New BG List'!K:K,,0)</f>
        <v>21</v>
      </c>
      <c r="M229" s="1">
        <f>_xlfn.XLOOKUP(A229,'New BG List'!A:A,'New BG List'!J:J,0)</f>
        <v>2331</v>
      </c>
      <c r="N229" s="1"/>
      <c r="O229" s="1" t="str" cm="1">
        <f t="array" ref="O229">GetLastItem(AA229)</f>
        <v>Ling</v>
      </c>
      <c r="P229" s="1" cm="1">
        <f t="array" ref="P229">IFERROR(INDEX(_xlfn._xlws.SORT(_xlfn._xlws.FILTER('BG Stock Log'!G:G, ('BG Stock Log'!C:C=A229) * ('BG Stock Log'!G:G&gt;0)), 1, -1), 1),"")</f>
        <v>5000</v>
      </c>
      <c r="Q229" s="1">
        <f>IFERROR(ROUND(AVERAGEIFS('BG Stock Log'!G:G,'BG Stock Log'!C:C,'BG Dashboard'!A179,'BG Stock Log'!F:F,"ADD"),0),"")</f>
        <v>10000</v>
      </c>
      <c r="R229" s="1" t="s">
        <v>511</v>
      </c>
      <c r="S229" s="1" t="s">
        <v>964</v>
      </c>
      <c r="T229" s="37">
        <v>6.1000000000000004E-3</v>
      </c>
      <c r="U229" s="37">
        <v>30.500000000000004</v>
      </c>
      <c r="V229" s="1" t="s">
        <v>634</v>
      </c>
      <c r="W229" s="37">
        <v>1.1999999999999999E-3</v>
      </c>
      <c r="X229" s="37">
        <v>5.9999999999999991</v>
      </c>
      <c r="Y229" s="36">
        <f>IFERROR(SUMIFS('BG Stock Log'!L:L,'BG Stock Log'!C:C,'BG Dashboard'!A179)/SUMIFS('BG Stock Log'!G:G,'BG Stock Log'!C:C,'BG Dashboard'!A179,'BG Stock Log'!F:F,"ADD"),"")</f>
        <v>4.2299999999999993E-4</v>
      </c>
      <c r="Z229" s="36">
        <f t="shared" si="6"/>
        <v>28.975000000000001</v>
      </c>
      <c r="AA229" s="1" t="str" cm="1">
        <f t="array" ref="AA229">GetFilteredValues(A229)</f>
        <v>Ling</v>
      </c>
    </row>
    <row r="230" spans="1:27" x14ac:dyDescent="0.25">
      <c r="A230" s="10" t="s">
        <v>472</v>
      </c>
      <c r="B230" s="1" t="s">
        <v>473</v>
      </c>
      <c r="C230" s="1" t="s">
        <v>860</v>
      </c>
      <c r="D230" s="8" t="s">
        <v>1140</v>
      </c>
      <c r="E230" s="1" t="s">
        <v>106</v>
      </c>
      <c r="F230" s="1" t="s">
        <v>1364</v>
      </c>
      <c r="G230" s="5">
        <f>_xlfn.XLOOKUP(A230,'BG Stock Log'!C:C,'BG Stock Log'!H:H,,0,-1)</f>
        <v>4740</v>
      </c>
      <c r="H230" s="5"/>
      <c r="I230" s="1"/>
      <c r="J230" s="1">
        <v>5000</v>
      </c>
      <c r="K230" s="1">
        <f>SUMIFS('BG Stock Log'!G:G,'BG Stock Log'!C:C,'BG Dashboard'!A182,'BG Stock Log'!F:F,"ADD")</f>
        <v>0</v>
      </c>
      <c r="L230" s="1">
        <f>_xlfn.XLOOKUP(A230,'New BG List'!A:A,'New BG List'!K:K,,0)</f>
        <v>13</v>
      </c>
      <c r="M230" s="1">
        <f>_xlfn.XLOOKUP(A230,'New BG List'!A:A,'New BG List'!J:J,0)</f>
        <v>146</v>
      </c>
      <c r="N230" s="1"/>
      <c r="O230" s="1" t="str" cm="1">
        <f t="array" ref="O230">GetLastItem(AA230)</f>
        <v>Ling</v>
      </c>
      <c r="P230" s="1" cm="1">
        <f t="array" ref="P230">IFERROR(INDEX(_xlfn._xlws.SORT(_xlfn._xlws.FILTER('BG Stock Log'!G:G, ('BG Stock Log'!C:C=A230) * ('BG Stock Log'!G:G&gt;0)), 1, -1), 1),"")</f>
        <v>5000</v>
      </c>
      <c r="Q230" s="1" t="str">
        <f>IFERROR(ROUND(AVERAGEIFS('BG Stock Log'!G:G,'BG Stock Log'!C:C,'BG Dashboard'!A182,'BG Stock Log'!F:F,"ADD"),0),"")</f>
        <v/>
      </c>
      <c r="R230" s="1" t="s">
        <v>511</v>
      </c>
      <c r="S230" s="1" t="s">
        <v>968</v>
      </c>
      <c r="T230" s="37">
        <v>6.1000000000000004E-3</v>
      </c>
      <c r="U230" s="37">
        <v>30.500000000000004</v>
      </c>
      <c r="V230" s="1" t="s">
        <v>660</v>
      </c>
      <c r="W230" s="37">
        <v>1.1999999999999999E-3</v>
      </c>
      <c r="X230" s="37">
        <v>5.9999999999999991</v>
      </c>
      <c r="Y230" s="36" t="str">
        <f>IFERROR(SUMIFS('BG Stock Log'!L:L,'BG Stock Log'!C:C,'BG Dashboard'!A182)/SUMIFS('BG Stock Log'!G:G,'BG Stock Log'!C:C,'BG Dashboard'!A182,'BG Stock Log'!F:F,"ADD"),"")</f>
        <v/>
      </c>
      <c r="Z230" s="36">
        <f t="shared" si="6"/>
        <v>28.914000000000001</v>
      </c>
      <c r="AA230" s="1" t="str" cm="1">
        <f t="array" ref="AA230">GetFilteredValues(A230)</f>
        <v>Ling</v>
      </c>
    </row>
    <row r="231" spans="1:27" x14ac:dyDescent="0.25">
      <c r="A231" s="1" t="s">
        <v>98</v>
      </c>
      <c r="B231" s="1" t="s">
        <v>408</v>
      </c>
      <c r="C231" s="1" t="s">
        <v>823</v>
      </c>
      <c r="D231" s="8" t="s">
        <v>218</v>
      </c>
      <c r="E231" s="1" t="s">
        <v>106</v>
      </c>
      <c r="F231" s="1" t="s">
        <v>1364</v>
      </c>
      <c r="G231" s="5">
        <f>_xlfn.XLOOKUP(A231,'BG Stock Log'!C:C,'BG Stock Log'!H:H,,0,-1)</f>
        <v>4810</v>
      </c>
      <c r="H231" s="5"/>
      <c r="I231" s="1"/>
      <c r="J231" s="1">
        <v>5000</v>
      </c>
      <c r="K231" s="1">
        <f>SUMIFS('BG Stock Log'!G:G,'BG Stock Log'!C:C,'BG Dashboard'!A101,'BG Stock Log'!F:F,"ADD")</f>
        <v>4000</v>
      </c>
      <c r="L231" s="1">
        <f>_xlfn.XLOOKUP(A231,'New BG List'!A:A,'New BG List'!K:K,,0)</f>
        <v>21</v>
      </c>
      <c r="M231" s="1">
        <f>_xlfn.XLOOKUP(A231,'New BG List'!A:A,'New BG List'!J:J,0)</f>
        <v>422</v>
      </c>
      <c r="N231" s="1"/>
      <c r="O231" s="1" t="str" cm="1">
        <f t="array" ref="O231">GetLastItem(AA231)</f>
        <v/>
      </c>
      <c r="P231" s="1" t="str" cm="1">
        <f t="array" ref="P231">IFERROR(INDEX(_xlfn._xlws.SORT(_xlfn._xlws.FILTER('BG Stock Log'!G:G, ('BG Stock Log'!C:C=A231) * ('BG Stock Log'!G:G&gt;0)), 1, -1), 1),"")</f>
        <v/>
      </c>
      <c r="Q231" s="1">
        <f>IFERROR(ROUND(AVERAGEIFS('BG Stock Log'!G:G,'BG Stock Log'!C:C,'BG Dashboard'!A101,'BG Stock Log'!F:F,"ADD"),0),"")</f>
        <v>4000</v>
      </c>
      <c r="R231" s="1" t="s">
        <v>511</v>
      </c>
      <c r="S231" s="1" t="s">
        <v>979</v>
      </c>
      <c r="T231" s="37">
        <v>6.1000000000000004E-3</v>
      </c>
      <c r="U231" s="37">
        <v>30.500000000000004</v>
      </c>
      <c r="V231" s="1" t="s">
        <v>625</v>
      </c>
      <c r="W231" s="37">
        <v>1.1999999999999999E-3</v>
      </c>
      <c r="X231" s="37">
        <v>5.9999999999999991</v>
      </c>
      <c r="Y231" s="36">
        <f>IFERROR(SUMIFS('BG Stock Log'!L:L,'BG Stock Log'!C:C,'BG Dashboard'!A101)/SUMIFS('BG Stock Log'!G:G,'BG Stock Log'!C:C,'BG Dashboard'!A101,'BG Stock Log'!F:F,"ADD"),"")</f>
        <v>3.7240000000000002E-2</v>
      </c>
      <c r="Z231" s="36">
        <f t="shared" si="6"/>
        <v>29.341000000000001</v>
      </c>
      <c r="AA231" s="1" t="str" cm="1">
        <f t="array" ref="AA231">GetFilteredValues(A231)</f>
        <v/>
      </c>
    </row>
    <row r="232" spans="1:27" x14ac:dyDescent="0.25">
      <c r="A232" s="1" t="s">
        <v>99</v>
      </c>
      <c r="B232" s="1" t="s">
        <v>409</v>
      </c>
      <c r="C232" s="1" t="s">
        <v>843</v>
      </c>
      <c r="D232" s="8" t="s">
        <v>219</v>
      </c>
      <c r="E232" s="1" t="s">
        <v>106</v>
      </c>
      <c r="F232" s="1" t="s">
        <v>1364</v>
      </c>
      <c r="G232" s="5">
        <f>_xlfn.XLOOKUP(A232,'BG Stock Log'!C:C,'BG Stock Log'!H:H,,0,-1)</f>
        <v>4875</v>
      </c>
      <c r="H232" s="5"/>
      <c r="I232" s="1"/>
      <c r="J232" s="1">
        <v>5000</v>
      </c>
      <c r="K232" s="1">
        <f>SUMIFS('BG Stock Log'!G:G,'BG Stock Log'!C:C,'BG Dashboard'!A102,'BG Stock Log'!F:F,"ADD")</f>
        <v>4000</v>
      </c>
      <c r="L232" s="1">
        <f>_xlfn.XLOOKUP(A232,'New BG List'!A:A,'New BG List'!K:K,,0)</f>
        <v>20</v>
      </c>
      <c r="M232" s="1">
        <f>_xlfn.XLOOKUP(A232,'New BG List'!A:A,'New BG List'!J:J,0)</f>
        <v>251</v>
      </c>
      <c r="N232" s="1"/>
      <c r="O232" s="1" t="str" cm="1">
        <f t="array" ref="O232">GetLastItem(AA232)</f>
        <v/>
      </c>
      <c r="P232" s="1" cm="1">
        <f t="array" ref="P232">IFERROR(INDEX(_xlfn._xlws.SORT(_xlfn._xlws.FILTER('BG Stock Log'!G:G, ('BG Stock Log'!C:C=A232) * ('BG Stock Log'!G:G&gt;0)), 1, -1), 1),"")</f>
        <v>290</v>
      </c>
      <c r="Q232" s="1">
        <f>IFERROR(ROUND(AVERAGEIFS('BG Stock Log'!G:G,'BG Stock Log'!C:C,'BG Dashboard'!A102,'BG Stock Log'!F:F,"ADD"),0),"")</f>
        <v>4000</v>
      </c>
      <c r="R232" s="1" t="s">
        <v>511</v>
      </c>
      <c r="S232" s="1" t="s">
        <v>980</v>
      </c>
      <c r="T232" s="37">
        <v>6.7999999999999996E-3</v>
      </c>
      <c r="U232" s="37">
        <v>34</v>
      </c>
      <c r="V232" s="1" t="s">
        <v>626</v>
      </c>
      <c r="W232" s="37">
        <v>1.1999999999999999E-3</v>
      </c>
      <c r="X232" s="37">
        <v>5.9999999999999991</v>
      </c>
      <c r="Y232" s="36">
        <f>IFERROR(SUMIFS('BG Stock Log'!L:L,'BG Stock Log'!C:C,'BG Dashboard'!A102)/SUMIFS('BG Stock Log'!G:G,'BG Stock Log'!C:C,'BG Dashboard'!A102,'BG Stock Log'!F:F,"ADD"),"")</f>
        <v>4.1999999999999989E-3</v>
      </c>
      <c r="Z232" s="36">
        <f t="shared" si="6"/>
        <v>33.15</v>
      </c>
      <c r="AA232" s="1" t="str" cm="1">
        <f t="array" ref="AA232">GetFilteredValues(A232)</f>
        <v/>
      </c>
    </row>
    <row r="233" spans="1:27" x14ac:dyDescent="0.25">
      <c r="A233" s="10" t="s">
        <v>451</v>
      </c>
      <c r="B233" s="1" t="s">
        <v>452</v>
      </c>
      <c r="C233" s="1" t="s">
        <v>842</v>
      </c>
      <c r="D233" s="8" t="s">
        <v>1139</v>
      </c>
      <c r="E233" s="1" t="s">
        <v>106</v>
      </c>
      <c r="F233" s="1" t="s">
        <v>1364</v>
      </c>
      <c r="G233" s="5">
        <f>_xlfn.XLOOKUP(A233,'BG Stock Log'!C:C,'BG Stock Log'!H:H,,0,-1)</f>
        <v>4665</v>
      </c>
      <c r="H233" s="5"/>
      <c r="I233" s="1"/>
      <c r="J233" s="1">
        <v>5000</v>
      </c>
      <c r="K233" s="1">
        <f>SUMIFS('BG Stock Log'!G:G,'BG Stock Log'!C:C,'BG Dashboard'!A173,'BG Stock Log'!F:F,"ADD")</f>
        <v>15000</v>
      </c>
      <c r="L233" s="1">
        <f>_xlfn.XLOOKUP(A233,'New BG List'!A:A,'New BG List'!K:K,,0)</f>
        <v>16</v>
      </c>
      <c r="M233" s="1">
        <f>_xlfn.XLOOKUP(A233,'New BG List'!A:A,'New BG List'!J:J,0)</f>
        <v>264</v>
      </c>
      <c r="N233" s="1"/>
      <c r="O233" s="1" t="str" cm="1">
        <f t="array" ref="O233">GetLastItem(AA233)</f>
        <v>Ling</v>
      </c>
      <c r="P233" s="1" cm="1">
        <f t="array" ref="P233">IFERROR(INDEX(_xlfn._xlws.SORT(_xlfn._xlws.FILTER('BG Stock Log'!G:G, ('BG Stock Log'!C:C=A233) * ('BG Stock Log'!G:G&gt;0)), 1, -1), 1),"")</f>
        <v>5000</v>
      </c>
      <c r="Q233" s="1">
        <f>IFERROR(ROUND(AVERAGEIFS('BG Stock Log'!G:G,'BG Stock Log'!C:C,'BG Dashboard'!A173,'BG Stock Log'!F:F,"ADD"),0),"")</f>
        <v>15000</v>
      </c>
      <c r="R233" s="1" t="s">
        <v>511</v>
      </c>
      <c r="S233" s="1" t="s">
        <v>967</v>
      </c>
      <c r="T233" s="37">
        <v>6.1000000000000004E-3</v>
      </c>
      <c r="U233" s="37">
        <v>30.500000000000004</v>
      </c>
      <c r="V233" s="1" t="s">
        <v>649</v>
      </c>
      <c r="W233" s="37">
        <v>1.2999999999999999E-3</v>
      </c>
      <c r="X233" s="37">
        <v>6.5</v>
      </c>
      <c r="Y233" s="36">
        <f>IFERROR(SUMIFS('BG Stock Log'!L:L,'BG Stock Log'!C:C,'BG Dashboard'!A173)/SUMIFS('BG Stock Log'!G:G,'BG Stock Log'!C:C,'BG Dashboard'!A173,'BG Stock Log'!F:F,"ADD"),"")</f>
        <v>9.7999999999999997E-4</v>
      </c>
      <c r="Z233" s="36">
        <f t="shared" si="6"/>
        <v>28.456500000000002</v>
      </c>
      <c r="AA233" s="1" t="str" cm="1">
        <f t="array" ref="AA233">GetFilteredValues(A233)</f>
        <v>Ling</v>
      </c>
    </row>
    <row r="234" spans="1:27" x14ac:dyDescent="0.25">
      <c r="A234" s="1" t="s">
        <v>100</v>
      </c>
      <c r="B234" s="1" t="s">
        <v>506</v>
      </c>
      <c r="C234" s="1" t="s">
        <v>874</v>
      </c>
      <c r="D234" s="8" t="s">
        <v>220</v>
      </c>
      <c r="E234" s="1" t="s">
        <v>106</v>
      </c>
      <c r="F234" s="1" t="s">
        <v>1364</v>
      </c>
      <c r="G234" s="5">
        <f>_xlfn.XLOOKUP(A234,'BG Stock Log'!C:C,'BG Stock Log'!H:H,,0,-1)</f>
        <v>5000</v>
      </c>
      <c r="H234" s="5"/>
      <c r="I234" s="1"/>
      <c r="J234" s="1">
        <v>5000</v>
      </c>
      <c r="K234" s="1">
        <f>SUMIFS('BG Stock Log'!G:G,'BG Stock Log'!C:C,'BG Dashboard'!A103,'BG Stock Log'!F:F,"ADD")</f>
        <v>3000</v>
      </c>
      <c r="L234" s="1">
        <f>_xlfn.XLOOKUP(A234,'New BG List'!A:A,'New BG List'!K:K,,0)</f>
        <v>3</v>
      </c>
      <c r="M234" s="1">
        <f>_xlfn.XLOOKUP(A234,'New BG List'!A:A,'New BG List'!J:J,0)</f>
        <v>45</v>
      </c>
      <c r="N234" s="1"/>
      <c r="O234" s="1" t="str" cm="1">
        <f t="array" ref="O234">GetLastItem(AA234)</f>
        <v/>
      </c>
      <c r="P234" s="1" t="str" cm="1">
        <f t="array" ref="P234">IFERROR(INDEX(_xlfn._xlws.SORT(_xlfn._xlws.FILTER('BG Stock Log'!G:G, ('BG Stock Log'!C:C=A234) * ('BG Stock Log'!G:G&gt;0)), 1, -1), 1),"")</f>
        <v/>
      </c>
      <c r="Q234" s="1">
        <f>IFERROR(ROUND(AVERAGEIFS('BG Stock Log'!G:G,'BG Stock Log'!C:C,'BG Dashboard'!A103,'BG Stock Log'!F:F,"ADD"),0),"")</f>
        <v>1500</v>
      </c>
      <c r="R234" s="1" t="s">
        <v>511</v>
      </c>
      <c r="S234" s="1" t="s">
        <v>973</v>
      </c>
      <c r="T234" s="37">
        <v>6.1000000000000004E-3</v>
      </c>
      <c r="U234" s="37">
        <v>30.500000000000004</v>
      </c>
      <c r="V234" s="1" t="s">
        <v>689</v>
      </c>
      <c r="W234" s="37">
        <v>1E-3</v>
      </c>
      <c r="X234" s="37">
        <v>5</v>
      </c>
      <c r="Y234" s="36">
        <f>IFERROR(SUMIFS('BG Stock Log'!L:L,'BG Stock Log'!C:C,'BG Dashboard'!A103)/SUMIFS('BG Stock Log'!G:G,'BG Stock Log'!C:C,'BG Dashboard'!A103,'BG Stock Log'!F:F,"ADD"),"")</f>
        <v>6.8600000000000006E-3</v>
      </c>
      <c r="Z234" s="36">
        <f t="shared" si="6"/>
        <v>30.500000000000004</v>
      </c>
      <c r="AA234" s="1" t="str" cm="1">
        <f t="array" ref="AA234">GetFilteredValues(A234)</f>
        <v/>
      </c>
    </row>
    <row r="235" spans="1:27" x14ac:dyDescent="0.25">
      <c r="A235" s="1" t="s">
        <v>54</v>
      </c>
      <c r="B235" s="1" t="s">
        <v>399</v>
      </c>
      <c r="C235" s="1" t="s">
        <v>731</v>
      </c>
      <c r="D235" s="8" t="s">
        <v>165</v>
      </c>
      <c r="E235" s="1" t="s">
        <v>106</v>
      </c>
      <c r="F235" s="1" t="s">
        <v>1364</v>
      </c>
      <c r="G235" s="5">
        <f>_xlfn.XLOOKUP(A235,'BG Stock Log'!C:C,'BG Stock Log'!H:H,,0,-1)</f>
        <v>916</v>
      </c>
      <c r="H235" s="5"/>
      <c r="I235" s="1"/>
      <c r="J235" s="1">
        <v>5000</v>
      </c>
      <c r="K235" s="1">
        <f>SUMIFS('BG Stock Log'!G:G,'BG Stock Log'!C:C,'BG Dashboard'!A57,'BG Stock Log'!F:F,"ADD")</f>
        <v>0</v>
      </c>
      <c r="L235" s="1">
        <f>_xlfn.XLOOKUP(A235,'New BG List'!A:A,'New BG List'!K:K,,0)</f>
        <v>52</v>
      </c>
      <c r="M235" s="1">
        <f>_xlfn.XLOOKUP(A235,'New BG List'!A:A,'New BG List'!J:J,0)</f>
        <v>3738</v>
      </c>
      <c r="N235" s="1"/>
      <c r="O235" s="1" t="str" cm="1">
        <f t="array" ref="O235">GetLastItem(AA235)</f>
        <v/>
      </c>
      <c r="P235" s="1" cm="1">
        <f t="array" ref="P235">IFERROR(INDEX(_xlfn._xlws.SORT(_xlfn._xlws.FILTER('BG Stock Log'!G:G, ('BG Stock Log'!C:C=A235) * ('BG Stock Log'!G:G&gt;0)), 1, -1), 1),"")</f>
        <v>79</v>
      </c>
      <c r="Q235" s="1" t="str">
        <f>IFERROR(ROUND(AVERAGEIFS('BG Stock Log'!G:G,'BG Stock Log'!C:C,'BG Dashboard'!A57,'BG Stock Log'!F:F,"ADD"),0),"")</f>
        <v/>
      </c>
      <c r="R235" s="1" t="s">
        <v>511</v>
      </c>
      <c r="S235" s="1" t="s">
        <v>974</v>
      </c>
      <c r="T235" s="37">
        <v>7.3000000000000001E-3</v>
      </c>
      <c r="U235" s="37">
        <v>36.5</v>
      </c>
      <c r="V235" s="1" t="s">
        <v>616</v>
      </c>
      <c r="W235" s="37">
        <v>1.1999999999999999E-3</v>
      </c>
      <c r="X235" s="37">
        <v>5.9999999999999991</v>
      </c>
      <c r="Y235" s="36" t="str">
        <f>IFERROR(SUMIFS('BG Stock Log'!L:L,'BG Stock Log'!C:C,'BG Dashboard'!A57)/SUMIFS('BG Stock Log'!G:G,'BG Stock Log'!C:C,'BG Dashboard'!A57,'BG Stock Log'!F:F,"ADD"),"")</f>
        <v/>
      </c>
      <c r="Z235" s="36">
        <f t="shared" si="6"/>
        <v>6.6867999999999999</v>
      </c>
      <c r="AA235" s="1" t="str" cm="1">
        <f t="array" ref="AA235">GetFilteredValues(A235)</f>
        <v/>
      </c>
    </row>
    <row r="236" spans="1:27" x14ac:dyDescent="0.25">
      <c r="A236" s="10" t="s">
        <v>458</v>
      </c>
      <c r="B236" s="1" t="s">
        <v>459</v>
      </c>
      <c r="C236" s="1" t="s">
        <v>754</v>
      </c>
      <c r="D236" s="8" t="s">
        <v>1142</v>
      </c>
      <c r="E236" s="1" t="s">
        <v>106</v>
      </c>
      <c r="F236" s="1" t="s">
        <v>1364</v>
      </c>
      <c r="G236" s="5">
        <f>_xlfn.XLOOKUP(A236,'BG Stock Log'!C:C,'BG Stock Log'!H:H,,0,-1)</f>
        <v>2073</v>
      </c>
      <c r="H236" s="5"/>
      <c r="I236" s="1"/>
      <c r="J236" s="1">
        <v>5000</v>
      </c>
      <c r="K236" s="1">
        <f>SUMIFS('BG Stock Log'!G:G,'BG Stock Log'!C:C,'BG Dashboard'!A163,'BG Stock Log'!F:F,"ADD")</f>
        <v>0</v>
      </c>
      <c r="L236" s="1">
        <f>_xlfn.XLOOKUP(A236,'New BG List'!A:A,'New BG List'!K:K,,0)</f>
        <v>15</v>
      </c>
      <c r="M236" s="1">
        <f>_xlfn.XLOOKUP(A236,'New BG List'!A:A,'New BG List'!J:J,0)</f>
        <v>1787</v>
      </c>
      <c r="N236" s="1"/>
      <c r="O236" s="1" t="str" cm="1">
        <f t="array" ref="O236">GetLastItem(AA236)</f>
        <v>LCSC</v>
      </c>
      <c r="P236" s="1" cm="1">
        <f t="array" ref="P236">IFERROR(INDEX(_xlfn._xlws.SORT(_xlfn._xlws.FILTER('BG Stock Log'!G:G, ('BG Stock Log'!C:C=A236) * ('BG Stock Log'!G:G&gt;0)), 1, -1), 1),"")</f>
        <v>5000</v>
      </c>
      <c r="Q236" s="1" t="str">
        <f>IFERROR(ROUND(AVERAGEIFS('BG Stock Log'!G:G,'BG Stock Log'!C:C,'BG Dashboard'!A163,'BG Stock Log'!F:F,"ADD"),0),"")</f>
        <v/>
      </c>
      <c r="R236" s="1" t="s">
        <v>511</v>
      </c>
      <c r="S236" s="1" t="s">
        <v>981</v>
      </c>
      <c r="T236" s="37">
        <v>0.04</v>
      </c>
      <c r="U236" s="37">
        <v>200</v>
      </c>
      <c r="V236" s="1" t="s">
        <v>653</v>
      </c>
      <c r="W236" s="37">
        <v>1.2699999999999999E-2</v>
      </c>
      <c r="X236" s="37">
        <v>63.5</v>
      </c>
      <c r="Y236" s="36" t="str">
        <f>IFERROR(SUMIFS('BG Stock Log'!L:L,'BG Stock Log'!C:C,'BG Dashboard'!A163)/SUMIFS('BG Stock Log'!G:G,'BG Stock Log'!C:C,'BG Dashboard'!A163,'BG Stock Log'!F:F,"ADD"),"")</f>
        <v/>
      </c>
      <c r="Z236" s="36">
        <f t="shared" si="6"/>
        <v>82.92</v>
      </c>
      <c r="AA236" s="1" t="str" cm="1">
        <f t="array" ref="AA236">GetFilteredValues(A236)</f>
        <v>LCSC</v>
      </c>
    </row>
    <row r="237" spans="1:27" x14ac:dyDescent="0.25">
      <c r="A237" s="1" t="s">
        <v>101</v>
      </c>
      <c r="B237" s="1" t="s">
        <v>507</v>
      </c>
      <c r="C237" s="1" t="s">
        <v>875</v>
      </c>
      <c r="D237" s="8" t="s">
        <v>221</v>
      </c>
      <c r="E237" s="1" t="s">
        <v>106</v>
      </c>
      <c r="F237" s="1" t="s">
        <v>1364</v>
      </c>
      <c r="G237" s="5">
        <f>_xlfn.XLOOKUP(A237,'BG Stock Log'!C:C,'BG Stock Log'!H:H,,0,-1)</f>
        <v>4692</v>
      </c>
      <c r="H237" s="5"/>
      <c r="I237" s="1"/>
      <c r="J237" s="1">
        <v>5000</v>
      </c>
      <c r="K237" s="1">
        <f>SUMIFS('BG Stock Log'!G:G,'BG Stock Log'!C:C,'BG Dashboard'!A104,'BG Stock Log'!F:F,"ADD")</f>
        <v>4054</v>
      </c>
      <c r="L237" s="1">
        <f>_xlfn.XLOOKUP(A237,'New BG List'!A:A,'New BG List'!K:K,,0)</f>
        <v>10</v>
      </c>
      <c r="M237" s="1">
        <f>_xlfn.XLOOKUP(A237,'New BG List'!A:A,'New BG List'!J:J,0)</f>
        <v>38</v>
      </c>
      <c r="N237" s="1"/>
      <c r="O237" s="1" t="str" cm="1">
        <f t="array" ref="O237">GetLastItem(AA237)</f>
        <v/>
      </c>
      <c r="P237" s="1" t="str" cm="1">
        <f t="array" ref="P237">IFERROR(INDEX(_xlfn._xlws.SORT(_xlfn._xlws.FILTER('BG Stock Log'!G:G, ('BG Stock Log'!C:C=A237) * ('BG Stock Log'!G:G&gt;0)), 1, -1), 1),"")</f>
        <v/>
      </c>
      <c r="Q237" s="1">
        <f>IFERROR(ROUND(AVERAGEIFS('BG Stock Log'!G:G,'BG Stock Log'!C:C,'BG Dashboard'!A104,'BG Stock Log'!F:F,"ADD"),0),"")</f>
        <v>4054</v>
      </c>
      <c r="R237" s="1" t="s">
        <v>511</v>
      </c>
      <c r="S237" s="1" t="s">
        <v>984</v>
      </c>
      <c r="T237" s="37">
        <v>2.9000000000000001E-2</v>
      </c>
      <c r="U237" s="37">
        <v>145</v>
      </c>
      <c r="V237" s="1" t="s">
        <v>690</v>
      </c>
      <c r="W237" s="37">
        <v>4.7000000000000002E-3</v>
      </c>
      <c r="X237" s="37">
        <v>23.5</v>
      </c>
      <c r="Y237" s="36">
        <f>IFERROR(SUMIFS('BG Stock Log'!L:L,'BG Stock Log'!C:C,'BG Dashboard'!A104)/SUMIFS('BG Stock Log'!G:G,'BG Stock Log'!C:C,'BG Dashboard'!A104,'BG Stock Log'!F:F,"ADD"),"")</f>
        <v>0</v>
      </c>
      <c r="Z237" s="36">
        <f t="shared" si="6"/>
        <v>136.06800000000001</v>
      </c>
      <c r="AA237" s="1" t="str" cm="1">
        <f t="array" ref="AA237">GetFilteredValues(A237)</f>
        <v/>
      </c>
    </row>
    <row r="238" spans="1:27" x14ac:dyDescent="0.25">
      <c r="A238" s="1" t="s">
        <v>102</v>
      </c>
      <c r="B238" s="1" t="s">
        <v>508</v>
      </c>
      <c r="C238" s="1" t="s">
        <v>819</v>
      </c>
      <c r="D238" s="8" t="s">
        <v>223</v>
      </c>
      <c r="E238" s="1" t="s">
        <v>222</v>
      </c>
      <c r="F238" s="1" t="s">
        <v>1364</v>
      </c>
      <c r="G238" s="5">
        <f>_xlfn.XLOOKUP(A238,'BG Stock Log'!C:C,'BG Stock Log'!H:H,,0,-1)</f>
        <v>2678</v>
      </c>
      <c r="H238" s="5"/>
      <c r="I238" s="1"/>
      <c r="J238" s="1">
        <v>5000</v>
      </c>
      <c r="K238" s="1">
        <f>SUMIFS('BG Stock Log'!G:G,'BG Stock Log'!C:C,'BG Dashboard'!A105,'BG Stock Log'!F:F,"ADD")</f>
        <v>0</v>
      </c>
      <c r="L238" s="1">
        <f>_xlfn.XLOOKUP(A238,'New BG List'!A:A,'New BG List'!K:K,,0)</f>
        <v>11</v>
      </c>
      <c r="M238" s="1">
        <f>_xlfn.XLOOKUP(A238,'New BG List'!A:A,'New BG List'!J:J,0)</f>
        <v>454</v>
      </c>
      <c r="N238" s="1"/>
      <c r="O238" s="1" t="str" cm="1">
        <f t="array" ref="O238">GetLastItem(AA238)</f>
        <v/>
      </c>
      <c r="P238" s="1" t="str" cm="1">
        <f t="array" ref="P238">IFERROR(INDEX(_xlfn._xlws.SORT(_xlfn._xlws.FILTER('BG Stock Log'!G:G, ('BG Stock Log'!C:C=A238) * ('BG Stock Log'!G:G&gt;0)), 1, -1), 1),"")</f>
        <v/>
      </c>
      <c r="Q238" s="1" t="str">
        <f>IFERROR(ROUND(AVERAGEIFS('BG Stock Log'!G:G,'BG Stock Log'!C:C,'BG Dashboard'!A105,'BG Stock Log'!F:F,"ADD"),0),"")</f>
        <v/>
      </c>
      <c r="R238" s="1" t="s">
        <v>1316</v>
      </c>
      <c r="S238" s="1" t="s">
        <v>1426</v>
      </c>
      <c r="T238" s="37">
        <v>0.18</v>
      </c>
      <c r="U238" s="37">
        <v>900</v>
      </c>
      <c r="V238" s="1" t="s">
        <v>691</v>
      </c>
      <c r="W238" s="37">
        <v>4.8099999999999997E-2</v>
      </c>
      <c r="X238" s="37">
        <v>240.49999999999997</v>
      </c>
      <c r="Y238" s="36" t="str">
        <f>IFERROR(SUMIFS('BG Stock Log'!L:L,'BG Stock Log'!C:C,'BG Dashboard'!A105)/SUMIFS('BG Stock Log'!G:G,'BG Stock Log'!C:C,'BG Dashboard'!A105,'BG Stock Log'!F:F,"ADD"),"")</f>
        <v/>
      </c>
      <c r="Z238" s="36">
        <f t="shared" si="6"/>
        <v>482.03999999999996</v>
      </c>
      <c r="AA238" s="1" t="str" cm="1">
        <f t="array" ref="AA238">GetFilteredValues(A238)</f>
        <v/>
      </c>
    </row>
    <row r="239" spans="1:27" x14ac:dyDescent="0.25">
      <c r="A239" s="1" t="s">
        <v>103</v>
      </c>
      <c r="B239" s="1" t="s">
        <v>379</v>
      </c>
      <c r="C239" s="1" t="s">
        <v>753</v>
      </c>
      <c r="D239" s="8" t="s">
        <v>1215</v>
      </c>
      <c r="E239" s="1" t="s">
        <v>224</v>
      </c>
      <c r="F239" s="1" t="s">
        <v>1364</v>
      </c>
      <c r="G239" s="5">
        <f>_xlfn.XLOOKUP(A239,'BG Stock Log'!C:C,'BG Stock Log'!H:H,,0,-1)</f>
        <v>5000</v>
      </c>
      <c r="H239" s="5"/>
      <c r="I239" s="1"/>
      <c r="J239" s="1">
        <v>4000</v>
      </c>
      <c r="K239" s="1">
        <f>SUMIFS('BG Stock Log'!G:G,'BG Stock Log'!C:C,'BG Dashboard'!A106,'BG Stock Log'!F:F,"ADD")</f>
        <v>10000</v>
      </c>
      <c r="L239" s="1">
        <f>_xlfn.XLOOKUP(A239,'New BG List'!A:A,'New BG List'!K:K,,0)</f>
        <v>2</v>
      </c>
      <c r="M239" s="1">
        <f>_xlfn.XLOOKUP(A239,'New BG List'!A:A,'New BG List'!J:J,0)</f>
        <v>1955</v>
      </c>
      <c r="N239" s="1"/>
      <c r="O239" s="1" t="str" cm="1">
        <f t="array" ref="O239">GetLastItem(AA239)</f>
        <v/>
      </c>
      <c r="P239" s="1" t="str" cm="1">
        <f t="array" ref="P239">IFERROR(INDEX(_xlfn._xlws.SORT(_xlfn._xlws.FILTER('BG Stock Log'!G:G, ('BG Stock Log'!C:C=A239) * ('BG Stock Log'!G:G&gt;0)), 1, -1), 1),"")</f>
        <v/>
      </c>
      <c r="Q239" s="1">
        <f>IFERROR(ROUND(AVERAGEIFS('BG Stock Log'!G:G,'BG Stock Log'!C:C,'BG Dashboard'!A106,'BG Stock Log'!F:F,"ADD"),0),"")</f>
        <v>5000</v>
      </c>
      <c r="R239" s="1" t="s">
        <v>511</v>
      </c>
      <c r="S239" s="1" t="s">
        <v>1427</v>
      </c>
      <c r="T239" s="37">
        <v>0.05</v>
      </c>
      <c r="U239" s="37">
        <v>200</v>
      </c>
      <c r="V239" s="1" t="s">
        <v>596</v>
      </c>
      <c r="W239" s="37">
        <v>1.2200000000000001E-2</v>
      </c>
      <c r="X239" s="37">
        <v>48.800000000000004</v>
      </c>
      <c r="Y239" s="36">
        <f>IFERROR(SUMIFS('BG Stock Log'!L:L,'BG Stock Log'!C:C,'BG Dashboard'!A106)/SUMIFS('BG Stock Log'!G:G,'BG Stock Log'!C:C,'BG Dashboard'!A106,'BG Stock Log'!F:F,"ADD"),"")</f>
        <v>9.6879999999999987E-3</v>
      </c>
      <c r="Z239" s="36">
        <f t="shared" si="6"/>
        <v>250</v>
      </c>
      <c r="AA239" s="1" t="str" cm="1">
        <f t="array" ref="AA239">GetFilteredValues(A239)</f>
        <v/>
      </c>
    </row>
    <row r="240" spans="1:27" x14ac:dyDescent="0.25">
      <c r="A240" s="10" t="s">
        <v>430</v>
      </c>
      <c r="B240" s="1" t="s">
        <v>431</v>
      </c>
      <c r="C240" s="1" t="s">
        <v>872</v>
      </c>
      <c r="D240" s="8" t="s">
        <v>1143</v>
      </c>
      <c r="E240" s="1" t="s">
        <v>106</v>
      </c>
      <c r="F240" s="1" t="s">
        <v>1364</v>
      </c>
      <c r="G240" s="5">
        <f>_xlfn.XLOOKUP(A240,'BG Stock Log'!C:C,'BG Stock Log'!H:H,,0,-1)</f>
        <v>4619</v>
      </c>
      <c r="H240" s="5"/>
      <c r="I240" s="1"/>
      <c r="J240" s="1">
        <v>5000</v>
      </c>
      <c r="K240" s="1">
        <f>SUMIFS('BG Stock Log'!G:G,'BG Stock Log'!C:C,'BG Dashboard'!A166,'BG Stock Log'!F:F,"ADD")</f>
        <v>10000</v>
      </c>
      <c r="L240" s="1">
        <f>_xlfn.XLOOKUP(A240,'New BG List'!A:A,'New BG List'!K:K,,0)</f>
        <v>19</v>
      </c>
      <c r="M240" s="1">
        <f>_xlfn.XLOOKUP(A240,'New BG List'!A:A,'New BG List'!J:J,0)</f>
        <v>50</v>
      </c>
      <c r="N240" s="1"/>
      <c r="O240" s="1" t="str" cm="1">
        <f t="array" ref="O240">GetLastItem(AA240)</f>
        <v>Ling</v>
      </c>
      <c r="P240" s="1" cm="1">
        <f t="array" ref="P240">IFERROR(INDEX(_xlfn._xlws.SORT(_xlfn._xlws.FILTER('BG Stock Log'!G:G, ('BG Stock Log'!C:C=A240) * ('BG Stock Log'!G:G&gt;0)), 1, -1), 1),"")</f>
        <v>5000</v>
      </c>
      <c r="Q240" s="1">
        <f>IFERROR(ROUND(AVERAGEIFS('BG Stock Log'!G:G,'BG Stock Log'!C:C,'BG Dashboard'!A166,'BG Stock Log'!F:F,"ADD"),0),"")</f>
        <v>10000</v>
      </c>
      <c r="R240" s="1" t="s">
        <v>1316</v>
      </c>
      <c r="S240" s="1" t="s">
        <v>1446</v>
      </c>
      <c r="T240" s="37">
        <v>2.5999999999999999E-2</v>
      </c>
      <c r="U240" s="37">
        <v>130</v>
      </c>
      <c r="V240" s="1" t="s">
        <v>638</v>
      </c>
      <c r="W240" s="37">
        <v>1.3100000000000001E-2</v>
      </c>
      <c r="X240" s="37">
        <v>65.5</v>
      </c>
      <c r="Y240" s="36">
        <f>IFERROR(SUMIFS('BG Stock Log'!L:L,'BG Stock Log'!C:C,'BG Dashboard'!A166)/SUMIFS('BG Stock Log'!G:G,'BG Stock Log'!C:C,'BG Dashboard'!A166,'BG Stock Log'!F:F,"ADD"),"")</f>
        <v>2.2399999999999998E-3</v>
      </c>
      <c r="Z240" s="36">
        <f t="shared" si="6"/>
        <v>120.09399999999999</v>
      </c>
      <c r="AA240" s="1" t="str" cm="1">
        <f t="array" ref="AA240">GetFilteredValues(A240)</f>
        <v>Ling</v>
      </c>
    </row>
    <row r="241" spans="1:27" x14ac:dyDescent="0.25">
      <c r="A241" s="1" t="s">
        <v>420</v>
      </c>
      <c r="B241" s="1" t="s">
        <v>421</v>
      </c>
      <c r="C241" s="1" t="s">
        <v>739</v>
      </c>
      <c r="D241" s="8" t="s">
        <v>1168</v>
      </c>
      <c r="E241" s="1" t="s">
        <v>222</v>
      </c>
      <c r="F241" s="1" t="s">
        <v>1364</v>
      </c>
      <c r="G241" s="5">
        <f>_xlfn.XLOOKUP(A241,'BG Stock Log'!C:C,'BG Stock Log'!H:H,,0,-1)</f>
        <v>7244</v>
      </c>
      <c r="H241" s="5"/>
      <c r="I241" s="1"/>
      <c r="J241" s="1">
        <v>4000</v>
      </c>
      <c r="K241" s="1">
        <f>SUMIFS('BG Stock Log'!G:G,'BG Stock Log'!C:C,'BG Dashboard'!A111,'BG Stock Log'!F:F,"ADD")</f>
        <v>3000</v>
      </c>
      <c r="L241" s="1">
        <f>_xlfn.XLOOKUP(A241,'New BG List'!A:A,'New BG List'!K:K,,0)</f>
        <v>21</v>
      </c>
      <c r="M241" s="1">
        <f>_xlfn.XLOOKUP(A241,'New BG List'!A:A,'New BG List'!J:J,0)</f>
        <v>2561</v>
      </c>
      <c r="N241" s="1"/>
      <c r="O241" s="1" t="str" cm="1">
        <f t="array" ref="O241">GetLastItem(AA241)</f>
        <v>Digikey</v>
      </c>
      <c r="P241" s="1" cm="1">
        <f t="array" ref="P241">IFERROR(INDEX(_xlfn._xlws.SORT(_xlfn._xlws.FILTER('BG Stock Log'!G:G, ('BG Stock Log'!C:C=A241) * ('BG Stock Log'!G:G&gt;0)), 1, -1), 1),"")</f>
        <v>8000</v>
      </c>
      <c r="Q241" s="1">
        <f>IFERROR(ROUND(AVERAGEIFS('BG Stock Log'!G:G,'BG Stock Log'!C:C,'BG Dashboard'!A111,'BG Stock Log'!F:F,"ADD"),0),"")</f>
        <v>3000</v>
      </c>
      <c r="R241" s="1" t="s">
        <v>511</v>
      </c>
      <c r="S241" s="1" t="s">
        <v>1428</v>
      </c>
      <c r="T241" s="37">
        <v>5.5E-2</v>
      </c>
      <c r="U241" s="37">
        <v>220</v>
      </c>
      <c r="V241" s="1" t="s">
        <v>633</v>
      </c>
      <c r="W241" s="37">
        <v>1.77E-2</v>
      </c>
      <c r="X241" s="37">
        <v>70.8</v>
      </c>
      <c r="Y241" s="36">
        <f>IFERROR(SUMIFS('BG Stock Log'!L:L,'BG Stock Log'!C:C,'BG Dashboard'!A111)/SUMIFS('BG Stock Log'!G:G,'BG Stock Log'!C:C,'BG Dashboard'!A111,'BG Stock Log'!F:F,"ADD"),"")</f>
        <v>2.3239999999999993E-2</v>
      </c>
      <c r="Z241" s="36">
        <f t="shared" si="6"/>
        <v>398.42</v>
      </c>
      <c r="AA241" s="1" t="str" cm="1">
        <f t="array" ref="AA241">GetFilteredValues(A241)</f>
        <v>Ling, Digikey</v>
      </c>
    </row>
    <row r="242" spans="1:27" x14ac:dyDescent="0.25">
      <c r="A242" s="1" t="s">
        <v>447</v>
      </c>
      <c r="B242" s="1" t="s">
        <v>448</v>
      </c>
      <c r="C242" s="1" t="s">
        <v>857</v>
      </c>
      <c r="D242" s="8" t="s">
        <v>1175</v>
      </c>
      <c r="E242" s="1" t="s">
        <v>1176</v>
      </c>
      <c r="F242" s="1" t="s">
        <v>1364</v>
      </c>
      <c r="G242" s="5">
        <f>_xlfn.XLOOKUP(A242,'BG Stock Log'!C:C,'BG Stock Log'!H:H,,0,-1)</f>
        <v>3677</v>
      </c>
      <c r="H242" s="5"/>
      <c r="I242" s="1"/>
      <c r="J242" s="1">
        <v>5000</v>
      </c>
      <c r="K242" s="1">
        <f>SUMIFS('BG Stock Log'!G:G,'BG Stock Log'!C:C,'BG Dashboard'!A133,'BG Stock Log'!F:F,"ADD")</f>
        <v>9000</v>
      </c>
      <c r="L242" s="1">
        <f>_xlfn.XLOOKUP(A242,'New BG List'!A:A,'New BG List'!K:K,,0)</f>
        <v>16</v>
      </c>
      <c r="M242" s="1">
        <f>_xlfn.XLOOKUP(A242,'New BG List'!A:A,'New BG List'!J:J,0)</f>
        <v>154</v>
      </c>
      <c r="N242" s="1"/>
      <c r="O242" s="1" t="str" cm="1">
        <f t="array" ref="O242">GetLastItem(AA242)</f>
        <v>LCSC</v>
      </c>
      <c r="P242" s="1" cm="1">
        <f t="array" ref="P242">IFERROR(INDEX(_xlfn._xlws.SORT(_xlfn._xlws.FILTER('BG Stock Log'!G:G, ('BG Stock Log'!C:C=A242) * ('BG Stock Log'!G:G&gt;0)), 1, -1), 1),"")</f>
        <v>4000</v>
      </c>
      <c r="Q242" s="1">
        <f>IFERROR(ROUND(AVERAGEIFS('BG Stock Log'!G:G,'BG Stock Log'!C:C,'BG Dashboard'!A133,'BG Stock Log'!F:F,"ADD"),0),"")</f>
        <v>4500</v>
      </c>
      <c r="R242" s="1" t="s">
        <v>1316</v>
      </c>
      <c r="S242" s="1" t="s">
        <v>1437</v>
      </c>
      <c r="T242" s="37">
        <v>0.13400000000000001</v>
      </c>
      <c r="U242" s="37">
        <v>670</v>
      </c>
      <c r="V242" s="1" t="s">
        <v>1438</v>
      </c>
      <c r="W242" s="37">
        <v>8.3000000000000001E-3</v>
      </c>
      <c r="X242" s="37">
        <v>41.5</v>
      </c>
      <c r="Y242" s="36">
        <f>IFERROR(SUMIFS('BG Stock Log'!L:L,'BG Stock Log'!C:C,'BG Dashboard'!A133)/SUMIFS('BG Stock Log'!G:G,'BG Stock Log'!C:C,'BG Dashboard'!A133,'BG Stock Log'!F:F,"ADD"),"")</f>
        <v>1.9553333333333332E-2</v>
      </c>
      <c r="Z242" s="36">
        <f t="shared" si="6"/>
        <v>492.71800000000002</v>
      </c>
      <c r="AA242" s="1" t="str" cm="1">
        <f t="array" ref="AA242">GetFilteredValues(A242)</f>
        <v>LCSC</v>
      </c>
    </row>
    <row r="243" spans="1:27" x14ac:dyDescent="0.25">
      <c r="A243" s="10" t="s">
        <v>435</v>
      </c>
      <c r="B243" s="1" t="s">
        <v>436</v>
      </c>
      <c r="C243" s="1" t="s">
        <v>775</v>
      </c>
      <c r="D243" s="8" t="s">
        <v>1145</v>
      </c>
      <c r="E243" s="1" t="s">
        <v>1135</v>
      </c>
      <c r="F243" s="1" t="s">
        <v>1364</v>
      </c>
      <c r="G243" s="5">
        <f>_xlfn.XLOOKUP(A243,'BG Stock Log'!C:C,'BG Stock Log'!H:H,,0,-1)</f>
        <v>3772</v>
      </c>
      <c r="H243" s="5"/>
      <c r="I243" s="1"/>
      <c r="J243" s="1">
        <v>4000</v>
      </c>
      <c r="K243" s="1">
        <f>SUMIFS('BG Stock Log'!G:G,'BG Stock Log'!C:C,'BG Dashboard'!A172,'BG Stock Log'!F:F,"ADD")</f>
        <v>90945</v>
      </c>
      <c r="L243" s="1">
        <f>_xlfn.XLOOKUP(A243,'New BG List'!A:A,'New BG List'!K:K,,0)</f>
        <v>19</v>
      </c>
      <c r="M243" s="1">
        <f>_xlfn.XLOOKUP(A243,'New BG List'!A:A,'New BG List'!J:J,0)</f>
        <v>1265</v>
      </c>
      <c r="N243" s="1"/>
      <c r="O243" s="1" t="str" cm="1">
        <f t="array" ref="O243">GetLastItem(AA243)</f>
        <v>LCSC</v>
      </c>
      <c r="P243" s="1" cm="1">
        <f t="array" ref="P243">IFERROR(INDEX(_xlfn._xlws.SORT(_xlfn._xlws.FILTER('BG Stock Log'!G:G, ('BG Stock Log'!C:C=A243) * ('BG Stock Log'!G:G&gt;0)), 1, -1), 1),"")</f>
        <v>4000</v>
      </c>
      <c r="Q243" s="1">
        <f>IFERROR(ROUND(AVERAGEIFS('BG Stock Log'!G:G,'BG Stock Log'!C:C,'BG Dashboard'!A172,'BG Stock Log'!F:F,"ADD"),0),"")</f>
        <v>18189</v>
      </c>
      <c r="R243" s="1" t="s">
        <v>511</v>
      </c>
      <c r="S243" s="1" t="s">
        <v>989</v>
      </c>
      <c r="T243" s="37">
        <v>4.2999999999999997E-2</v>
      </c>
      <c r="U243" s="37">
        <v>172</v>
      </c>
      <c r="V243" s="1" t="s">
        <v>641</v>
      </c>
      <c r="W243" s="37">
        <v>5.5999999999999999E-3</v>
      </c>
      <c r="X243" s="37">
        <v>22.4</v>
      </c>
      <c r="Y243" s="36">
        <f>IFERROR(SUMIFS('BG Stock Log'!L:L,'BG Stock Log'!C:C,'BG Dashboard'!A172)/SUMIFS('BG Stock Log'!G:G,'BG Stock Log'!C:C,'BG Dashboard'!A172,'BG Stock Log'!F:F,"ADD"),"")</f>
        <v>6.9888394084336694E-4</v>
      </c>
      <c r="Z243" s="36">
        <f t="shared" si="6"/>
        <v>162.196</v>
      </c>
      <c r="AA243" s="1" t="str" cm="1">
        <f t="array" ref="AA243">GetFilteredValues(A243)</f>
        <v>LCSC</v>
      </c>
    </row>
    <row r="244" spans="1:27" x14ac:dyDescent="0.25">
      <c r="A244" s="10" t="s">
        <v>479</v>
      </c>
      <c r="B244" s="1" t="s">
        <v>480</v>
      </c>
      <c r="C244" s="1" t="s">
        <v>848</v>
      </c>
      <c r="D244" s="8" t="s">
        <v>1147</v>
      </c>
      <c r="E244" s="1" t="s">
        <v>132</v>
      </c>
      <c r="F244" s="1" t="s">
        <v>1364</v>
      </c>
      <c r="G244" s="5">
        <f>_xlfn.XLOOKUP(A244,'BG Stock Log'!C:C,'BG Stock Log'!H:H,,0,-1)</f>
        <v>2727</v>
      </c>
      <c r="H244" s="5"/>
      <c r="I244" s="1"/>
      <c r="J244" s="1">
        <v>4000</v>
      </c>
      <c r="K244" s="1">
        <f>SUMIFS('BG Stock Log'!G:G,'BG Stock Log'!C:C,'BG Dashboard'!A147,'BG Stock Log'!F:F,"ADD")</f>
        <v>6000</v>
      </c>
      <c r="L244" s="1">
        <f>_xlfn.XLOOKUP(A244,'New BG List'!A:A,'New BG List'!K:K,,0)</f>
        <v>12</v>
      </c>
      <c r="M244" s="1">
        <f>_xlfn.XLOOKUP(A244,'New BG List'!A:A,'New BG List'!J:J,0)</f>
        <v>203</v>
      </c>
      <c r="N244" s="1"/>
      <c r="O244" s="1" t="str" cm="1">
        <f t="array" ref="O244">GetLastItem(AA244)</f>
        <v>LCSC</v>
      </c>
      <c r="P244" s="1" cm="1">
        <f t="array" ref="P244">IFERROR(INDEX(_xlfn._xlws.SORT(_xlfn._xlws.FILTER('BG Stock Log'!G:G, ('BG Stock Log'!C:C=A244) * ('BG Stock Log'!G:G&gt;0)), 1, -1), 1),"")</f>
        <v>4000</v>
      </c>
      <c r="Q244" s="1">
        <f>IFERROR(ROUND(AVERAGEIFS('BG Stock Log'!G:G,'BG Stock Log'!C:C,'BG Dashboard'!A147,'BG Stock Log'!F:F,"ADD"),0),"")</f>
        <v>3000</v>
      </c>
      <c r="R244" s="1" t="s">
        <v>511</v>
      </c>
      <c r="S244" s="1" t="s">
        <v>992</v>
      </c>
      <c r="T244" s="37">
        <v>0.151</v>
      </c>
      <c r="U244" s="37">
        <v>604</v>
      </c>
      <c r="V244" s="1" t="s">
        <v>664</v>
      </c>
      <c r="W244" s="37">
        <v>3.3099999999999997E-2</v>
      </c>
      <c r="X244" s="37">
        <v>132.39999999999998</v>
      </c>
      <c r="Y244" s="36">
        <f>IFERROR(SUMIFS('BG Stock Log'!L:L,'BG Stock Log'!C:C,'BG Dashboard'!A147)/SUMIFS('BG Stock Log'!G:G,'BG Stock Log'!C:C,'BG Dashboard'!A147,'BG Stock Log'!F:F,"ADD"),"")</f>
        <v>2.2652000000000002E-2</v>
      </c>
      <c r="Z244" s="36">
        <f t="shared" si="6"/>
        <v>411.77699999999999</v>
      </c>
      <c r="AA244" s="1" t="str" cm="1">
        <f t="array" ref="AA244">GetFilteredValues(A244)</f>
        <v>LCSC</v>
      </c>
    </row>
    <row r="245" spans="1:27" x14ac:dyDescent="0.25">
      <c r="A245" s="10" t="s">
        <v>443</v>
      </c>
      <c r="B245" s="1" t="s">
        <v>444</v>
      </c>
      <c r="C245" s="1" t="s">
        <v>859</v>
      </c>
      <c r="D245" s="8" t="s">
        <v>1148</v>
      </c>
      <c r="E245" s="1" t="s">
        <v>106</v>
      </c>
      <c r="F245" s="1" t="s">
        <v>1364</v>
      </c>
      <c r="G245" s="5">
        <f>_xlfn.XLOOKUP(A245,'BG Stock Log'!C:C,'BG Stock Log'!H:H,,0,-1)</f>
        <v>2945</v>
      </c>
      <c r="H245" s="5"/>
      <c r="I245" s="1"/>
      <c r="J245" s="1">
        <v>4000</v>
      </c>
      <c r="K245" s="1">
        <f>SUMIFS('BG Stock Log'!G:G,'BG Stock Log'!C:C,'BG Dashboard'!A165,'BG Stock Log'!F:F,"ADD")</f>
        <v>0</v>
      </c>
      <c r="L245" s="1">
        <f>_xlfn.XLOOKUP(A245,'New BG List'!A:A,'New BG List'!K:K,,0)</f>
        <v>16</v>
      </c>
      <c r="M245" s="1">
        <f>_xlfn.XLOOKUP(A245,'New BG List'!A:A,'New BG List'!J:J,0)</f>
        <v>153</v>
      </c>
      <c r="N245" s="1"/>
      <c r="O245" s="1" t="str" cm="1">
        <f t="array" ref="O245">GetLastItem(AA245)</f>
        <v>LCSC</v>
      </c>
      <c r="P245" s="1" cm="1">
        <f t="array" ref="P245">IFERROR(INDEX(_xlfn._xlws.SORT(_xlfn._xlws.FILTER('BG Stock Log'!G:G, ('BG Stock Log'!C:C=A245) * ('BG Stock Log'!G:G&gt;0)), 1, -1), 1),"")</f>
        <v>4000</v>
      </c>
      <c r="Q245" s="1" t="str">
        <f>IFERROR(ROUND(AVERAGEIFS('BG Stock Log'!G:G,'BG Stock Log'!C:C,'BG Dashboard'!A165,'BG Stock Log'!F:F,"ADD"),0),"")</f>
        <v/>
      </c>
      <c r="R245" s="1" t="s">
        <v>511</v>
      </c>
      <c r="S245" s="1" t="s">
        <v>994</v>
      </c>
      <c r="T245" s="37">
        <v>2.8500000000000001E-2</v>
      </c>
      <c r="U245" s="37">
        <v>114</v>
      </c>
      <c r="V245" s="1" t="s">
        <v>645</v>
      </c>
      <c r="W245" s="37">
        <v>1.0500000000000001E-2</v>
      </c>
      <c r="X245" s="37">
        <v>42</v>
      </c>
      <c r="Y245" s="36" t="str">
        <f>IFERROR(SUMIFS('BG Stock Log'!L:L,'BG Stock Log'!C:C,'BG Dashboard'!A165)/SUMIFS('BG Stock Log'!G:G,'BG Stock Log'!C:C,'BG Dashboard'!A165,'BG Stock Log'!F:F,"ADD"),"")</f>
        <v/>
      </c>
      <c r="Z245" s="36">
        <f t="shared" si="6"/>
        <v>83.932500000000005</v>
      </c>
      <c r="AA245" s="1" t="str" cm="1">
        <f t="array" ref="AA245">GetFilteredValues(A245)</f>
        <v>LCSC</v>
      </c>
    </row>
    <row r="246" spans="1:27" x14ac:dyDescent="0.25">
      <c r="A246" s="10" t="s">
        <v>437</v>
      </c>
      <c r="B246" s="1" t="s">
        <v>438</v>
      </c>
      <c r="C246" s="1" t="s">
        <v>825</v>
      </c>
      <c r="D246" s="8" t="s">
        <v>1146</v>
      </c>
      <c r="E246" s="1" t="s">
        <v>106</v>
      </c>
      <c r="F246" s="1" t="s">
        <v>1364</v>
      </c>
      <c r="G246" s="5">
        <f>_xlfn.XLOOKUP(A246,'BG Stock Log'!C:C,'BG Stock Log'!H:H,,0,-1)</f>
        <v>2332</v>
      </c>
      <c r="H246" s="5"/>
      <c r="I246" s="1"/>
      <c r="J246" s="1">
        <v>4000</v>
      </c>
      <c r="K246" s="1">
        <f>SUMIFS('BG Stock Log'!G:G,'BG Stock Log'!C:C,'BG Dashboard'!A151,'BG Stock Log'!F:F,"ADD")</f>
        <v>1001</v>
      </c>
      <c r="L246" s="1">
        <f>_xlfn.XLOOKUP(A246,'New BG List'!A:A,'New BG List'!K:K,,0)</f>
        <v>18</v>
      </c>
      <c r="M246" s="1">
        <f>_xlfn.XLOOKUP(A246,'New BG List'!A:A,'New BG List'!J:J,0)</f>
        <v>417</v>
      </c>
      <c r="N246" s="1"/>
      <c r="O246" s="1" t="str" cm="1">
        <f t="array" ref="O246">GetLastItem(AA246)</f>
        <v>Ling</v>
      </c>
      <c r="P246" s="1" cm="1">
        <f t="array" ref="P246">IFERROR(INDEX(_xlfn._xlws.SORT(_xlfn._xlws.FILTER('BG Stock Log'!G:G, ('BG Stock Log'!C:C=A246) * ('BG Stock Log'!G:G&gt;0)), 1, -1), 1),"")</f>
        <v>4000</v>
      </c>
      <c r="Q246" s="1">
        <f>IFERROR(ROUND(AVERAGEIFS('BG Stock Log'!G:G,'BG Stock Log'!C:C,'BG Dashboard'!A151,'BG Stock Log'!F:F,"ADD"),0),"")</f>
        <v>501</v>
      </c>
      <c r="R246" s="1" t="s">
        <v>511</v>
      </c>
      <c r="S246" s="1" t="s">
        <v>991</v>
      </c>
      <c r="T246" s="37">
        <v>0.03</v>
      </c>
      <c r="U246" s="37">
        <v>120</v>
      </c>
      <c r="V246" s="1" t="s">
        <v>642</v>
      </c>
      <c r="W246" s="37">
        <v>1.04E-2</v>
      </c>
      <c r="X246" s="37">
        <v>41.6</v>
      </c>
      <c r="Y246" s="36">
        <f>IFERROR(SUMIFS('BG Stock Log'!L:L,'BG Stock Log'!C:C,'BG Dashboard'!A151)/SUMIFS('BG Stock Log'!G:G,'BG Stock Log'!C:C,'BG Dashboard'!A151,'BG Stock Log'!F:F,"ADD"),"")</f>
        <v>1.1678321678321679</v>
      </c>
      <c r="Z246" s="36">
        <f t="shared" si="6"/>
        <v>69.959999999999994</v>
      </c>
      <c r="AA246" s="1" t="str" cm="1">
        <f t="array" ref="AA246">GetFilteredValues(A246)</f>
        <v>Ling</v>
      </c>
    </row>
    <row r="247" spans="1:27" x14ac:dyDescent="0.25">
      <c r="A247" s="10" t="s">
        <v>460</v>
      </c>
      <c r="B247" s="1" t="s">
        <v>461</v>
      </c>
      <c r="C247" s="1" t="s">
        <v>757</v>
      </c>
      <c r="D247" s="8" t="s">
        <v>1144</v>
      </c>
      <c r="E247" s="1" t="s">
        <v>222</v>
      </c>
      <c r="F247" s="1" t="s">
        <v>1364</v>
      </c>
      <c r="G247" s="5">
        <f>_xlfn.XLOOKUP(A247,'BG Stock Log'!C:C,'BG Stock Log'!H:H,,0,-1)</f>
        <v>2994</v>
      </c>
      <c r="H247" s="5"/>
      <c r="I247" s="1"/>
      <c r="J247" s="1">
        <v>4000</v>
      </c>
      <c r="K247" s="1">
        <f>SUMIFS('BG Stock Log'!G:G,'BG Stock Log'!C:C,'BG Dashboard'!A170,'BG Stock Log'!F:F,"ADD")</f>
        <v>14587</v>
      </c>
      <c r="L247" s="1">
        <f>_xlfn.XLOOKUP(A247,'New BG List'!A:A,'New BG List'!K:K,,0)</f>
        <v>14</v>
      </c>
      <c r="M247" s="1">
        <f>_xlfn.XLOOKUP(A247,'New BG List'!A:A,'New BG List'!J:J,0)</f>
        <v>1684</v>
      </c>
      <c r="N247" s="1"/>
      <c r="O247" s="1" t="str" cm="1">
        <f t="array" ref="O247">GetLastItem(AA247)</f>
        <v>LCSC</v>
      </c>
      <c r="P247" s="1" cm="1">
        <f t="array" ref="P247">IFERROR(INDEX(_xlfn._xlws.SORT(_xlfn._xlws.FILTER('BG Stock Log'!G:G, ('BG Stock Log'!C:C=A247) * ('BG Stock Log'!G:G&gt;0)), 1, -1), 1),"")</f>
        <v>4000</v>
      </c>
      <c r="Q247" s="1">
        <f>IFERROR(ROUND(AVERAGEIFS('BG Stock Log'!G:G,'BG Stock Log'!C:C,'BG Dashboard'!A170,'BG Stock Log'!F:F,"ADD"),0),"")</f>
        <v>7294</v>
      </c>
      <c r="R247" s="1" t="s">
        <v>1316</v>
      </c>
      <c r="S247" s="1" t="s">
        <v>1447</v>
      </c>
      <c r="T247" s="37">
        <v>0.10100000000000001</v>
      </c>
      <c r="U247" s="37">
        <v>404</v>
      </c>
      <c r="V247" s="1" t="s">
        <v>654</v>
      </c>
      <c r="W247" s="37">
        <v>6.0000000000000001E-3</v>
      </c>
      <c r="X247" s="37">
        <v>24</v>
      </c>
      <c r="Y247" s="36">
        <f>IFERROR(SUMIFS('BG Stock Log'!L:L,'BG Stock Log'!C:C,'BG Dashboard'!A170)/SUMIFS('BG Stock Log'!G:G,'BG Stock Log'!C:C,'BG Dashboard'!A170,'BG Stock Log'!F:F,"ADD"),"")</f>
        <v>6.7183108247069305E-4</v>
      </c>
      <c r="Z247" s="36">
        <f t="shared" si="6"/>
        <v>302.39400000000001</v>
      </c>
      <c r="AA247" s="1" t="str" cm="1">
        <f t="array" ref="AA247">GetFilteredValues(A247)</f>
        <v>LCSC</v>
      </c>
    </row>
    <row r="248" spans="1:27" x14ac:dyDescent="0.25">
      <c r="A248" s="1" t="s">
        <v>441</v>
      </c>
      <c r="B248" s="1" t="s">
        <v>442</v>
      </c>
      <c r="C248" s="1" t="s">
        <v>756</v>
      </c>
      <c r="D248" s="8" t="s">
        <v>1169</v>
      </c>
      <c r="E248" s="1" t="s">
        <v>106</v>
      </c>
      <c r="F248" s="1" t="s">
        <v>1364</v>
      </c>
      <c r="G248" s="5">
        <f>_xlfn.XLOOKUP(A248,'BG Stock Log'!C:C,'BG Stock Log'!H:H,,0,-1)</f>
        <v>1133</v>
      </c>
      <c r="H248" s="5"/>
      <c r="I248" s="1"/>
      <c r="J248" s="1">
        <v>4000</v>
      </c>
      <c r="K248" s="1">
        <f>SUMIFS('BG Stock Log'!G:G,'BG Stock Log'!C:C,'BG Dashboard'!A118,'BG Stock Log'!F:F,"ADD")</f>
        <v>0</v>
      </c>
      <c r="L248" s="1">
        <f>_xlfn.XLOOKUP(A248,'New BG List'!A:A,'New BG List'!K:K,,0)</f>
        <v>17</v>
      </c>
      <c r="M248" s="1">
        <f>_xlfn.XLOOKUP(A248,'New BG List'!A:A,'New BG List'!J:J,0)</f>
        <v>1726</v>
      </c>
      <c r="N248" s="1"/>
      <c r="O248" s="1" t="str" cm="1">
        <f t="array" ref="O248">GetLastItem(AA248)</f>
        <v>LCSC</v>
      </c>
      <c r="P248" s="1" cm="1">
        <f t="array" ref="P248">IFERROR(INDEX(_xlfn._xlws.SORT(_xlfn._xlws.FILTER('BG Stock Log'!G:G, ('BG Stock Log'!C:C=A248) * ('BG Stock Log'!G:G&gt;0)), 1, -1), 1),"")</f>
        <v>8000</v>
      </c>
      <c r="Q248" s="1" t="str">
        <f>IFERROR(ROUND(AVERAGEIFS('BG Stock Log'!G:G,'BG Stock Log'!C:C,'BG Dashboard'!A118,'BG Stock Log'!F:F,"ADD"),0),"")</f>
        <v/>
      </c>
      <c r="R248" s="1" t="s">
        <v>511</v>
      </c>
      <c r="S248" s="1" t="s">
        <v>987</v>
      </c>
      <c r="T248" s="37">
        <v>3.2000000000000001E-2</v>
      </c>
      <c r="U248" s="37">
        <v>128</v>
      </c>
      <c r="V248" s="1" t="s">
        <v>1430</v>
      </c>
      <c r="W248" s="37">
        <v>7.4000000000000003E-3</v>
      </c>
      <c r="X248" s="37">
        <v>29.6</v>
      </c>
      <c r="Y248" s="36" t="str">
        <f>IFERROR(SUMIFS('BG Stock Log'!L:L,'BG Stock Log'!C:C,'BG Dashboard'!A118)/SUMIFS('BG Stock Log'!G:G,'BG Stock Log'!C:C,'BG Dashboard'!A118,'BG Stock Log'!F:F,"ADD"),"")</f>
        <v/>
      </c>
      <c r="Z248" s="36">
        <f t="shared" si="6"/>
        <v>36.256</v>
      </c>
      <c r="AA248" s="1" t="str" cm="1">
        <f t="array" ref="AA248">GetFilteredValues(A248)</f>
        <v>LCSC, LCSC</v>
      </c>
    </row>
    <row r="249" spans="1:27" x14ac:dyDescent="0.25">
      <c r="A249" s="1" t="s">
        <v>462</v>
      </c>
      <c r="B249" s="1" t="s">
        <v>463</v>
      </c>
      <c r="C249" s="1" t="s">
        <v>788</v>
      </c>
      <c r="D249" s="8" t="s">
        <v>1172</v>
      </c>
      <c r="E249" s="1" t="s">
        <v>106</v>
      </c>
      <c r="F249" s="1" t="s">
        <v>1364</v>
      </c>
      <c r="G249" s="5">
        <f>_xlfn.XLOOKUP(A249,'BG Stock Log'!C:C,'BG Stock Log'!H:H,,0,-1)</f>
        <v>2413</v>
      </c>
      <c r="H249" s="5"/>
      <c r="I249" s="1"/>
      <c r="J249" s="1">
        <v>4000</v>
      </c>
      <c r="K249" s="1">
        <f>SUMIFS('BG Stock Log'!G:G,'BG Stock Log'!C:C,'BG Dashboard'!A132,'BG Stock Log'!F:F,"ADD")</f>
        <v>0</v>
      </c>
      <c r="L249" s="1">
        <f>_xlfn.XLOOKUP(A249,'New BG List'!A:A,'New BG List'!K:K,,0)</f>
        <v>14</v>
      </c>
      <c r="M249" s="1">
        <f>_xlfn.XLOOKUP(A249,'New BG List'!A:A,'New BG List'!J:J,0)</f>
        <v>892</v>
      </c>
      <c r="N249" s="1"/>
      <c r="O249" s="1" t="str" cm="1">
        <f t="array" ref="O249">GetLastItem(AA249)</f>
        <v>LCSC</v>
      </c>
      <c r="P249" s="1" cm="1">
        <f t="array" ref="P249">IFERROR(INDEX(_xlfn._xlws.SORT(_xlfn._xlws.FILTER('BG Stock Log'!G:G, ('BG Stock Log'!C:C=A249) * ('BG Stock Log'!G:G&gt;0)), 1, -1), 1),"")</f>
        <v>4000</v>
      </c>
      <c r="Q249" s="1" t="str">
        <f>IFERROR(ROUND(AVERAGEIFS('BG Stock Log'!G:G,'BG Stock Log'!C:C,'BG Dashboard'!A132,'BG Stock Log'!F:F,"ADD"),0),"")</f>
        <v/>
      </c>
      <c r="R249" s="1" t="s">
        <v>511</v>
      </c>
      <c r="S249" s="1" t="s">
        <v>990</v>
      </c>
      <c r="T249" s="37">
        <v>4.2000000000000003E-2</v>
      </c>
      <c r="U249" s="37">
        <v>168</v>
      </c>
      <c r="V249" s="1" t="s">
        <v>1436</v>
      </c>
      <c r="W249" s="37">
        <v>6.4000000000000003E-3</v>
      </c>
      <c r="X249" s="37">
        <v>25.6</v>
      </c>
      <c r="Y249" s="36" t="str">
        <f>IFERROR(SUMIFS('BG Stock Log'!L:L,'BG Stock Log'!C:C,'BG Dashboard'!A132)/SUMIFS('BG Stock Log'!G:G,'BG Stock Log'!C:C,'BG Dashboard'!A132,'BG Stock Log'!F:F,"ADD"),"")</f>
        <v/>
      </c>
      <c r="Z249" s="36">
        <f t="shared" si="6"/>
        <v>101.346</v>
      </c>
      <c r="AA249" s="1" t="str" cm="1">
        <f t="array" ref="AA249">GetFilteredValues(A249)</f>
        <v>LCSC</v>
      </c>
    </row>
    <row r="250" spans="1:27" x14ac:dyDescent="0.25">
      <c r="A250" s="1" t="s">
        <v>456</v>
      </c>
      <c r="B250" s="1" t="s">
        <v>457</v>
      </c>
      <c r="C250" s="1" t="s">
        <v>729</v>
      </c>
      <c r="D250" s="8" t="s">
        <v>1167</v>
      </c>
      <c r="E250" s="1" t="s">
        <v>106</v>
      </c>
      <c r="F250" s="1" t="s">
        <v>1364</v>
      </c>
      <c r="G250" s="5">
        <f>_xlfn.XLOOKUP(A250,'BG Stock Log'!C:C,'BG Stock Log'!H:H,,0,-1)</f>
        <v>1516</v>
      </c>
      <c r="H250" s="5"/>
      <c r="I250" s="1"/>
      <c r="J250" s="1">
        <v>4000</v>
      </c>
      <c r="K250" s="1">
        <f>SUMIFS('BG Stock Log'!G:G,'BG Stock Log'!C:C,'BG Dashboard'!A117,'BG Stock Log'!F:F,"ADD")</f>
        <v>3911</v>
      </c>
      <c r="L250" s="1">
        <f>_xlfn.XLOOKUP(A250,'New BG List'!A:A,'New BG List'!K:K,,0)</f>
        <v>15</v>
      </c>
      <c r="M250" s="1">
        <f>_xlfn.XLOOKUP(A250,'New BG List'!A:A,'New BG List'!J:J,0)</f>
        <v>4277</v>
      </c>
      <c r="N250" s="1"/>
      <c r="O250" s="1" t="str" cm="1">
        <f t="array" ref="O250">GetLastItem(AA250)</f>
        <v>LCSC</v>
      </c>
      <c r="P250" s="1" cm="1">
        <f t="array" ref="P250">IFERROR(INDEX(_xlfn._xlws.SORT(_xlfn._xlws.FILTER('BG Stock Log'!G:G, ('BG Stock Log'!C:C=A250) * ('BG Stock Log'!G:G&gt;0)), 1, -1), 1),"")</f>
        <v>4000</v>
      </c>
      <c r="Q250" s="1">
        <f>IFERROR(ROUND(AVERAGEIFS('BG Stock Log'!G:G,'BG Stock Log'!C:C,'BG Dashboard'!A117,'BG Stock Log'!F:F,"ADD"),0),"")</f>
        <v>1956</v>
      </c>
      <c r="R250" s="1" t="s">
        <v>511</v>
      </c>
      <c r="S250" s="1" t="s">
        <v>985</v>
      </c>
      <c r="T250" s="37">
        <v>3.5999999999999997E-2</v>
      </c>
      <c r="U250" s="37">
        <v>144</v>
      </c>
      <c r="V250" s="1" t="s">
        <v>652</v>
      </c>
      <c r="W250" s="37">
        <v>0.01</v>
      </c>
      <c r="X250" s="37">
        <v>40</v>
      </c>
      <c r="Y250" s="36">
        <f>IFERROR(SUMIFS('BG Stock Log'!L:L,'BG Stock Log'!C:C,'BG Dashboard'!A117)/SUMIFS('BG Stock Log'!G:G,'BG Stock Log'!C:C,'BG Dashboard'!A117,'BG Stock Log'!F:F,"ADD"),"")</f>
        <v>1.8793147532600359E-2</v>
      </c>
      <c r="Z250" s="36">
        <f t="shared" si="6"/>
        <v>54.575999999999993</v>
      </c>
      <c r="AA250" s="1" t="str" cm="1">
        <f t="array" ref="AA250">GetFilteredValues(A250)</f>
        <v>LCSC, LCSC, LCSC, LCSC, LCSC</v>
      </c>
    </row>
    <row r="251" spans="1:27" x14ac:dyDescent="0.25">
      <c r="A251" s="1" t="s">
        <v>59</v>
      </c>
      <c r="B251" s="1" t="s">
        <v>401</v>
      </c>
      <c r="C251" s="1" t="s">
        <v>732</v>
      </c>
      <c r="D251" s="8" t="s">
        <v>172</v>
      </c>
      <c r="E251" s="1" t="s">
        <v>106</v>
      </c>
      <c r="F251" s="1" t="s">
        <v>1364</v>
      </c>
      <c r="G251" s="5">
        <f>_xlfn.XLOOKUP(A251,'BG Stock Log'!C:C,'BG Stock Log'!H:H,,0,-1)</f>
        <v>2550</v>
      </c>
      <c r="H251" s="5"/>
      <c r="I251" s="1"/>
      <c r="J251" s="1">
        <v>4000</v>
      </c>
      <c r="K251" s="1">
        <f>SUMIFS('BG Stock Log'!G:G,'BG Stock Log'!C:C,'BG Dashboard'!A62,'BG Stock Log'!F:F,"ADD")</f>
        <v>0</v>
      </c>
      <c r="L251" s="1">
        <f>_xlfn.XLOOKUP(A251,'New BG List'!A:A,'New BG List'!K:K,,0)</f>
        <v>31</v>
      </c>
      <c r="M251" s="1">
        <f>_xlfn.XLOOKUP(A251,'New BG List'!A:A,'New BG List'!J:J,0)</f>
        <v>3662</v>
      </c>
      <c r="N251" s="1"/>
      <c r="O251" s="1" t="str" cm="1">
        <f t="array" ref="O251">GetLastItem(AA251)</f>
        <v/>
      </c>
      <c r="P251" s="1" t="str" cm="1">
        <f t="array" ref="P251">IFERROR(INDEX(_xlfn._xlws.SORT(_xlfn._xlws.FILTER('BG Stock Log'!G:G, ('BG Stock Log'!C:C=A251) * ('BG Stock Log'!G:G&gt;0)), 1, -1), 1),"")</f>
        <v/>
      </c>
      <c r="Q251" s="1" t="str">
        <f>IFERROR(ROUND(AVERAGEIFS('BG Stock Log'!G:G,'BG Stock Log'!C:C,'BG Dashboard'!A62,'BG Stock Log'!F:F,"ADD"),0),"")</f>
        <v/>
      </c>
      <c r="R251" s="1" t="s">
        <v>511</v>
      </c>
      <c r="S251" s="1" t="s">
        <v>995</v>
      </c>
      <c r="T251" s="37">
        <v>4.2999999999999997E-2</v>
      </c>
      <c r="U251" s="37">
        <v>172</v>
      </c>
      <c r="V251" s="1" t="s">
        <v>618</v>
      </c>
      <c r="W251" s="37">
        <v>1.0500000000000001E-2</v>
      </c>
      <c r="X251" s="37">
        <v>42</v>
      </c>
      <c r="Y251" s="36" t="str">
        <f>IFERROR(SUMIFS('BG Stock Log'!L:L,'BG Stock Log'!C:C,'BG Dashboard'!A62)/SUMIFS('BG Stock Log'!G:G,'BG Stock Log'!C:C,'BG Dashboard'!A62,'BG Stock Log'!F:F,"ADD"),"")</f>
        <v/>
      </c>
      <c r="Z251" s="36">
        <f t="shared" si="6"/>
        <v>109.64999999999999</v>
      </c>
      <c r="AA251" s="1" t="str" cm="1">
        <f t="array" ref="AA251">GetFilteredValues(A251)</f>
        <v/>
      </c>
    </row>
    <row r="252" spans="1:27" x14ac:dyDescent="0.25">
      <c r="A252" s="10" t="s">
        <v>454</v>
      </c>
      <c r="B252" s="1" t="s">
        <v>455</v>
      </c>
      <c r="C252" s="1" t="s">
        <v>838</v>
      </c>
      <c r="D252" s="8" t="s">
        <v>1150</v>
      </c>
      <c r="E252" s="1" t="s">
        <v>106</v>
      </c>
      <c r="F252" s="1" t="s">
        <v>1364</v>
      </c>
      <c r="G252" s="5">
        <f>_xlfn.XLOOKUP(A252,'BG Stock Log'!C:C,'BG Stock Log'!H:H,,0,-1)</f>
        <v>3782</v>
      </c>
      <c r="H252" s="5"/>
      <c r="I252" s="1"/>
      <c r="J252" s="1">
        <v>4000</v>
      </c>
      <c r="K252" s="1">
        <f>SUMIFS('BG Stock Log'!G:G,'BG Stock Log'!C:C,'BG Dashboard'!A146,'BG Stock Log'!F:F,"ADD")</f>
        <v>5972</v>
      </c>
      <c r="L252" s="1">
        <f>_xlfn.XLOOKUP(A252,'New BG List'!A:A,'New BG List'!K:K,,0)</f>
        <v>16</v>
      </c>
      <c r="M252" s="1">
        <f>_xlfn.XLOOKUP(A252,'New BG List'!A:A,'New BG List'!J:J,0)</f>
        <v>288</v>
      </c>
      <c r="N252" s="1"/>
      <c r="O252" s="1" t="str" cm="1">
        <f t="array" ref="O252">GetLastItem(AA252)</f>
        <v>Ling</v>
      </c>
      <c r="P252" s="1" cm="1">
        <f t="array" ref="P252">IFERROR(INDEX(_xlfn._xlws.SORT(_xlfn._xlws.FILTER('BG Stock Log'!G:G, ('BG Stock Log'!C:C=A252) * ('BG Stock Log'!G:G&gt;0)), 1, -1), 1),"")</f>
        <v>4000</v>
      </c>
      <c r="Q252" s="1">
        <f>IFERROR(ROUND(AVERAGEIFS('BG Stock Log'!G:G,'BG Stock Log'!C:C,'BG Dashboard'!A146,'BG Stock Log'!F:F,"ADD"),0),"")</f>
        <v>1991</v>
      </c>
      <c r="R252" s="1" t="s">
        <v>511</v>
      </c>
      <c r="S252" s="1" t="s">
        <v>1000</v>
      </c>
      <c r="T252" s="37">
        <v>5.1999999999999998E-2</v>
      </c>
      <c r="U252" s="37">
        <v>208</v>
      </c>
      <c r="V252" s="1" t="s">
        <v>651</v>
      </c>
      <c r="W252" s="37">
        <v>4.5199999999999997E-2</v>
      </c>
      <c r="X252" s="37">
        <v>180.79999999999998</v>
      </c>
      <c r="Y252" s="36">
        <f>IFERROR(SUMIFS('BG Stock Log'!L:L,'BG Stock Log'!C:C,'BG Dashboard'!A146)/SUMIFS('BG Stock Log'!G:G,'BG Stock Log'!C:C,'BG Dashboard'!A146,'BG Stock Log'!F:F,"ADD"),"")</f>
        <v>4.9999999999999996E-2</v>
      </c>
      <c r="Z252" s="36">
        <f t="shared" si="6"/>
        <v>196.66399999999999</v>
      </c>
      <c r="AA252" s="1" t="str" cm="1">
        <f t="array" ref="AA252">GetFilteredValues(A252)</f>
        <v>Ling</v>
      </c>
    </row>
    <row r="253" spans="1:27" x14ac:dyDescent="0.25">
      <c r="A253" s="1" t="s">
        <v>104</v>
      </c>
      <c r="B253" s="1" t="s">
        <v>410</v>
      </c>
      <c r="C253" s="1" t="s">
        <v>807</v>
      </c>
      <c r="D253" s="8" t="s">
        <v>225</v>
      </c>
      <c r="E253" s="1" t="s">
        <v>106</v>
      </c>
      <c r="F253" s="1" t="s">
        <v>1364</v>
      </c>
      <c r="G253" s="5">
        <f>_xlfn.XLOOKUP(A253,'BG Stock Log'!C:C,'BG Stock Log'!H:H,,0,-1)</f>
        <v>4176</v>
      </c>
      <c r="H253" s="5"/>
      <c r="I253" s="1"/>
      <c r="J253" s="1">
        <v>4000</v>
      </c>
      <c r="K253" s="1">
        <f>SUMIFS('BG Stock Log'!G:G,'BG Stock Log'!C:C,'BG Dashboard'!A107,'BG Stock Log'!F:F,"ADD")</f>
        <v>3000</v>
      </c>
      <c r="L253" s="1">
        <f>_xlfn.XLOOKUP(A253,'New BG List'!A:A,'New BG List'!K:K,,0)</f>
        <v>23</v>
      </c>
      <c r="M253" s="1">
        <f>_xlfn.XLOOKUP(A253,'New BG List'!A:A,'New BG List'!J:J,0)</f>
        <v>516</v>
      </c>
      <c r="N253" s="1"/>
      <c r="O253" s="1" t="str" cm="1">
        <f t="array" ref="O253">GetLastItem(AA253)</f>
        <v/>
      </c>
      <c r="P253" s="1" cm="1">
        <f t="array" ref="P253">IFERROR(INDEX(_xlfn._xlws.SORT(_xlfn._xlws.FILTER('BG Stock Log'!G:G, ('BG Stock Log'!C:C=A253) * ('BG Stock Log'!G:G&gt;0)), 1, -1), 1),"")</f>
        <v>1793</v>
      </c>
      <c r="Q253" s="1">
        <f>IFERROR(ROUND(AVERAGEIFS('BG Stock Log'!G:G,'BG Stock Log'!C:C,'BG Dashboard'!A107,'BG Stock Log'!F:F,"ADD"),0),"")</f>
        <v>3000</v>
      </c>
      <c r="R253" s="1" t="s">
        <v>511</v>
      </c>
      <c r="S253" s="1" t="s">
        <v>1003</v>
      </c>
      <c r="T253" s="37">
        <v>4.6559999999999997E-2</v>
      </c>
      <c r="U253" s="37">
        <v>186.23999999999998</v>
      </c>
      <c r="V253" s="1" t="s">
        <v>627</v>
      </c>
      <c r="W253" s="37">
        <v>1.5299999999999999E-2</v>
      </c>
      <c r="X253" s="37">
        <v>61.199999999999996</v>
      </c>
      <c r="Y253" s="36">
        <f>IFERROR(SUMIFS('BG Stock Log'!L:L,'BG Stock Log'!C:C,'BG Dashboard'!A107)/SUMIFS('BG Stock Log'!G:G,'BG Stock Log'!C:C,'BG Dashboard'!A107,'BG Stock Log'!F:F,"ADD"),"")</f>
        <v>2.4079999999999997E-2</v>
      </c>
      <c r="Z253" s="36">
        <f t="shared" si="6"/>
        <v>194.43455999999998</v>
      </c>
      <c r="AA253" s="1" t="str" cm="1">
        <f t="array" ref="AA253">GetFilteredValues(A253)</f>
        <v/>
      </c>
    </row>
    <row r="254" spans="1:27" x14ac:dyDescent="0.25">
      <c r="A254" s="10" t="s">
        <v>466</v>
      </c>
      <c r="B254" s="1" t="s">
        <v>467</v>
      </c>
      <c r="C254" s="1" t="s">
        <v>877</v>
      </c>
      <c r="D254" s="8" t="s">
        <v>1152</v>
      </c>
      <c r="E254" s="1" t="s">
        <v>159</v>
      </c>
      <c r="F254" s="1" t="s">
        <v>1364</v>
      </c>
      <c r="G254" s="5">
        <f>_xlfn.XLOOKUP(A254,'BG Stock Log'!C:C,'BG Stock Log'!H:H,,0,-1)</f>
        <v>3925</v>
      </c>
      <c r="H254" s="5"/>
      <c r="I254" s="1"/>
      <c r="J254" s="1">
        <v>4000</v>
      </c>
      <c r="K254" s="1">
        <f>SUMIFS('BG Stock Log'!G:G,'BG Stock Log'!C:C,'BG Dashboard'!A141,'BG Stock Log'!F:F,"ADD")</f>
        <v>0</v>
      </c>
      <c r="L254" s="1">
        <f>_xlfn.XLOOKUP(A254,'New BG List'!A:A,'New BG List'!K:K,,0)</f>
        <v>13</v>
      </c>
      <c r="M254" s="1">
        <f>_xlfn.XLOOKUP(A254,'New BG List'!A:A,'New BG List'!J:J,0)</f>
        <v>30</v>
      </c>
      <c r="N254" s="1"/>
      <c r="O254" s="1" t="str" cm="1">
        <f t="array" ref="O254">GetLastItem(AA254)</f>
        <v>LCSC</v>
      </c>
      <c r="P254" s="1" cm="1">
        <f t="array" ref="P254">IFERROR(INDEX(_xlfn._xlws.SORT(_xlfn._xlws.FILTER('BG Stock Log'!G:G, ('BG Stock Log'!C:C=A254) * ('BG Stock Log'!G:G&gt;0)), 1, -1), 1),"")</f>
        <v>4000</v>
      </c>
      <c r="Q254" s="1">
        <f>IFERROR(ROUND(AVERAGEIFS('BG Stock Log'!G:G,'BG Stock Log'!C:C,'BG Dashboard'!A141,'BG Stock Log'!F:F,"ADD"),0),"")</f>
        <v>0</v>
      </c>
      <c r="R254" s="1" t="s">
        <v>511</v>
      </c>
      <c r="S254" s="1" t="s">
        <v>1002</v>
      </c>
      <c r="T254" s="37">
        <v>0.19700000000000001</v>
      </c>
      <c r="U254" s="37">
        <v>788</v>
      </c>
      <c r="V254" s="1" t="s">
        <v>657</v>
      </c>
      <c r="W254" s="37">
        <v>4.7500000000000001E-2</v>
      </c>
      <c r="X254" s="37">
        <v>190</v>
      </c>
      <c r="Y254" s="36" t="str">
        <f>IFERROR(SUMIFS('BG Stock Log'!L:L,'BG Stock Log'!C:C,'BG Dashboard'!A141)/SUMIFS('BG Stock Log'!G:G,'BG Stock Log'!C:C,'BG Dashboard'!A141,'BG Stock Log'!F:F,"ADD"),"")</f>
        <v/>
      </c>
      <c r="Z254" s="36">
        <f t="shared" ref="Z254:Z259" si="7">IFERROR(T254*G254,"")</f>
        <v>773.22500000000002</v>
      </c>
      <c r="AA254" s="1" t="str" cm="1">
        <f t="array" ref="AA254">GetFilteredValues(A254)</f>
        <v>LCSC</v>
      </c>
    </row>
    <row r="255" spans="1:27" x14ac:dyDescent="0.25">
      <c r="A255" s="1" t="s">
        <v>428</v>
      </c>
      <c r="B255" s="1" t="s">
        <v>429</v>
      </c>
      <c r="C255" s="1" t="s">
        <v>720</v>
      </c>
      <c r="D255" s="8" t="s">
        <v>1178</v>
      </c>
      <c r="E255" s="1" t="s">
        <v>106</v>
      </c>
      <c r="F255" s="1" t="s">
        <v>1364</v>
      </c>
      <c r="G255" s="5">
        <f>_xlfn.XLOOKUP(A255,'BG Stock Log'!C:C,'BG Stock Log'!H:H,,0,-1)</f>
        <v>4029</v>
      </c>
      <c r="H255" s="5"/>
      <c r="I255" s="1"/>
      <c r="J255" s="1">
        <v>4000</v>
      </c>
      <c r="K255" s="1">
        <f>SUMIFS('BG Stock Log'!G:G,'BG Stock Log'!C:C,'BG Dashboard'!A119,'BG Stock Log'!F:F,"ADD")</f>
        <v>20557</v>
      </c>
      <c r="L255" s="1">
        <f>_xlfn.XLOOKUP(A255,'New BG List'!A:A,'New BG List'!K:K,,0)</f>
        <v>20</v>
      </c>
      <c r="M255" s="1">
        <f>_xlfn.XLOOKUP(A255,'New BG List'!A:A,'New BG List'!J:J,0)</f>
        <v>7402</v>
      </c>
      <c r="N255" s="1"/>
      <c r="O255" s="1" t="str" cm="1">
        <f t="array" ref="O255">GetLastItem(AA255)</f>
        <v>LCSC</v>
      </c>
      <c r="P255" s="1" cm="1">
        <f t="array" ref="P255">IFERROR(INDEX(_xlfn._xlws.SORT(_xlfn._xlws.FILTER('BG Stock Log'!G:G, ('BG Stock Log'!C:C=A255) * ('BG Stock Log'!G:G&gt;0)), 1, -1), 1),"")</f>
        <v>12000</v>
      </c>
      <c r="Q255" s="1">
        <f>IFERROR(ROUND(AVERAGEIFS('BG Stock Log'!G:G,'BG Stock Log'!C:C,'BG Dashboard'!A119,'BG Stock Log'!F:F,"ADD"),0),"")</f>
        <v>5139</v>
      </c>
      <c r="R255" s="1" t="s">
        <v>511</v>
      </c>
      <c r="S255" s="1" t="s">
        <v>996</v>
      </c>
      <c r="T255" s="37">
        <v>5.1999999999999998E-2</v>
      </c>
      <c r="U255" s="37">
        <v>208</v>
      </c>
      <c r="V255" s="1" t="s">
        <v>1431</v>
      </c>
      <c r="W255" s="37">
        <v>9.4999999999999998E-3</v>
      </c>
      <c r="X255" s="37">
        <v>38</v>
      </c>
      <c r="Y255" s="36">
        <f>IFERROR(SUMIFS('BG Stock Log'!L:L,'BG Stock Log'!C:C,'BG Dashboard'!A119)/SUMIFS('BG Stock Log'!G:G,'BG Stock Log'!C:C,'BG Dashboard'!A119,'BG Stock Log'!F:F,"ADD"),"")</f>
        <v>1.6429926545702193E-2</v>
      </c>
      <c r="Z255" s="36">
        <f t="shared" si="7"/>
        <v>209.50799999999998</v>
      </c>
      <c r="AA255" s="1" t="str" cm="1">
        <f t="array" ref="AA255">GetFilteredValues(A255)</f>
        <v>LCSC, LCSC, LCSC</v>
      </c>
    </row>
    <row r="256" spans="1:27" x14ac:dyDescent="0.25">
      <c r="A256" s="10" t="s">
        <v>412</v>
      </c>
      <c r="B256" s="1" t="s">
        <v>413</v>
      </c>
      <c r="C256" s="1" t="s">
        <v>774</v>
      </c>
      <c r="D256" s="8" t="s">
        <v>1149</v>
      </c>
      <c r="E256" s="1" t="s">
        <v>106</v>
      </c>
      <c r="F256" s="1" t="s">
        <v>1364</v>
      </c>
      <c r="G256" s="5">
        <f>_xlfn.XLOOKUP(A256,'BG Stock Log'!C:C,'BG Stock Log'!H:H,,0,-1)</f>
        <v>1357</v>
      </c>
      <c r="H256" s="5"/>
      <c r="I256" s="1"/>
      <c r="J256" s="1">
        <v>4000</v>
      </c>
      <c r="K256" s="1">
        <f>SUMIFS('BG Stock Log'!G:G,'BG Stock Log'!C:C,'BG Dashboard'!A152,'BG Stock Log'!F:F,"ADD")</f>
        <v>1900</v>
      </c>
      <c r="L256" s="1">
        <f>_xlfn.XLOOKUP(A256,'New BG List'!A:A,'New BG List'!K:K,,0)</f>
        <v>39</v>
      </c>
      <c r="M256" s="1">
        <f>_xlfn.XLOOKUP(A256,'New BG List'!A:A,'New BG List'!J:J,0)</f>
        <v>1283</v>
      </c>
      <c r="N256" s="1"/>
      <c r="O256" s="1" t="str" cm="1">
        <f t="array" ref="O256">GetLastItem(AA256)</f>
        <v>Ling</v>
      </c>
      <c r="P256" s="1" cm="1">
        <f t="array" ref="P256">IFERROR(INDEX(_xlfn._xlws.SORT(_xlfn._xlws.FILTER('BG Stock Log'!G:G, ('BG Stock Log'!C:C=A256) * ('BG Stock Log'!G:G&gt;0)), 1, -1), 1),"")</f>
        <v>4000</v>
      </c>
      <c r="Q256" s="1">
        <f>IFERROR(ROUND(AVERAGEIFS('BG Stock Log'!G:G,'BG Stock Log'!C:C,'BG Dashboard'!A152,'BG Stock Log'!F:F,"ADD"),0),"")</f>
        <v>950</v>
      </c>
      <c r="R256" s="1" t="s">
        <v>511</v>
      </c>
      <c r="S256" s="1" t="s">
        <v>998</v>
      </c>
      <c r="T256" s="37">
        <v>5.8999999999999997E-2</v>
      </c>
      <c r="U256" s="37">
        <v>236</v>
      </c>
      <c r="V256" s="1" t="s">
        <v>629</v>
      </c>
      <c r="W256" s="37">
        <v>1.7500000000000002E-2</v>
      </c>
      <c r="X256" s="37">
        <v>70</v>
      </c>
      <c r="Y256" s="36">
        <f>IFERROR(SUMIFS('BG Stock Log'!L:L,'BG Stock Log'!C:C,'BG Dashboard'!A152)/SUMIFS('BG Stock Log'!G:G,'BG Stock Log'!C:C,'BG Dashboard'!A152,'BG Stock Log'!F:F,"ADD"),"")</f>
        <v>0.93075263157894728</v>
      </c>
      <c r="Z256" s="36">
        <f t="shared" si="7"/>
        <v>80.063000000000002</v>
      </c>
      <c r="AA256" s="1" t="str" cm="1">
        <f t="array" ref="AA256">GetFilteredValues(A256)</f>
        <v>Ling</v>
      </c>
    </row>
    <row r="257" spans="1:27" x14ac:dyDescent="0.25">
      <c r="A257" s="1" t="s">
        <v>418</v>
      </c>
      <c r="B257" s="1" t="s">
        <v>419</v>
      </c>
      <c r="C257" s="1" t="s">
        <v>818</v>
      </c>
      <c r="D257" s="8" t="s">
        <v>1181</v>
      </c>
      <c r="E257" s="1" t="s">
        <v>132</v>
      </c>
      <c r="F257" s="1" t="s">
        <v>1364</v>
      </c>
      <c r="G257" s="5">
        <f>_xlfn.XLOOKUP(A257,'BG Stock Log'!C:C,'BG Stock Log'!H:H,,0,-1)</f>
        <v>381</v>
      </c>
      <c r="H257" s="5"/>
      <c r="I257" s="1"/>
      <c r="J257" s="1">
        <v>2000</v>
      </c>
      <c r="K257" s="1">
        <f>SUMIFS('BG Stock Log'!G:G,'BG Stock Log'!C:C,'BG Dashboard'!A128,'BG Stock Log'!F:F,"ADD")</f>
        <v>1985</v>
      </c>
      <c r="L257" s="1">
        <f>_xlfn.XLOOKUP(A257,'New BG List'!A:A,'New BG List'!K:K,,0)</f>
        <v>22</v>
      </c>
      <c r="M257" s="1">
        <f>_xlfn.XLOOKUP(A257,'New BG List'!A:A,'New BG List'!J:J,0)</f>
        <v>458</v>
      </c>
      <c r="N257" s="1"/>
      <c r="O257" s="1" t="str" cm="1">
        <f t="array" ref="O257">GetLastItem(AA257)</f>
        <v>LCSC</v>
      </c>
      <c r="P257" s="1" cm="1">
        <f t="array" ref="P257">IFERROR(INDEX(_xlfn._xlws.SORT(_xlfn._xlws.FILTER('BG Stock Log'!G:G, ('BG Stock Log'!C:C=A257) * ('BG Stock Log'!G:G&gt;0)), 1, -1), 1),"")</f>
        <v>4000</v>
      </c>
      <c r="Q257" s="1">
        <f>IFERROR(ROUND(AVERAGEIFS('BG Stock Log'!G:G,'BG Stock Log'!C:C,'BG Dashboard'!A128,'BG Stock Log'!F:F,"ADD"),0),"")</f>
        <v>1985</v>
      </c>
      <c r="R257" s="1" t="s">
        <v>511</v>
      </c>
      <c r="S257" s="1" t="s">
        <v>999</v>
      </c>
      <c r="T257" s="37">
        <v>0.249</v>
      </c>
      <c r="U257" s="37">
        <v>498</v>
      </c>
      <c r="V257" s="1" t="s">
        <v>1435</v>
      </c>
      <c r="W257" s="37">
        <v>1.2E-2</v>
      </c>
      <c r="X257" s="37">
        <v>24</v>
      </c>
      <c r="Y257" s="36">
        <f>IFERROR(SUMIFS('BG Stock Log'!L:L,'BG Stock Log'!C:C,'BG Dashboard'!A128)/SUMIFS('BG Stock Log'!G:G,'BG Stock Log'!C:C,'BG Dashboard'!A128,'BG Stock Log'!F:F,"ADD"),"")</f>
        <v>0</v>
      </c>
      <c r="Z257" s="36">
        <f t="shared" si="7"/>
        <v>94.869</v>
      </c>
      <c r="AA257" s="1" t="str" cm="1">
        <f t="array" ref="AA257">GetFilteredValues(A257)</f>
        <v>LCSC</v>
      </c>
    </row>
    <row r="258" spans="1:27" x14ac:dyDescent="0.25">
      <c r="A258" s="10" t="s">
        <v>470</v>
      </c>
      <c r="B258" s="1" t="s">
        <v>471</v>
      </c>
      <c r="C258" s="1" t="s">
        <v>847</v>
      </c>
      <c r="D258" s="8" t="s">
        <v>1151</v>
      </c>
      <c r="E258" s="1" t="s">
        <v>106</v>
      </c>
      <c r="F258" s="1" t="s">
        <v>1364</v>
      </c>
      <c r="G258" s="5">
        <f>_xlfn.XLOOKUP(A258,'BG Stock Log'!C:C,'BG Stock Log'!H:H,,0,-1)</f>
        <v>3670</v>
      </c>
      <c r="H258" s="5"/>
      <c r="I258" s="1"/>
      <c r="J258" s="1">
        <v>4000</v>
      </c>
      <c r="K258" s="1">
        <f>SUMIFS('BG Stock Log'!G:G,'BG Stock Log'!C:C,'BG Dashboard'!A153,'BG Stock Log'!F:F,"ADD")</f>
        <v>500</v>
      </c>
      <c r="L258" s="1">
        <f>_xlfn.XLOOKUP(A258,'New BG List'!A:A,'New BG List'!K:K,,0)</f>
        <v>13</v>
      </c>
      <c r="M258" s="1">
        <f>_xlfn.XLOOKUP(A258,'New BG List'!A:A,'New BG List'!J:J,0)</f>
        <v>207</v>
      </c>
      <c r="N258" s="1"/>
      <c r="O258" s="1" t="str" cm="1">
        <f t="array" ref="O258">GetLastItem(AA258)</f>
        <v>Ling</v>
      </c>
      <c r="P258" s="1" cm="1">
        <f t="array" ref="P258">IFERROR(INDEX(_xlfn._xlws.SORT(_xlfn._xlws.FILTER('BG Stock Log'!G:G, ('BG Stock Log'!C:C=A258) * ('BG Stock Log'!G:G&gt;0)), 1, -1), 1),"")</f>
        <v>4000</v>
      </c>
      <c r="Q258" s="1">
        <f>IFERROR(ROUND(AVERAGEIFS('BG Stock Log'!G:G,'BG Stock Log'!C:C,'BG Dashboard'!A153,'BG Stock Log'!F:F,"ADD"),0),"")</f>
        <v>500</v>
      </c>
      <c r="R258" s="1" t="s">
        <v>511</v>
      </c>
      <c r="S258" s="1" t="s">
        <v>1001</v>
      </c>
      <c r="T258" s="37">
        <v>5.2999999999999999E-2</v>
      </c>
      <c r="U258" s="37">
        <v>212</v>
      </c>
      <c r="V258" s="1" t="s">
        <v>659</v>
      </c>
      <c r="W258" s="37">
        <v>1.7299999999999999E-2</v>
      </c>
      <c r="X258" s="37">
        <v>69.2</v>
      </c>
      <c r="Y258" s="36">
        <f>IFERROR(SUMIFS('BG Stock Log'!L:L,'BG Stock Log'!C:C,'BG Dashboard'!A153)/SUMIFS('BG Stock Log'!G:G,'BG Stock Log'!C:C,'BG Dashboard'!A153,'BG Stock Log'!F:F,"ADD"),"")</f>
        <v>0</v>
      </c>
      <c r="Z258" s="36">
        <f t="shared" si="7"/>
        <v>194.51</v>
      </c>
      <c r="AA258" s="1" t="str" cm="1">
        <f t="array" ref="AA258">GetFilteredValues(A258)</f>
        <v>Ling</v>
      </c>
    </row>
    <row r="259" spans="1:27" x14ac:dyDescent="0.25">
      <c r="A259" s="1" t="s">
        <v>416</v>
      </c>
      <c r="B259" s="1" t="s">
        <v>417</v>
      </c>
      <c r="C259" s="1" t="s">
        <v>749</v>
      </c>
      <c r="D259" s="8" t="s">
        <v>1179</v>
      </c>
      <c r="E259" s="1" t="s">
        <v>106</v>
      </c>
      <c r="F259" s="1" t="s">
        <v>1364</v>
      </c>
      <c r="G259" s="5">
        <f>_xlfn.XLOOKUP(A259,'BG Stock Log'!C:C,'BG Stock Log'!H:H,,0,-1)</f>
        <v>114</v>
      </c>
      <c r="H259" s="5"/>
      <c r="I259" s="1"/>
      <c r="J259" s="1">
        <v>4000</v>
      </c>
      <c r="K259" s="1">
        <f>SUMIFS('BG Stock Log'!G:G,'BG Stock Log'!C:C,'BG Dashboard'!A131,'BG Stock Log'!F:F,"ADD")</f>
        <v>0</v>
      </c>
      <c r="L259" s="1">
        <f>_xlfn.XLOOKUP(A259,'New BG List'!A:A,'New BG List'!K:K,,0)</f>
        <v>23</v>
      </c>
      <c r="M259" s="1">
        <f>_xlfn.XLOOKUP(A259,'New BG List'!A:A,'New BG List'!J:J,0)</f>
        <v>2036</v>
      </c>
      <c r="N259" s="1"/>
      <c r="O259" s="1" t="str" cm="1">
        <f t="array" ref="O259">GetLastItem(AA259)</f>
        <v>LCSC</v>
      </c>
      <c r="P259" s="1" cm="1">
        <f t="array" ref="P259">IFERROR(INDEX(_xlfn._xlws.SORT(_xlfn._xlws.FILTER('BG Stock Log'!G:G, ('BG Stock Log'!C:C=A259) * ('BG Stock Log'!G:G&gt;0)), 1, -1), 1),"")</f>
        <v>4000</v>
      </c>
      <c r="Q259" s="1" t="str">
        <f>IFERROR(ROUND(AVERAGEIFS('BG Stock Log'!G:G,'BG Stock Log'!C:C,'BG Dashboard'!A131,'BG Stock Log'!F:F,"ADD"),0),"")</f>
        <v/>
      </c>
      <c r="R259" s="1" t="s">
        <v>511</v>
      </c>
      <c r="S259" s="1" t="s">
        <v>997</v>
      </c>
      <c r="T259" s="37">
        <v>6.6000000000000003E-2</v>
      </c>
      <c r="U259" s="37">
        <v>264</v>
      </c>
      <c r="V259" s="1" t="s">
        <v>631</v>
      </c>
      <c r="W259" s="37">
        <v>1.7100000000000001E-2</v>
      </c>
      <c r="X259" s="37">
        <v>68.400000000000006</v>
      </c>
      <c r="Y259" s="36" t="str">
        <f>IFERROR(SUMIFS('BG Stock Log'!L:L,'BG Stock Log'!C:C,'BG Dashboard'!A131)/SUMIFS('BG Stock Log'!G:G,'BG Stock Log'!C:C,'BG Dashboard'!A131,'BG Stock Log'!F:F,"ADD"),"")</f>
        <v/>
      </c>
      <c r="Z259" s="36">
        <f t="shared" si="7"/>
        <v>7.524</v>
      </c>
      <c r="AA259" s="1" t="str" cm="1">
        <f t="array" ref="AA259">GetFilteredValues(A259)</f>
        <v>LCSC</v>
      </c>
    </row>
    <row r="260" spans="1:27" x14ac:dyDescent="0.25">
      <c r="A260" s="1" t="s">
        <v>1742</v>
      </c>
      <c r="B260" s="1"/>
      <c r="C260" s="1" t="s">
        <v>1743</v>
      </c>
      <c r="D260" s="8"/>
      <c r="E260" s="1"/>
      <c r="F260" s="1" t="s">
        <v>1365</v>
      </c>
      <c r="G260" s="5">
        <f>_xlfn.XLOOKUP(A260,'BG Stock Log'!C:C,'BG Stock Log'!H:H,,0,-1)</f>
        <v>5</v>
      </c>
      <c r="H260" s="5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 t="str" cm="1">
        <f t="array" ref="AA260">GetFilteredValues(A260)</f>
        <v>Digikey1</v>
      </c>
    </row>
    <row r="261" spans="1:27" x14ac:dyDescent="0.25">
      <c r="A261" s="1" t="s">
        <v>1504</v>
      </c>
      <c r="B261" s="1"/>
      <c r="C261" s="1"/>
      <c r="D261" s="8"/>
      <c r="E261" s="1"/>
      <c r="F261" s="1" t="s">
        <v>1365</v>
      </c>
      <c r="G261" s="5">
        <f>_xlfn.XLOOKUP(A261,'BG Stock Log'!C:C,'BG Stock Log'!H:H,,0,-1)</f>
        <v>309</v>
      </c>
      <c r="H261" s="5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37"/>
      <c r="U261" s="37"/>
      <c r="V261" s="1"/>
      <c r="W261" s="37"/>
      <c r="X261" s="37"/>
      <c r="Y261" s="36"/>
      <c r="Z261" s="36"/>
      <c r="AA261" s="1" t="str" cm="1">
        <f t="array" ref="AA261">GetFilteredValues(A261)</f>
        <v>Quest</v>
      </c>
    </row>
    <row r="262" spans="1:27" x14ac:dyDescent="0.25">
      <c r="A262" s="1" t="s">
        <v>1746</v>
      </c>
      <c r="B262" s="1"/>
      <c r="C262" s="1" t="s">
        <v>1747</v>
      </c>
      <c r="D262" s="8"/>
      <c r="E262" s="1"/>
      <c r="F262" s="1" t="s">
        <v>1365</v>
      </c>
      <c r="G262" s="5">
        <f>_xlfn.XLOOKUP(A262,'BG Stock Log'!C:C,'BG Stock Log'!H:H,,0,-1)</f>
        <v>8</v>
      </c>
      <c r="H262" s="5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 t="str" cm="1">
        <f t="array" ref="AA262">GetFilteredValues(A262)</f>
        <v/>
      </c>
    </row>
    <row r="263" spans="1:27" x14ac:dyDescent="0.25">
      <c r="A263" s="1" t="s">
        <v>1748</v>
      </c>
      <c r="B263" s="1"/>
      <c r="C263" s="1" t="s">
        <v>1747</v>
      </c>
      <c r="D263" s="8"/>
      <c r="E263" s="1"/>
      <c r="F263" s="1" t="s">
        <v>1365</v>
      </c>
      <c r="G263" s="5">
        <f>_xlfn.XLOOKUP(A263,'BG Stock Log'!C:C,'BG Stock Log'!H:H,,0,-1)</f>
        <v>4</v>
      </c>
      <c r="H263" s="5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 t="str" cm="1">
        <f t="array" ref="AA263">GetFilteredValues(A263)</f>
        <v/>
      </c>
    </row>
    <row r="264" spans="1:27" x14ac:dyDescent="0.25">
      <c r="A264" s="1" t="s">
        <v>1483</v>
      </c>
      <c r="B264" s="1"/>
      <c r="C264" s="1" t="s">
        <v>1484</v>
      </c>
      <c r="D264" s="8" t="s">
        <v>1481</v>
      </c>
      <c r="E264" s="1" t="s">
        <v>1482</v>
      </c>
      <c r="F264" s="1" t="s">
        <v>1829</v>
      </c>
      <c r="G264" s="5">
        <f>_xlfn.XLOOKUP(A264,'BG Stock Log'!C:C,'BG Stock Log'!H:H,,0,-1)</f>
        <v>-29</v>
      </c>
      <c r="H264" s="5"/>
      <c r="I264" s="1"/>
      <c r="J264" s="1">
        <v>35</v>
      </c>
      <c r="K264" s="1">
        <f>SUMIFS('BG Stock Log'!G:G,'BG Stock Log'!C:C,'BG Dashboard'!A195,'BG Stock Log'!F:F,"ADD")</f>
        <v>5468</v>
      </c>
      <c r="L264" s="1"/>
      <c r="M264" s="1"/>
      <c r="N264" s="1"/>
      <c r="O264" s="1" t="str" cm="1">
        <f t="array" ref="O264">GetLastItem(AA264)</f>
        <v>Digikey</v>
      </c>
      <c r="P264" s="1" cm="1">
        <f t="array" ref="P264">IFERROR(INDEX(_xlfn._xlws.SORT(_xlfn._xlws.FILTER('BG Stock Log'!G:G, ('BG Stock Log'!C:C=A264) * ('BG Stock Log'!G:G&gt;0)), 1, -1), 1),"")</f>
        <v>110</v>
      </c>
      <c r="Q264" s="1">
        <f>IFERROR(ROUND(AVERAGEIFS('BG Stock Log'!G:G,'BG Stock Log'!C:C,'BG Dashboard'!A195,'BG Stock Log'!F:F,"ADD"),0),"")</f>
        <v>5468</v>
      </c>
      <c r="R264" s="1" t="s">
        <v>511</v>
      </c>
      <c r="S264" s="1" t="s">
        <v>1487</v>
      </c>
      <c r="T264" s="37"/>
      <c r="U264" s="37"/>
      <c r="V264" s="1"/>
      <c r="W264" s="37"/>
      <c r="X264" s="37"/>
      <c r="Y264" s="36">
        <f>IFERROR(SUMIFS('BG Stock Log'!L:L,'BG Stock Log'!C:C,'BG Dashboard'!A195)/SUMIFS('BG Stock Log'!G:G,'BG Stock Log'!C:C,'BG Dashboard'!A195,'BG Stock Log'!F:F,"ADD"),"")</f>
        <v>0</v>
      </c>
      <c r="Z264" s="36"/>
      <c r="AA264" s="1" t="str" cm="1">
        <f t="array" ref="AA264">GetFilteredValues(A264)</f>
        <v>HEILING, Quest, Quest, LANKA, Digikey</v>
      </c>
    </row>
    <row r="265" spans="1:27" x14ac:dyDescent="0.25">
      <c r="A265" s="1" t="s">
        <v>1772</v>
      </c>
      <c r="B265" s="1"/>
      <c r="C265" s="1"/>
      <c r="D265" s="8"/>
      <c r="E265" s="1"/>
      <c r="F265" s="1" t="s">
        <v>1365</v>
      </c>
      <c r="G265" s="5">
        <f>_xlfn.XLOOKUP(A265,'BG Stock Log'!C:C,'BG Stock Log'!H:H,,0,-1)</f>
        <v>27</v>
      </c>
      <c r="H265" s="5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 t="str" cm="1">
        <f t="array" ref="AA265">GetFilteredValues(A265)</f>
        <v>uTech</v>
      </c>
    </row>
    <row r="266" spans="1:27" x14ac:dyDescent="0.25">
      <c r="A266" s="1" t="s">
        <v>1492</v>
      </c>
      <c r="B266" s="1"/>
      <c r="C266" s="1" t="s">
        <v>1495</v>
      </c>
      <c r="D266" s="8" t="s">
        <v>1496</v>
      </c>
      <c r="E266" s="1" t="s">
        <v>1497</v>
      </c>
      <c r="F266" s="1" t="s">
        <v>1365</v>
      </c>
      <c r="G266" s="5">
        <f>_xlfn.XLOOKUP(A266,'BG Stock Log'!C:C,'BG Stock Log'!H:H,,0,-1)</f>
        <v>458</v>
      </c>
      <c r="H266" s="5"/>
      <c r="I266" s="1"/>
      <c r="J266" s="1"/>
      <c r="K266" s="1">
        <f>SUMIFS('BG Stock Log'!G:G,'BG Stock Log'!C:C,'BG Dashboard'!A196,'BG Stock Log'!F:F,"ADD")</f>
        <v>0</v>
      </c>
      <c r="L266" s="1"/>
      <c r="M266" s="1"/>
      <c r="N266" s="1"/>
      <c r="O266" s="1" t="str" cm="1">
        <f t="array" ref="O266">GetLastItem(AA266)</f>
        <v>BISCO</v>
      </c>
      <c r="P266" s="1" cm="1">
        <f t="array" ref="P266">IFERROR(INDEX(_xlfn._xlws.SORT(_xlfn._xlws.FILTER('BG Stock Log'!G:G, ('BG Stock Log'!C:C=A266) * ('BG Stock Log'!G:G&gt;0)), 1, -1), 1),"")</f>
        <v>500</v>
      </c>
      <c r="Q266" s="1" t="str">
        <f>IFERROR(ROUND(AVERAGEIFS('BG Stock Log'!G:G,'BG Stock Log'!C:C,'BG Dashboard'!A196,'BG Stock Log'!F:F,"ADD"),0),"")</f>
        <v/>
      </c>
      <c r="R266" s="1"/>
      <c r="S266" s="1"/>
      <c r="T266" s="37"/>
      <c r="U266" s="37"/>
      <c r="V266" s="1"/>
      <c r="W266" s="37"/>
      <c r="X266" s="37"/>
      <c r="Y266" s="36" t="str">
        <f>IFERROR(SUMIFS('BG Stock Log'!L:L,'BG Stock Log'!C:C,'BG Dashboard'!A196)/SUMIFS('BG Stock Log'!G:G,'BG Stock Log'!C:C,'BG Dashboard'!A196,'BG Stock Log'!F:F,"ADD"),"")</f>
        <v/>
      </c>
      <c r="Z266" s="36"/>
      <c r="AA266" s="1" t="str" cm="1">
        <f t="array" ref="AA266">GetFilteredValues(A266)</f>
        <v>BISCO</v>
      </c>
    </row>
    <row r="267" spans="1:27" x14ac:dyDescent="0.25">
      <c r="A267" s="1" t="s">
        <v>1761</v>
      </c>
      <c r="B267" s="1"/>
      <c r="C267" s="1"/>
      <c r="D267" s="8"/>
      <c r="E267" s="1"/>
      <c r="F267" s="1" t="s">
        <v>1365</v>
      </c>
      <c r="G267" s="5">
        <f>_xlfn.XLOOKUP(A267,'BG Stock Log'!C:C,'BG Stock Log'!H:H,,0,-1)</f>
        <v>-7</v>
      </c>
      <c r="H267" s="5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 t="str" cm="1">
        <f t="array" ref="AA267">GetFilteredValues(A267)</f>
        <v>Ling</v>
      </c>
    </row>
    <row r="268" spans="1:27" x14ac:dyDescent="0.25">
      <c r="A268" s="1" t="s">
        <v>1363</v>
      </c>
      <c r="B268" s="1"/>
      <c r="C268" s="1" t="s">
        <v>1402</v>
      </c>
      <c r="D268" s="8" t="s">
        <v>1403</v>
      </c>
      <c r="E268" s="1" t="s">
        <v>1404</v>
      </c>
      <c r="F268" s="1" t="s">
        <v>1365</v>
      </c>
      <c r="G268" s="5">
        <f>_xlfn.XLOOKUP(A268,'BG Stock Log'!C:C,'BG Stock Log'!H:H,,0,-1)</f>
        <v>123</v>
      </c>
      <c r="H268" s="5"/>
      <c r="I268" s="1"/>
      <c r="J268" s="1">
        <v>1</v>
      </c>
      <c r="K268" s="1">
        <f>SUMIFS('BG Stock Log'!G:G,'BG Stock Log'!C:C,'BG Dashboard'!A193,'BG Stock Log'!F:F,"ADD")</f>
        <v>5000</v>
      </c>
      <c r="L268" s="1"/>
      <c r="M268" s="1"/>
      <c r="N268" s="1"/>
      <c r="O268" s="1" t="str" cm="1">
        <f t="array" ref="O268">GetLastItem(AA268)</f>
        <v>eSonic</v>
      </c>
      <c r="P268" s="1" cm="1">
        <f t="array" ref="P268">IFERROR(INDEX(_xlfn._xlws.SORT(_xlfn._xlws.FILTER('BG Stock Log'!G:G, ('BG Stock Log'!C:C=A268) * ('BG Stock Log'!G:G&gt;0)), 1, -1), 1),"")</f>
        <v>600</v>
      </c>
      <c r="Q268" s="1">
        <f>IFERROR(ROUND(AVERAGEIFS('BG Stock Log'!G:G,'BG Stock Log'!C:C,'BG Dashboard'!A193,'BG Stock Log'!F:F,"ADD"),0),"")</f>
        <v>5000</v>
      </c>
      <c r="R268" s="1" t="s">
        <v>1316</v>
      </c>
      <c r="S268" s="1" t="s">
        <v>1456</v>
      </c>
      <c r="T268" s="37">
        <v>10.46</v>
      </c>
      <c r="U268" s="37">
        <v>10.46</v>
      </c>
      <c r="V268" s="1" t="s">
        <v>1442</v>
      </c>
      <c r="W268" s="37"/>
      <c r="X268" s="37"/>
      <c r="Y268" s="36">
        <f>IFERROR(SUMIFS('BG Stock Log'!L:L,'BG Stock Log'!C:C,'BG Dashboard'!A193)/SUMIFS('BG Stock Log'!G:G,'BG Stock Log'!C:C,'BG Dashboard'!A193,'BG Stock Log'!F:F,"ADD"),"")</f>
        <v>1.1199999999999999E-3</v>
      </c>
      <c r="Z268" s="36">
        <f>IFERROR(T268*G268,"")</f>
        <v>1286.5800000000002</v>
      </c>
      <c r="AA268" s="1" t="str" cm="1">
        <f t="array" ref="AA268">GetFilteredValues(A268)</f>
        <v>TTI, eSonic, eSonic</v>
      </c>
    </row>
    <row r="269" spans="1:27" x14ac:dyDescent="0.25">
      <c r="A269" s="29" t="s">
        <v>1351</v>
      </c>
      <c r="B269" s="1"/>
      <c r="C269" s="1" t="s">
        <v>1389</v>
      </c>
      <c r="D269" s="8">
        <v>1534630</v>
      </c>
      <c r="E269" s="1" t="s">
        <v>1390</v>
      </c>
      <c r="F269" s="1" t="s">
        <v>1365</v>
      </c>
      <c r="G269" s="5">
        <f>_xlfn.XLOOKUP(A269,'BG Stock Log'!C:C,'BG Stock Log'!H:H,,0,-1)</f>
        <v>59</v>
      </c>
      <c r="H269" s="5"/>
      <c r="I269" s="1"/>
      <c r="J269" s="1">
        <v>1</v>
      </c>
      <c r="K269" s="1">
        <f>SUMIFS('BG Stock Log'!G:G,'BG Stock Log'!C:C,'BG Dashboard'!A188,'BG Stock Log'!F:F,"ADD")</f>
        <v>5000</v>
      </c>
      <c r="L269" s="1"/>
      <c r="M269" s="1"/>
      <c r="N269" s="1"/>
      <c r="O269" s="1" t="str" cm="1">
        <f t="array" ref="O269">GetLastItem(AA269)</f>
        <v>eSonic</v>
      </c>
      <c r="P269" s="1" cm="1">
        <f t="array" ref="P269">IFERROR(INDEX(_xlfn._xlws.SORT(_xlfn._xlws.FILTER('BG Stock Log'!G:G, ('BG Stock Log'!C:C=A269) * ('BG Stock Log'!G:G&gt;0)), 1, -1), 1),"")</f>
        <v>200</v>
      </c>
      <c r="Q269" s="1">
        <f>IFERROR(ROUND(AVERAGEIFS('BG Stock Log'!G:G,'BG Stock Log'!C:C,'BG Dashboard'!A188,'BG Stock Log'!F:F,"ADD"),0),"")</f>
        <v>2500</v>
      </c>
      <c r="R269" s="1" t="s">
        <v>511</v>
      </c>
      <c r="S269" s="1" t="s">
        <v>1448</v>
      </c>
      <c r="T269" s="37">
        <v>38.770000000000003</v>
      </c>
      <c r="U269" s="37">
        <v>38.770000000000003</v>
      </c>
      <c r="V269" s="1" t="s">
        <v>1442</v>
      </c>
      <c r="W269" s="37"/>
      <c r="X269" s="37"/>
      <c r="Y269" s="36">
        <f>IFERROR(SUMIFS('BG Stock Log'!L:L,'BG Stock Log'!C:C,'BG Dashboard'!A188)/SUMIFS('BG Stock Log'!G:G,'BG Stock Log'!C:C,'BG Dashboard'!A188,'BG Stock Log'!F:F,"ADD"),"")</f>
        <v>9.7999999999999997E-4</v>
      </c>
      <c r="Z269" s="36">
        <f>IFERROR(T269*G269,"")</f>
        <v>2287.4300000000003</v>
      </c>
      <c r="AA269" s="1" t="str" cm="1">
        <f t="array" ref="AA269">GetFilteredValues(A269)</f>
        <v>eSonic, eSonic, eSonic, eSonic, eSonic</v>
      </c>
    </row>
    <row r="270" spans="1:27" x14ac:dyDescent="0.25">
      <c r="A270" s="1" t="s">
        <v>1769</v>
      </c>
      <c r="B270" s="1"/>
      <c r="C270" s="1"/>
      <c r="D270" s="8"/>
      <c r="E270" s="1"/>
      <c r="F270" s="1" t="s">
        <v>1365</v>
      </c>
      <c r="G270" s="5">
        <f>_xlfn.XLOOKUP(A270,'BG Stock Log'!C:C,'BG Stock Log'!H:H,,0,-1)</f>
        <v>12</v>
      </c>
      <c r="H270" s="5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 t="str" cm="1">
        <f t="array" ref="AA270">GetFilteredValues(A270)</f>
        <v>Mouser2</v>
      </c>
    </row>
    <row r="271" spans="1:27" x14ac:dyDescent="0.25">
      <c r="A271" s="1" t="s">
        <v>1766</v>
      </c>
      <c r="B271" s="1"/>
      <c r="C271" s="1"/>
      <c r="D271" s="8"/>
      <c r="E271" s="1"/>
      <c r="F271" s="1" t="s">
        <v>1365</v>
      </c>
      <c r="G271" s="5">
        <f>_xlfn.XLOOKUP(A271,'BG Stock Log'!C:C,'BG Stock Log'!H:H,,0,-1)</f>
        <v>12</v>
      </c>
      <c r="H271" s="5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 t="str" cm="1">
        <f t="array" ref="AA271">GetFilteredValues(A271)</f>
        <v>Shortec</v>
      </c>
    </row>
    <row r="272" spans="1:27" x14ac:dyDescent="0.25">
      <c r="A272" s="1" t="s">
        <v>1768</v>
      </c>
      <c r="B272" s="1"/>
      <c r="C272" s="1"/>
      <c r="D272" s="8"/>
      <c r="E272" s="1"/>
      <c r="F272" s="1" t="s">
        <v>1365</v>
      </c>
      <c r="G272" s="5">
        <f>_xlfn.XLOOKUP(A272,'BG Stock Log'!C:C,'BG Stock Log'!H:H,,0,-1)</f>
        <v>12</v>
      </c>
      <c r="H272" s="5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 t="str" cm="1">
        <f t="array" ref="AA272">GetFilteredValues(A272)</f>
        <v>Shortec</v>
      </c>
    </row>
    <row r="273" spans="1:27" x14ac:dyDescent="0.25">
      <c r="A273" s="1" t="s">
        <v>1799</v>
      </c>
      <c r="B273" s="1"/>
      <c r="C273" s="1"/>
      <c r="D273" s="8"/>
      <c r="E273" s="1"/>
      <c r="F273" s="1" t="s">
        <v>1365</v>
      </c>
      <c r="G273" s="5">
        <f>_xlfn.XLOOKUP(A273,'BG Stock Log'!C:C,'BG Stock Log'!H:H,,0,-1)</f>
        <v>1890</v>
      </c>
      <c r="H273" s="5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 t="str" cm="1">
        <f t="array" ref="AA273">GetFilteredValues(A273)</f>
        <v>eSonic</v>
      </c>
    </row>
    <row r="274" spans="1:27" x14ac:dyDescent="0.25">
      <c r="A274" s="1" t="s">
        <v>1756</v>
      </c>
      <c r="B274" s="1"/>
      <c r="C274" s="1"/>
      <c r="D274" s="8"/>
      <c r="E274" s="1"/>
      <c r="F274" s="1" t="s">
        <v>1365</v>
      </c>
      <c r="G274" s="5">
        <f>_xlfn.XLOOKUP(A274,'BG Stock Log'!C:C,'BG Stock Log'!H:H,,0,-1)</f>
        <v>80</v>
      </c>
      <c r="H274" s="5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 t="str" cm="1">
        <f t="array" ref="AA274">GetFilteredValues(A274)</f>
        <v>Digikey</v>
      </c>
    </row>
    <row r="275" spans="1:27" x14ac:dyDescent="0.25">
      <c r="A275" s="1" t="s">
        <v>1775</v>
      </c>
      <c r="B275" s="1"/>
      <c r="C275" s="1"/>
      <c r="D275" s="8"/>
      <c r="E275" s="1"/>
      <c r="F275" s="1" t="s">
        <v>1365</v>
      </c>
      <c r="G275" s="5">
        <f>_xlfn.XLOOKUP(A275,'BG Stock Log'!C:C,'BG Stock Log'!H:H,,0,-1)</f>
        <v>4500</v>
      </c>
      <c r="H275" s="5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 t="str" cm="1">
        <f t="array" ref="AA275">GetFilteredValues(A275)</f>
        <v>Avnet, Digikey</v>
      </c>
    </row>
    <row r="276" spans="1:27" x14ac:dyDescent="0.25">
      <c r="A276" s="1" t="s">
        <v>1754</v>
      </c>
      <c r="B276" s="1"/>
      <c r="C276" s="1"/>
      <c r="D276" s="8"/>
      <c r="E276" s="1"/>
      <c r="F276" s="1" t="s">
        <v>1365</v>
      </c>
      <c r="G276" s="5">
        <f>_xlfn.XLOOKUP(A276,'BG Stock Log'!C:C,'BG Stock Log'!H:H,,0,-1)</f>
        <v>145</v>
      </c>
      <c r="H276" s="5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 t="str" cm="1">
        <f t="array" ref="AA276">GetFilteredValues(A276)</f>
        <v>Digikey1</v>
      </c>
    </row>
    <row r="277" spans="1:27" x14ac:dyDescent="0.25">
      <c r="A277" s="1" t="s">
        <v>1753</v>
      </c>
      <c r="B277" s="1"/>
      <c r="C277" s="1"/>
      <c r="D277" s="8"/>
      <c r="E277" s="1"/>
      <c r="F277" s="1" t="s">
        <v>1365</v>
      </c>
      <c r="G277" s="5">
        <f>_xlfn.XLOOKUP(A277,'BG Stock Log'!C:C,'BG Stock Log'!H:H,,0,-1)</f>
        <v>175</v>
      </c>
      <c r="H277" s="5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 t="str" cm="1">
        <f t="array" ref="AA277">GetFilteredValues(A277)</f>
        <v>Digikey</v>
      </c>
    </row>
    <row r="278" spans="1:27" x14ac:dyDescent="0.25">
      <c r="A278" s="1" t="s">
        <v>1500</v>
      </c>
      <c r="B278" s="1"/>
      <c r="C278" s="1"/>
      <c r="D278" s="8"/>
      <c r="E278" s="1"/>
      <c r="F278" s="1" t="s">
        <v>1365</v>
      </c>
      <c r="G278" s="5">
        <f>_xlfn.XLOOKUP(A278,'BG Stock Log'!C:C,'BG Stock Log'!H:H,,0,-1)</f>
        <v>96</v>
      </c>
      <c r="H278" s="5"/>
      <c r="I278" s="1"/>
      <c r="J278" s="1"/>
      <c r="K278" s="1">
        <f>SUMIFS('BG Stock Log'!G:G,'BG Stock Log'!C:C,'BG Dashboard'!A197,'BG Stock Log'!F:F,"ADD")</f>
        <v>0</v>
      </c>
      <c r="L278" s="1"/>
      <c r="M278" s="1"/>
      <c r="N278" s="1"/>
      <c r="O278" s="1" t="str" cm="1">
        <f t="array" ref="O278">GetLastItem(AA278)</f>
        <v>Spaenaur</v>
      </c>
      <c r="P278" s="1" cm="1">
        <f t="array" ref="P278">IFERROR(INDEX(_xlfn._xlws.SORT(_xlfn._xlws.FILTER('BG Stock Log'!G:G, ('BG Stock Log'!C:C=A278) * ('BG Stock Log'!G:G&gt;0)), 1, -1), 1),"")</f>
        <v>100</v>
      </c>
      <c r="Q278" s="1" t="str">
        <f>IFERROR(ROUND(AVERAGEIFS('BG Stock Log'!G:G,'BG Stock Log'!C:C,'BG Dashboard'!A197,'BG Stock Log'!F:F,"ADD"),0),"")</f>
        <v/>
      </c>
      <c r="R278" s="1"/>
      <c r="S278" s="1"/>
      <c r="T278" s="37"/>
      <c r="U278" s="37"/>
      <c r="V278" s="1"/>
      <c r="W278" s="37"/>
      <c r="X278" s="37"/>
      <c r="Y278" s="36" t="str">
        <f>IFERROR(SUMIFS('BG Stock Log'!L:L,'BG Stock Log'!C:C,'BG Dashboard'!A197)/SUMIFS('BG Stock Log'!G:G,'BG Stock Log'!C:C,'BG Dashboard'!A197,'BG Stock Log'!F:F,"ADD"),"")</f>
        <v/>
      </c>
      <c r="Z278" s="36"/>
      <c r="AA278" s="1" t="str" cm="1">
        <f t="array" ref="AA278">GetFilteredValues(A278)</f>
        <v>Spaenaur</v>
      </c>
    </row>
    <row r="279" spans="1:27" x14ac:dyDescent="0.25">
      <c r="A279" s="1" t="s">
        <v>1781</v>
      </c>
      <c r="B279" s="1"/>
      <c r="C279" s="1"/>
      <c r="D279" s="8"/>
      <c r="E279" s="1"/>
      <c r="F279" s="1" t="s">
        <v>1365</v>
      </c>
      <c r="G279" s="5">
        <f>_xlfn.XLOOKUP(A279,'BG Stock Log'!C:C,'BG Stock Log'!H:H,,0,-1)</f>
        <v>114</v>
      </c>
      <c r="H279" s="5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 t="str" cm="1">
        <f t="array" ref="AA279">GetFilteredValues(A279)</f>
        <v>Corestaff</v>
      </c>
    </row>
    <row r="280" spans="1:27" x14ac:dyDescent="0.25">
      <c r="A280" s="1" t="s">
        <v>1353</v>
      </c>
      <c r="B280" s="1"/>
      <c r="C280" s="1" t="s">
        <v>1395</v>
      </c>
      <c r="D280" s="8" t="s">
        <v>1394</v>
      </c>
      <c r="E280" s="1" t="s">
        <v>1393</v>
      </c>
      <c r="F280" s="1" t="s">
        <v>1365</v>
      </c>
      <c r="G280" s="5">
        <f>_xlfn.XLOOKUP(A280,'BG Stock Log'!C:C,'BG Stock Log'!H:H,,0,-1)</f>
        <v>422</v>
      </c>
      <c r="H280" s="5"/>
      <c r="I280" s="1"/>
      <c r="J280" s="1">
        <v>2000</v>
      </c>
      <c r="K280" s="1">
        <f>SUMIFS('BG Stock Log'!G:G,'BG Stock Log'!C:C,'BG Dashboard'!A190,'BG Stock Log'!F:F,"ADD")</f>
        <v>26525</v>
      </c>
      <c r="L280" s="1"/>
      <c r="M280" s="1"/>
      <c r="N280" s="1"/>
      <c r="O280" s="1" t="str" cm="1">
        <f t="array" ref="O280">GetLastItem(AA280)</f>
        <v>zzLing</v>
      </c>
      <c r="P280" s="1" cm="1">
        <f t="array" ref="P280">IFERROR(INDEX(_xlfn._xlws.SORT(_xlfn._xlws.FILTER('BG Stock Log'!G:G, ('BG Stock Log'!C:C=A280) * ('BG Stock Log'!G:G&gt;0)), 1, -1), 1),"")</f>
        <v>6000</v>
      </c>
      <c r="Q280" s="1">
        <f>IFERROR(ROUND(AVERAGEIFS('BG Stock Log'!G:G,'BG Stock Log'!C:C,'BG Dashboard'!A190,'BG Stock Log'!F:F,"ADD"),0),"")</f>
        <v>8842</v>
      </c>
      <c r="R280" s="1" t="s">
        <v>511</v>
      </c>
      <c r="S280" s="1" t="s">
        <v>1451</v>
      </c>
      <c r="T280" s="37">
        <v>0.94099999999999995</v>
      </c>
      <c r="U280" s="37">
        <v>1882</v>
      </c>
      <c r="V280" s="1" t="s">
        <v>1452</v>
      </c>
      <c r="W280" s="37">
        <v>0.63100000000000001</v>
      </c>
      <c r="X280" s="37">
        <v>1262</v>
      </c>
      <c r="Y280" s="36">
        <f>IFERROR(SUMIFS('BG Stock Log'!L:L,'BG Stock Log'!C:C,'BG Dashboard'!A190)/SUMIFS('BG Stock Log'!G:G,'BG Stock Log'!C:C,'BG Dashboard'!A190,'BG Stock Log'!F:F,"ADD"),"")</f>
        <v>8.9726672950047118E-4</v>
      </c>
      <c r="Z280" s="36">
        <f>IFERROR(T280*G280,"")</f>
        <v>397.10199999999998</v>
      </c>
      <c r="AA280" s="1" t="str" cm="1">
        <f t="array" ref="AA280">GetFilteredValues(A280)</f>
        <v>Ling, Ling, Ling, Ling, zzLing</v>
      </c>
    </row>
    <row r="281" spans="1:27" x14ac:dyDescent="0.25">
      <c r="A281" s="1" t="s">
        <v>1352</v>
      </c>
      <c r="B281" s="1"/>
      <c r="C281" s="1" t="s">
        <v>1391</v>
      </c>
      <c r="D281" s="8" t="s">
        <v>1392</v>
      </c>
      <c r="E281" s="1" t="s">
        <v>1393</v>
      </c>
      <c r="F281" s="1" t="s">
        <v>1365</v>
      </c>
      <c r="G281" s="5">
        <f>_xlfn.XLOOKUP(A281,'BG Stock Log'!C:C,'BG Stock Log'!H:H,,0,-1)</f>
        <v>1624</v>
      </c>
      <c r="H281" s="5"/>
      <c r="I281" s="1"/>
      <c r="J281" s="1">
        <v>2500</v>
      </c>
      <c r="K281" s="1">
        <f>SUMIFS('BG Stock Log'!G:G,'BG Stock Log'!C:C,'BG Dashboard'!A189,'BG Stock Log'!F:F,"ADD")</f>
        <v>0</v>
      </c>
      <c r="L281" s="1"/>
      <c r="M281" s="1"/>
      <c r="N281" s="1"/>
      <c r="O281" s="1" t="str" cm="1">
        <f t="array" ref="O281">GetLastItem(AA281)</f>
        <v>LCSC</v>
      </c>
      <c r="P281" s="1" cm="1">
        <f t="array" ref="P281">IFERROR(INDEX(_xlfn._xlws.SORT(_xlfn._xlws.FILTER('BG Stock Log'!G:G, ('BG Stock Log'!C:C=A281) * ('BG Stock Log'!G:G&gt;0)), 1, -1), 1),"")</f>
        <v>2500</v>
      </c>
      <c r="Q281" s="1" t="str">
        <f>IFERROR(ROUND(AVERAGEIFS('BG Stock Log'!G:G,'BG Stock Log'!C:C,'BG Dashboard'!A189,'BG Stock Log'!F:F,"ADD"),0),"")</f>
        <v/>
      </c>
      <c r="R281" s="1" t="s">
        <v>511</v>
      </c>
      <c r="S281" s="1" t="s">
        <v>1449</v>
      </c>
      <c r="T281" s="37">
        <v>0.26600000000000001</v>
      </c>
      <c r="U281" s="37">
        <v>665</v>
      </c>
      <c r="V281" s="1" t="s">
        <v>1450</v>
      </c>
      <c r="W281" s="37">
        <v>7.8299999999999995E-2</v>
      </c>
      <c r="X281" s="37">
        <v>195.75</v>
      </c>
      <c r="Y281" s="36" t="str">
        <f>IFERROR(SUMIFS('BG Stock Log'!L:L,'BG Stock Log'!C:C,'BG Dashboard'!A189)/SUMIFS('BG Stock Log'!G:G,'BG Stock Log'!C:C,'BG Dashboard'!A189,'BG Stock Log'!F:F,"ADD"),"")</f>
        <v/>
      </c>
      <c r="Z281" s="36">
        <f>IFERROR(T281*G281,"")</f>
        <v>431.98400000000004</v>
      </c>
      <c r="AA281" s="1" t="str" cm="1">
        <f t="array" ref="AA281">GetFilteredValues(A281)</f>
        <v>Ling, Ling, LCSC</v>
      </c>
    </row>
    <row r="282" spans="1:27" x14ac:dyDescent="0.25">
      <c r="A282" s="1" t="s">
        <v>1750</v>
      </c>
      <c r="B282" s="1"/>
      <c r="C282" s="1"/>
      <c r="D282" s="8"/>
      <c r="E282" s="1"/>
      <c r="F282" s="1" t="s">
        <v>1365</v>
      </c>
      <c r="G282" s="5">
        <f>_xlfn.XLOOKUP(A282,'BG Stock Log'!C:C,'BG Stock Log'!H:H,,0,-1)</f>
        <v>879</v>
      </c>
      <c r="H282" s="5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 t="str" cm="1">
        <f t="array" ref="AA282">GetFilteredValues(A282)</f>
        <v>TTI, TTI</v>
      </c>
    </row>
    <row r="283" spans="1:27" x14ac:dyDescent="0.25">
      <c r="A283" s="1" t="s">
        <v>1472</v>
      </c>
      <c r="B283" s="1"/>
      <c r="C283" s="1" t="s">
        <v>1473</v>
      </c>
      <c r="D283" s="8" t="s">
        <v>1474</v>
      </c>
      <c r="E283" s="1" t="s">
        <v>1475</v>
      </c>
      <c r="F283" s="1" t="s">
        <v>1365</v>
      </c>
      <c r="G283" s="5">
        <f>_xlfn.XLOOKUP(A283,'BG Stock Log'!C:C,'BG Stock Log'!H:H,,0,-1)</f>
        <v>8</v>
      </c>
      <c r="H283" s="5"/>
      <c r="I283" s="1"/>
      <c r="J283" s="1">
        <v>15</v>
      </c>
      <c r="K283" s="1">
        <f>SUMIFS('BG Stock Log'!G:G,'BG Stock Log'!C:C,'BG Dashboard'!A194,'BG Stock Log'!F:F,"ADD")</f>
        <v>5000</v>
      </c>
      <c r="L283" s="1"/>
      <c r="M283" s="1"/>
      <c r="N283" s="1"/>
      <c r="O283" s="1" t="str" cm="1">
        <f t="array" ref="O283">GetLastItem(AA283)</f>
        <v>Mouser</v>
      </c>
      <c r="P283" s="1" cm="1">
        <f t="array" ref="P283">IFERROR(INDEX(_xlfn._xlws.SORT(_xlfn._xlws.FILTER('BG Stock Log'!G:G, ('BG Stock Log'!C:C=A283) * ('BG Stock Log'!G:G&gt;0)), 1, -1), 1),"")</f>
        <v>30</v>
      </c>
      <c r="Q283" s="1">
        <f>IFERROR(ROUND(AVERAGEIFS('BG Stock Log'!G:G,'BG Stock Log'!C:C,'BG Dashboard'!A194,'BG Stock Log'!F:F,"ADD"),0),"")</f>
        <v>5000</v>
      </c>
      <c r="R283" s="1" t="s">
        <v>1316</v>
      </c>
      <c r="S283" s="1" t="s">
        <v>1476</v>
      </c>
      <c r="T283" s="37"/>
      <c r="U283" s="37"/>
      <c r="V283" s="1"/>
      <c r="W283" s="37"/>
      <c r="X283" s="37"/>
      <c r="Y283" s="36">
        <f>IFERROR(SUMIFS('BG Stock Log'!L:L,'BG Stock Log'!C:C,'BG Dashboard'!A194)/SUMIFS('BG Stock Log'!G:G,'BG Stock Log'!C:C,'BG Dashboard'!A194,'BG Stock Log'!F:F,"ADD"),"")</f>
        <v>1.1199999999999999E-3</v>
      </c>
      <c r="Z283" s="36"/>
      <c r="AA283" s="1" t="str" cm="1">
        <f t="array" ref="AA283">GetFilteredValues(A283)</f>
        <v>Mouser</v>
      </c>
    </row>
    <row r="284" spans="1:27" x14ac:dyDescent="0.25">
      <c r="A284" s="1" t="s">
        <v>1760</v>
      </c>
      <c r="B284" s="1"/>
      <c r="C284" s="1"/>
      <c r="D284" s="8"/>
      <c r="E284" s="1"/>
      <c r="F284" s="1" t="s">
        <v>1365</v>
      </c>
      <c r="G284" s="5">
        <f>_xlfn.XLOOKUP(A284,'BG Stock Log'!C:C,'BG Stock Log'!H:H,,0,-1)</f>
        <v>40</v>
      </c>
      <c r="H284" s="5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 t="str" cm="1">
        <f t="array" ref="AA284">GetFilteredValues(A284)</f>
        <v>Digikey</v>
      </c>
    </row>
    <row r="285" spans="1:27" x14ac:dyDescent="0.25">
      <c r="A285" s="1" t="s">
        <v>1758</v>
      </c>
      <c r="B285" s="1"/>
      <c r="C285" s="1"/>
      <c r="D285" s="8"/>
      <c r="E285" s="1"/>
      <c r="F285" s="1" t="s">
        <v>1365</v>
      </c>
      <c r="G285" s="5">
        <f>_xlfn.XLOOKUP(A285,'BG Stock Log'!C:C,'BG Stock Log'!H:H,,0,-1)</f>
        <v>280</v>
      </c>
      <c r="H285" s="5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 t="str" cm="1">
        <f t="array" ref="AA285">GetFilteredValues(A285)</f>
        <v>Digikey</v>
      </c>
    </row>
    <row r="286" spans="1:27" x14ac:dyDescent="0.25">
      <c r="A286" s="1" t="s">
        <v>1355</v>
      </c>
      <c r="B286" s="1"/>
      <c r="C286" s="1" t="s">
        <v>1399</v>
      </c>
      <c r="D286" s="8" t="s">
        <v>1400</v>
      </c>
      <c r="E286" s="1" t="s">
        <v>1401</v>
      </c>
      <c r="F286" s="1" t="s">
        <v>1365</v>
      </c>
      <c r="G286" s="5">
        <f>_xlfn.XLOOKUP(A286,'BG Stock Log'!C:C,'BG Stock Log'!H:H,,0,-1)</f>
        <v>58</v>
      </c>
      <c r="H286" s="5"/>
      <c r="I286" s="1"/>
      <c r="J286" s="1">
        <v>800</v>
      </c>
      <c r="K286" s="1">
        <f>SUMIFS('BG Stock Log'!G:G,'BG Stock Log'!C:C,'BG Dashboard'!A192,'BG Stock Log'!F:F,"ADD")</f>
        <v>0</v>
      </c>
      <c r="L286" s="1"/>
      <c r="M286" s="1"/>
      <c r="N286" s="1"/>
      <c r="O286" s="1" t="str" cm="1">
        <f t="array" ref="O286">GetLastItem(AA286)</f>
        <v/>
      </c>
      <c r="P286" s="1" t="str" cm="1">
        <f t="array" ref="P286">IFERROR(INDEX(_xlfn._xlws.SORT(_xlfn._xlws.FILTER('BG Stock Log'!G:G, ('BG Stock Log'!C:C=A286) * ('BG Stock Log'!G:G&gt;0)), 1, -1), 1),"")</f>
        <v/>
      </c>
      <c r="Q286" s="1">
        <f>IFERROR(ROUND(AVERAGEIFS('BG Stock Log'!G:G,'BG Stock Log'!C:C,'BG Dashboard'!A192,'BG Stock Log'!F:F,"ADD"),0),"")</f>
        <v>0</v>
      </c>
      <c r="R286" s="1" t="s">
        <v>1316</v>
      </c>
      <c r="S286" s="1" t="s">
        <v>1455</v>
      </c>
      <c r="T286" s="37">
        <v>1.88</v>
      </c>
      <c r="U286" s="37">
        <v>1504</v>
      </c>
      <c r="V286" s="1"/>
      <c r="W286" s="37"/>
      <c r="X286" s="37"/>
      <c r="Y286" s="36" t="str">
        <f>IFERROR(SUMIFS('BG Stock Log'!L:L,'BG Stock Log'!C:C,'BG Dashboard'!A192)/SUMIFS('BG Stock Log'!G:G,'BG Stock Log'!C:C,'BG Dashboard'!A192,'BG Stock Log'!F:F,"ADD"),"")</f>
        <v/>
      </c>
      <c r="Z286" s="36">
        <f>IFERROR(T286*G286,"")</f>
        <v>109.03999999999999</v>
      </c>
      <c r="AA286" s="1" t="str" cm="1">
        <f t="array" ref="AA286">GetFilteredValues(A286)</f>
        <v/>
      </c>
    </row>
    <row r="287" spans="1:27" x14ac:dyDescent="0.25">
      <c r="A287" s="1" t="s">
        <v>1757</v>
      </c>
      <c r="B287" s="1"/>
      <c r="C287" s="1"/>
      <c r="D287" s="8"/>
      <c r="E287" s="1"/>
      <c r="F287" s="1" t="s">
        <v>1365</v>
      </c>
      <c r="G287" s="5">
        <f>_xlfn.XLOOKUP(A287,'BG Stock Log'!C:C,'BG Stock Log'!H:H,,0,-1)</f>
        <v>125</v>
      </c>
      <c r="H287" s="5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 t="str" cm="1">
        <f t="array" ref="AA287">GetFilteredValues(A287)</f>
        <v>Digikey</v>
      </c>
    </row>
    <row r="288" spans="1:27" x14ac:dyDescent="0.25">
      <c r="A288" s="1" t="s">
        <v>1759</v>
      </c>
      <c r="B288" s="1"/>
      <c r="C288" s="1"/>
      <c r="D288" s="8"/>
      <c r="E288" s="1"/>
      <c r="F288" s="1" t="s">
        <v>1365</v>
      </c>
      <c r="G288" s="5">
        <f>_xlfn.XLOOKUP(A288,'BG Stock Log'!C:C,'BG Stock Log'!H:H,,0,-1)</f>
        <v>40</v>
      </c>
      <c r="H288" s="5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 t="str" cm="1">
        <f t="array" ref="AA288">GetFilteredValues(A288)</f>
        <v>Digikey</v>
      </c>
    </row>
    <row r="289" spans="1:27" x14ac:dyDescent="0.25">
      <c r="A289" s="1" t="s">
        <v>1354</v>
      </c>
      <c r="B289" s="1" t="str">
        <f>_xlfn.XLOOKUP(A289,'BG Stock Log'!C:C,'BG Stock Log'!B:B,,0,-1)</f>
        <v>Manual Adjustment</v>
      </c>
      <c r="C289" s="1" t="s">
        <v>1396</v>
      </c>
      <c r="D289" s="8" t="s">
        <v>1397</v>
      </c>
      <c r="E289" s="1" t="s">
        <v>1398</v>
      </c>
      <c r="F289" s="1" t="s">
        <v>1365</v>
      </c>
      <c r="G289" s="5">
        <f>_xlfn.XLOOKUP(A289,'BG Stock Log'!C:C,'BG Stock Log'!H:H,,0,-1)</f>
        <v>0</v>
      </c>
      <c r="H289" s="5"/>
      <c r="I289" s="1"/>
      <c r="J289" s="1">
        <v>50</v>
      </c>
      <c r="K289" s="1">
        <f>SUMIFS('BG Stock Log'!G:G,'BG Stock Log'!C:C,'BG Dashboard'!A191,'BG Stock Log'!F:F,"ADD")</f>
        <v>0</v>
      </c>
      <c r="L289" s="1"/>
      <c r="M289" s="1"/>
      <c r="N289" s="1"/>
      <c r="O289" s="1" t="str" cm="1">
        <f t="array" ref="O289">GetLastItem(AA289)</f>
        <v/>
      </c>
      <c r="P289" s="1" t="str" cm="1">
        <f t="array" ref="P289">IFERROR(INDEX(_xlfn._xlws.SORT(_xlfn._xlws.FILTER('BG Stock Log'!G:G, ('BG Stock Log'!C:C=A289) * ('BG Stock Log'!G:G&gt;0)), 1, -1), 1),"")</f>
        <v/>
      </c>
      <c r="Q289" s="1" t="str">
        <f>IFERROR(ROUND(AVERAGEIFS('BG Stock Log'!G:G,'BG Stock Log'!C:C,'BG Dashboard'!A191,'BG Stock Log'!F:F,"ADD"),0),"")</f>
        <v/>
      </c>
      <c r="R289" s="1" t="s">
        <v>511</v>
      </c>
      <c r="S289" s="1" t="s">
        <v>1453</v>
      </c>
      <c r="T289" s="37">
        <v>1.8720000000000001</v>
      </c>
      <c r="U289" s="37">
        <v>93.600000000000009</v>
      </c>
      <c r="V289" s="1" t="s">
        <v>1454</v>
      </c>
      <c r="W289" s="37">
        <v>3.0611000000000002</v>
      </c>
      <c r="X289" s="37">
        <v>153.05500000000001</v>
      </c>
      <c r="Y289" s="36" t="str">
        <f>IFERROR(SUMIFS('BG Stock Log'!L:L,'BG Stock Log'!C:C,'BG Dashboard'!A191)/SUMIFS('BG Stock Log'!G:G,'BG Stock Log'!C:C,'BG Dashboard'!A191,'BG Stock Log'!F:F,"ADD"),"")</f>
        <v/>
      </c>
      <c r="Z289" s="36">
        <f>IFERROR(T289*G289,"")</f>
        <v>0</v>
      </c>
      <c r="AA289" s="1" t="str" cm="1">
        <f t="array" ref="AA289">GetFilteredValues(A289)</f>
        <v/>
      </c>
    </row>
    <row r="290" spans="1:27" x14ac:dyDescent="0.25">
      <c r="A290" s="1" t="s">
        <v>1823</v>
      </c>
      <c r="B290" s="1" t="s">
        <v>1824</v>
      </c>
      <c r="C290" s="1" t="s">
        <v>1825</v>
      </c>
      <c r="D290" s="8" t="s">
        <v>1826</v>
      </c>
      <c r="E290" s="1" t="s">
        <v>700</v>
      </c>
      <c r="F290" s="1" t="s">
        <v>1364</v>
      </c>
      <c r="G290" s="5">
        <f>_xlfn.XLOOKUP(A290,'BG Stock Log'!C:C,'BG Stock Log'!H:H,,0,-1)</f>
        <v>2952</v>
      </c>
      <c r="H290" s="5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37"/>
      <c r="U290" s="37"/>
      <c r="V290" s="1"/>
      <c r="W290" s="37"/>
      <c r="X290" s="37"/>
      <c r="Y290" s="36"/>
      <c r="Z290" s="36"/>
      <c r="AA290" s="1"/>
    </row>
    <row r="291" spans="1:27" x14ac:dyDescent="0.25">
      <c r="A291" t="s">
        <v>1838</v>
      </c>
      <c r="C291" s="1" t="s">
        <v>1839</v>
      </c>
      <c r="D291" s="1" t="s">
        <v>1840</v>
      </c>
      <c r="E291" s="1" t="s">
        <v>1841</v>
      </c>
      <c r="F291" s="45" t="s">
        <v>1365</v>
      </c>
      <c r="G291" s="5">
        <f>_xlfn.XLOOKUP(A291,'BG Stock Log'!C:C,'BG Stock Log'!H:H,,0,-1)</f>
        <v>29</v>
      </c>
    </row>
  </sheetData>
  <mergeCells count="1">
    <mergeCell ref="L2:M2"/>
  </mergeCells>
  <conditionalFormatting sqref="A1:A187 A189:A1048576">
    <cfRule type="duplicateValues" dxfId="16" priority="2"/>
    <cfRule type="duplicateValues" dxfId="15" priority="3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StocktoDMprocSheet">
                <anchor moveWithCells="1" sizeWithCells="1">
                  <from>
                    <xdr:col>0</xdr:col>
                    <xdr:colOff>428625</xdr:colOff>
                    <xdr:row>0</xdr:row>
                    <xdr:rowOff>57150</xdr:rowOff>
                  </from>
                  <to>
                    <xdr:col>2</xdr:col>
                    <xdr:colOff>266700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Addition">
                <anchor moveWithCells="1" sizeWithCells="1">
                  <from>
                    <xdr:col>2</xdr:col>
                    <xdr:colOff>590550</xdr:colOff>
                    <xdr:row>0</xdr:row>
                    <xdr:rowOff>57150</xdr:rowOff>
                  </from>
                  <to>
                    <xdr:col>2</xdr:col>
                    <xdr:colOff>2333625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C1409-398A-4DE2-AE0B-3655EA9F7C0F}">
  <sheetPr codeName="Sheet13"/>
  <dimension ref="A1:L3505"/>
  <sheetViews>
    <sheetView zoomScaleNormal="100" workbookViewId="0">
      <pane ySplit="1" topLeftCell="A547" activePane="bottomLeft" state="frozen"/>
      <selection pane="bottomLeft" activeCell="C547" sqref="C547"/>
    </sheetView>
  </sheetViews>
  <sheetFormatPr defaultRowHeight="15" x14ac:dyDescent="0.25"/>
  <cols>
    <col min="1" max="1" width="20.28515625" style="40" bestFit="1" customWidth="1"/>
    <col min="2" max="2" width="26.7109375" bestFit="1" customWidth="1"/>
    <col min="3" max="3" width="34.5703125" bestFit="1" customWidth="1"/>
    <col min="4" max="4" width="13.42578125" bestFit="1" customWidth="1"/>
    <col min="5" max="5" width="9.42578125" bestFit="1" customWidth="1"/>
    <col min="6" max="6" width="10.140625" bestFit="1" customWidth="1"/>
    <col min="7" max="7" width="22.140625" bestFit="1" customWidth="1"/>
    <col min="8" max="8" width="36.5703125" bestFit="1" customWidth="1"/>
    <col min="9" max="9" width="12.42578125" bestFit="1" customWidth="1"/>
    <col min="10" max="10" width="42.42578125" bestFit="1" customWidth="1"/>
    <col min="11" max="11" width="30.140625" bestFit="1" customWidth="1"/>
    <col min="12" max="12" width="16.28515625" bestFit="1" customWidth="1"/>
  </cols>
  <sheetData>
    <row r="1" spans="1:12" x14ac:dyDescent="0.25">
      <c r="A1" s="41" t="s">
        <v>1370</v>
      </c>
      <c r="B1" s="32" t="s">
        <v>1371</v>
      </c>
      <c r="C1" s="32" t="s">
        <v>247</v>
      </c>
      <c r="D1" s="32" t="s">
        <v>1376</v>
      </c>
      <c r="E1" s="32" t="s">
        <v>1373</v>
      </c>
      <c r="F1" s="32" t="s">
        <v>1374</v>
      </c>
      <c r="G1" s="32" t="s">
        <v>1377</v>
      </c>
      <c r="H1" s="32" t="s">
        <v>1378</v>
      </c>
      <c r="I1" s="32" t="s">
        <v>1375</v>
      </c>
      <c r="J1" s="32" t="s">
        <v>1334</v>
      </c>
      <c r="K1" s="32" t="s">
        <v>1379</v>
      </c>
      <c r="L1" s="32" t="s">
        <v>1408</v>
      </c>
    </row>
    <row r="2" spans="1:12" x14ac:dyDescent="0.25">
      <c r="A2" s="40">
        <v>45520.615636574075</v>
      </c>
      <c r="C2" t="s">
        <v>1</v>
      </c>
      <c r="E2" t="s">
        <v>1364</v>
      </c>
      <c r="F2" t="s">
        <v>1372</v>
      </c>
      <c r="G2">
        <v>-540</v>
      </c>
    </row>
    <row r="3" spans="1:12" x14ac:dyDescent="0.25">
      <c r="A3" s="40">
        <v>45520.615636574075</v>
      </c>
      <c r="C3" t="s">
        <v>2</v>
      </c>
      <c r="E3" t="s">
        <v>1364</v>
      </c>
      <c r="F3" t="s">
        <v>1372</v>
      </c>
      <c r="G3">
        <v>-60</v>
      </c>
    </row>
    <row r="4" spans="1:12" x14ac:dyDescent="0.25">
      <c r="A4" s="40">
        <v>45520.615636574075</v>
      </c>
      <c r="C4" t="s">
        <v>3</v>
      </c>
      <c r="E4" t="s">
        <v>1364</v>
      </c>
      <c r="F4" t="s">
        <v>1372</v>
      </c>
      <c r="G4">
        <v>-135</v>
      </c>
    </row>
    <row r="5" spans="1:12" x14ac:dyDescent="0.25">
      <c r="A5" s="40">
        <v>45520.615636574075</v>
      </c>
      <c r="C5" t="s">
        <v>6</v>
      </c>
      <c r="E5" t="s">
        <v>1364</v>
      </c>
      <c r="F5" t="s">
        <v>1372</v>
      </c>
      <c r="G5">
        <v>-25</v>
      </c>
    </row>
    <row r="6" spans="1:12" x14ac:dyDescent="0.25">
      <c r="A6" s="40">
        <v>45520.615636574075</v>
      </c>
      <c r="C6" t="s">
        <v>7</v>
      </c>
      <c r="E6" t="s">
        <v>1364</v>
      </c>
      <c r="F6" t="s">
        <v>1372</v>
      </c>
      <c r="G6">
        <v>-210</v>
      </c>
    </row>
    <row r="7" spans="1:12" x14ac:dyDescent="0.25">
      <c r="A7" s="40">
        <v>45520.615636574075</v>
      </c>
      <c r="C7" t="s">
        <v>9</v>
      </c>
      <c r="E7" t="s">
        <v>1364</v>
      </c>
      <c r="F7" t="s">
        <v>1372</v>
      </c>
      <c r="G7">
        <v>-30</v>
      </c>
    </row>
    <row r="8" spans="1:12" x14ac:dyDescent="0.25">
      <c r="A8" s="40">
        <v>45520.615636574075</v>
      </c>
      <c r="C8" t="s">
        <v>10</v>
      </c>
      <c r="E8" t="s">
        <v>1364</v>
      </c>
      <c r="F8" t="s">
        <v>1372</v>
      </c>
      <c r="G8">
        <v>-95</v>
      </c>
    </row>
    <row r="9" spans="1:12" x14ac:dyDescent="0.25">
      <c r="A9" s="40">
        <v>45520.615636574075</v>
      </c>
      <c r="C9" t="s">
        <v>20</v>
      </c>
      <c r="E9" t="s">
        <v>1364</v>
      </c>
      <c r="F9" t="s">
        <v>1372</v>
      </c>
      <c r="G9">
        <v>-155</v>
      </c>
    </row>
    <row r="10" spans="1:12" x14ac:dyDescent="0.25">
      <c r="A10" s="40">
        <v>45520.615636574075</v>
      </c>
      <c r="C10" t="s">
        <v>27</v>
      </c>
      <c r="E10" t="s">
        <v>1364</v>
      </c>
      <c r="F10" t="s">
        <v>1372</v>
      </c>
      <c r="G10">
        <v>-265</v>
      </c>
    </row>
    <row r="11" spans="1:12" x14ac:dyDescent="0.25">
      <c r="A11" s="40">
        <v>45520.615636574075</v>
      </c>
      <c r="C11" t="s">
        <v>29</v>
      </c>
      <c r="E11" t="s">
        <v>1364</v>
      </c>
      <c r="F11" t="s">
        <v>1372</v>
      </c>
      <c r="G11">
        <v>-50</v>
      </c>
    </row>
    <row r="12" spans="1:12" x14ac:dyDescent="0.25">
      <c r="A12" s="40">
        <v>45520.615636574075</v>
      </c>
      <c r="C12" t="s">
        <v>32</v>
      </c>
      <c r="E12" t="s">
        <v>1364</v>
      </c>
      <c r="F12" t="s">
        <v>1372</v>
      </c>
      <c r="G12">
        <v>-25</v>
      </c>
    </row>
    <row r="13" spans="1:12" x14ac:dyDescent="0.25">
      <c r="A13" s="40">
        <v>45520.615636574075</v>
      </c>
      <c r="C13" t="s">
        <v>36</v>
      </c>
      <c r="E13" t="s">
        <v>1364</v>
      </c>
      <c r="F13" t="s">
        <v>1372</v>
      </c>
      <c r="G13">
        <v>-50</v>
      </c>
    </row>
    <row r="14" spans="1:12" x14ac:dyDescent="0.25">
      <c r="A14" s="40">
        <v>45520.615636574075</v>
      </c>
      <c r="C14" t="s">
        <v>38</v>
      </c>
      <c r="E14" t="s">
        <v>1364</v>
      </c>
      <c r="F14" t="s">
        <v>1372</v>
      </c>
      <c r="G14">
        <v>-35</v>
      </c>
    </row>
    <row r="15" spans="1:12" x14ac:dyDescent="0.25">
      <c r="A15" s="40">
        <v>45520.615636574075</v>
      </c>
      <c r="C15" t="s">
        <v>39</v>
      </c>
      <c r="E15" t="s">
        <v>1364</v>
      </c>
      <c r="F15" t="s">
        <v>1372</v>
      </c>
      <c r="G15">
        <v>-30</v>
      </c>
    </row>
    <row r="16" spans="1:12" x14ac:dyDescent="0.25">
      <c r="A16" s="40">
        <v>45520.615636574075</v>
      </c>
      <c r="C16" t="s">
        <v>40</v>
      </c>
      <c r="E16" t="s">
        <v>1364</v>
      </c>
      <c r="F16" t="s">
        <v>1372</v>
      </c>
      <c r="G16">
        <v>-30</v>
      </c>
    </row>
    <row r="17" spans="1:7" x14ac:dyDescent="0.25">
      <c r="A17" s="40">
        <v>45520.615636574075</v>
      </c>
      <c r="C17" t="s">
        <v>41</v>
      </c>
      <c r="E17" t="s">
        <v>1364</v>
      </c>
      <c r="F17" t="s">
        <v>1372</v>
      </c>
      <c r="G17">
        <v>-25</v>
      </c>
    </row>
    <row r="18" spans="1:7" x14ac:dyDescent="0.25">
      <c r="A18" s="40">
        <v>45520.615636574075</v>
      </c>
      <c r="C18" t="s">
        <v>42</v>
      </c>
      <c r="E18" t="s">
        <v>1364</v>
      </c>
      <c r="F18" t="s">
        <v>1372</v>
      </c>
      <c r="G18">
        <v>-50</v>
      </c>
    </row>
    <row r="19" spans="1:7" x14ac:dyDescent="0.25">
      <c r="A19" s="40">
        <v>45520.615636574075</v>
      </c>
      <c r="C19" t="s">
        <v>44</v>
      </c>
      <c r="E19" t="s">
        <v>1364</v>
      </c>
      <c r="F19" t="s">
        <v>1372</v>
      </c>
      <c r="G19">
        <v>-55</v>
      </c>
    </row>
    <row r="20" spans="1:7" x14ac:dyDescent="0.25">
      <c r="A20" s="40">
        <v>45520.615636574075</v>
      </c>
      <c r="C20" t="s">
        <v>45</v>
      </c>
      <c r="E20" t="s">
        <v>1364</v>
      </c>
      <c r="F20" t="s">
        <v>1372</v>
      </c>
      <c r="G20">
        <v>-25</v>
      </c>
    </row>
    <row r="21" spans="1:7" x14ac:dyDescent="0.25">
      <c r="A21" s="40">
        <v>45520.615636574075</v>
      </c>
      <c r="C21" t="s">
        <v>47</v>
      </c>
      <c r="E21" t="s">
        <v>1364</v>
      </c>
      <c r="F21" t="s">
        <v>1372</v>
      </c>
      <c r="G21">
        <v>-140</v>
      </c>
    </row>
    <row r="22" spans="1:7" x14ac:dyDescent="0.25">
      <c r="A22" s="40">
        <v>45520.615636574075</v>
      </c>
      <c r="C22" t="s">
        <v>55</v>
      </c>
      <c r="E22" t="s">
        <v>1364</v>
      </c>
      <c r="F22" t="s">
        <v>1372</v>
      </c>
      <c r="G22">
        <v>-30</v>
      </c>
    </row>
    <row r="23" spans="1:7" x14ac:dyDescent="0.25">
      <c r="A23" s="40">
        <v>45520.615636574075</v>
      </c>
      <c r="C23" t="s">
        <v>56</v>
      </c>
      <c r="E23" t="s">
        <v>1364</v>
      </c>
      <c r="F23" t="s">
        <v>1372</v>
      </c>
      <c r="G23">
        <v>-25</v>
      </c>
    </row>
    <row r="24" spans="1:7" x14ac:dyDescent="0.25">
      <c r="A24" s="40">
        <v>45520.615636574075</v>
      </c>
      <c r="C24" t="s">
        <v>57</v>
      </c>
      <c r="E24" t="s">
        <v>1364</v>
      </c>
      <c r="F24" t="s">
        <v>1372</v>
      </c>
      <c r="G24">
        <v>-25</v>
      </c>
    </row>
    <row r="25" spans="1:7" x14ac:dyDescent="0.25">
      <c r="A25" s="40">
        <v>45520.615636574075</v>
      </c>
      <c r="C25" t="s">
        <v>58</v>
      </c>
      <c r="E25" t="s">
        <v>1364</v>
      </c>
      <c r="F25" t="s">
        <v>1372</v>
      </c>
      <c r="G25">
        <v>-25</v>
      </c>
    </row>
    <row r="26" spans="1:7" x14ac:dyDescent="0.25">
      <c r="A26" s="40">
        <v>45520.615636574075</v>
      </c>
      <c r="C26" t="s">
        <v>60</v>
      </c>
      <c r="E26" t="s">
        <v>1364</v>
      </c>
      <c r="F26" t="s">
        <v>1372</v>
      </c>
      <c r="G26">
        <v>-70</v>
      </c>
    </row>
    <row r="27" spans="1:7" x14ac:dyDescent="0.25">
      <c r="A27" s="40">
        <v>45520.615636574075</v>
      </c>
      <c r="C27" t="s">
        <v>61</v>
      </c>
      <c r="E27" t="s">
        <v>1364</v>
      </c>
      <c r="F27" t="s">
        <v>1372</v>
      </c>
      <c r="G27">
        <v>-55</v>
      </c>
    </row>
    <row r="28" spans="1:7" x14ac:dyDescent="0.25">
      <c r="A28" s="40">
        <v>45520.615636574075</v>
      </c>
      <c r="C28" t="s">
        <v>66</v>
      </c>
      <c r="E28" t="s">
        <v>1364</v>
      </c>
      <c r="F28" t="s">
        <v>1372</v>
      </c>
      <c r="G28">
        <v>-30</v>
      </c>
    </row>
    <row r="29" spans="1:7" x14ac:dyDescent="0.25">
      <c r="A29" s="40">
        <v>45520.615636574075</v>
      </c>
      <c r="C29" t="s">
        <v>68</v>
      </c>
      <c r="E29" t="s">
        <v>1364</v>
      </c>
      <c r="F29" t="s">
        <v>1372</v>
      </c>
      <c r="G29">
        <v>-60</v>
      </c>
    </row>
    <row r="30" spans="1:7" x14ac:dyDescent="0.25">
      <c r="A30" s="40">
        <v>45520.615636574075</v>
      </c>
      <c r="C30" t="s">
        <v>69</v>
      </c>
      <c r="E30" t="s">
        <v>1364</v>
      </c>
      <c r="F30" t="s">
        <v>1372</v>
      </c>
      <c r="G30">
        <v>-55</v>
      </c>
    </row>
    <row r="31" spans="1:7" x14ac:dyDescent="0.25">
      <c r="A31" s="40">
        <v>45520.615636574075</v>
      </c>
      <c r="C31" t="s">
        <v>75</v>
      </c>
      <c r="E31" t="s">
        <v>1364</v>
      </c>
      <c r="F31" t="s">
        <v>1372</v>
      </c>
      <c r="G31">
        <v>-35</v>
      </c>
    </row>
    <row r="32" spans="1:7" x14ac:dyDescent="0.25">
      <c r="A32" s="40">
        <v>45520.615636574075</v>
      </c>
      <c r="C32" t="s">
        <v>76</v>
      </c>
      <c r="E32" t="s">
        <v>1364</v>
      </c>
      <c r="F32" t="s">
        <v>1372</v>
      </c>
      <c r="G32">
        <v>-35</v>
      </c>
    </row>
    <row r="33" spans="1:7" x14ac:dyDescent="0.25">
      <c r="A33" s="40">
        <v>45520.615636574075</v>
      </c>
      <c r="C33" t="s">
        <v>79</v>
      </c>
      <c r="E33" t="s">
        <v>1364</v>
      </c>
      <c r="F33" t="s">
        <v>1372</v>
      </c>
      <c r="G33">
        <v>-25</v>
      </c>
    </row>
    <row r="34" spans="1:7" x14ac:dyDescent="0.25">
      <c r="A34" s="40">
        <v>45520.615636574075</v>
      </c>
      <c r="C34" t="s">
        <v>81</v>
      </c>
      <c r="E34" t="s">
        <v>1364</v>
      </c>
      <c r="F34" t="s">
        <v>1372</v>
      </c>
      <c r="G34">
        <v>-65</v>
      </c>
    </row>
    <row r="35" spans="1:7" x14ac:dyDescent="0.25">
      <c r="A35" s="40">
        <v>45520.615636574075</v>
      </c>
      <c r="C35" t="s">
        <v>82</v>
      </c>
      <c r="E35" t="s">
        <v>1364</v>
      </c>
      <c r="F35" t="s">
        <v>1372</v>
      </c>
      <c r="G35">
        <v>-55</v>
      </c>
    </row>
    <row r="36" spans="1:7" x14ac:dyDescent="0.25">
      <c r="A36" s="40">
        <v>45520.615636574075</v>
      </c>
      <c r="C36" t="s">
        <v>84</v>
      </c>
      <c r="E36" t="s">
        <v>1364</v>
      </c>
      <c r="F36" t="s">
        <v>1372</v>
      </c>
      <c r="G36">
        <v>-30</v>
      </c>
    </row>
    <row r="37" spans="1:7" x14ac:dyDescent="0.25">
      <c r="A37" s="40">
        <v>45520.615636574075</v>
      </c>
      <c r="C37" t="s">
        <v>89</v>
      </c>
      <c r="E37" t="s">
        <v>1364</v>
      </c>
      <c r="F37" t="s">
        <v>1372</v>
      </c>
      <c r="G37">
        <v>-105</v>
      </c>
    </row>
    <row r="38" spans="1:7" x14ac:dyDescent="0.25">
      <c r="A38" s="40">
        <v>45520.615636574075</v>
      </c>
      <c r="C38" t="s">
        <v>92</v>
      </c>
      <c r="E38" t="s">
        <v>1364</v>
      </c>
      <c r="F38" t="s">
        <v>1372</v>
      </c>
      <c r="G38">
        <v>-40</v>
      </c>
    </row>
    <row r="39" spans="1:7" x14ac:dyDescent="0.25">
      <c r="A39" s="40">
        <v>45520.615636574075</v>
      </c>
      <c r="C39" t="s">
        <v>93</v>
      </c>
      <c r="E39" t="s">
        <v>1364</v>
      </c>
      <c r="F39" t="s">
        <v>1372</v>
      </c>
      <c r="G39">
        <v>-25</v>
      </c>
    </row>
    <row r="40" spans="1:7" x14ac:dyDescent="0.25">
      <c r="A40" s="40">
        <v>45520.615636574075</v>
      </c>
      <c r="C40" t="s">
        <v>94</v>
      </c>
      <c r="E40" t="s">
        <v>1364</v>
      </c>
      <c r="F40" t="s">
        <v>1372</v>
      </c>
      <c r="G40">
        <v>-25</v>
      </c>
    </row>
    <row r="41" spans="1:7" x14ac:dyDescent="0.25">
      <c r="A41" s="40">
        <v>45520.615636574075</v>
      </c>
      <c r="C41" t="s">
        <v>96</v>
      </c>
      <c r="E41" t="s">
        <v>1364</v>
      </c>
      <c r="F41" t="s">
        <v>1372</v>
      </c>
      <c r="G41">
        <v>-70</v>
      </c>
    </row>
    <row r="42" spans="1:7" x14ac:dyDescent="0.25">
      <c r="A42" s="40">
        <v>45520.615636574075</v>
      </c>
      <c r="C42" t="s">
        <v>104</v>
      </c>
      <c r="E42" t="s">
        <v>1364</v>
      </c>
      <c r="F42" t="s">
        <v>1372</v>
      </c>
      <c r="G42">
        <v>-40</v>
      </c>
    </row>
    <row r="43" spans="1:7" x14ac:dyDescent="0.25">
      <c r="A43" s="40">
        <v>45536.749525462961</v>
      </c>
      <c r="C43" t="s">
        <v>1</v>
      </c>
      <c r="E43" t="s">
        <v>1364</v>
      </c>
      <c r="F43" t="s">
        <v>1372</v>
      </c>
      <c r="G43">
        <v>-630</v>
      </c>
    </row>
    <row r="44" spans="1:7" x14ac:dyDescent="0.25">
      <c r="A44" s="40">
        <v>45536.749525462961</v>
      </c>
      <c r="C44" t="s">
        <v>3</v>
      </c>
      <c r="E44" t="s">
        <v>1364</v>
      </c>
      <c r="F44" t="s">
        <v>1372</v>
      </c>
      <c r="G44">
        <v>-40</v>
      </c>
    </row>
    <row r="45" spans="1:7" x14ac:dyDescent="0.25">
      <c r="A45" s="40">
        <v>45536.749525462961</v>
      </c>
      <c r="C45" t="s">
        <v>4</v>
      </c>
      <c r="E45" t="s">
        <v>1364</v>
      </c>
      <c r="F45" t="s">
        <v>1372</v>
      </c>
      <c r="G45">
        <v>-110</v>
      </c>
    </row>
    <row r="46" spans="1:7" x14ac:dyDescent="0.25">
      <c r="A46" s="40">
        <v>45536.749525462961</v>
      </c>
      <c r="C46" t="s">
        <v>7</v>
      </c>
      <c r="E46" t="s">
        <v>1364</v>
      </c>
      <c r="F46" t="s">
        <v>1372</v>
      </c>
      <c r="G46">
        <v>-215</v>
      </c>
    </row>
    <row r="47" spans="1:7" x14ac:dyDescent="0.25">
      <c r="A47" s="40">
        <v>45536.749525462961</v>
      </c>
      <c r="C47" t="s">
        <v>16</v>
      </c>
      <c r="E47" t="s">
        <v>1364</v>
      </c>
      <c r="F47" t="s">
        <v>1372</v>
      </c>
      <c r="G47">
        <v>-40</v>
      </c>
    </row>
    <row r="48" spans="1:7" x14ac:dyDescent="0.25">
      <c r="A48" s="40">
        <v>45536.749525462961</v>
      </c>
      <c r="C48" t="s">
        <v>24</v>
      </c>
      <c r="E48" t="s">
        <v>1364</v>
      </c>
      <c r="F48" t="s">
        <v>1372</v>
      </c>
      <c r="G48">
        <v>-35</v>
      </c>
    </row>
    <row r="49" spans="1:7" x14ac:dyDescent="0.25">
      <c r="A49" s="40">
        <v>45536.749525462961</v>
      </c>
      <c r="C49" t="s">
        <v>27</v>
      </c>
      <c r="E49" t="s">
        <v>1364</v>
      </c>
      <c r="F49" t="s">
        <v>1372</v>
      </c>
      <c r="G49">
        <v>-45</v>
      </c>
    </row>
    <row r="50" spans="1:7" x14ac:dyDescent="0.25">
      <c r="A50" s="40">
        <v>45536.749525462961</v>
      </c>
      <c r="C50" t="s">
        <v>36</v>
      </c>
      <c r="E50" t="s">
        <v>1364</v>
      </c>
      <c r="F50" t="s">
        <v>1372</v>
      </c>
      <c r="G50">
        <v>-175</v>
      </c>
    </row>
    <row r="51" spans="1:7" x14ac:dyDescent="0.25">
      <c r="A51" s="40">
        <v>45536.749525462961</v>
      </c>
      <c r="C51" t="s">
        <v>37</v>
      </c>
      <c r="E51" t="s">
        <v>1364</v>
      </c>
      <c r="F51" t="s">
        <v>1372</v>
      </c>
      <c r="G51">
        <v>-40</v>
      </c>
    </row>
    <row r="52" spans="1:7" x14ac:dyDescent="0.25">
      <c r="A52" s="40">
        <v>45536.749525462961</v>
      </c>
      <c r="C52" t="s">
        <v>38</v>
      </c>
      <c r="E52" t="s">
        <v>1364</v>
      </c>
      <c r="F52" t="s">
        <v>1372</v>
      </c>
      <c r="G52">
        <v>-90</v>
      </c>
    </row>
    <row r="53" spans="1:7" x14ac:dyDescent="0.25">
      <c r="A53" s="40">
        <v>45536.749525462961</v>
      </c>
      <c r="C53" t="s">
        <v>42</v>
      </c>
      <c r="E53" t="s">
        <v>1364</v>
      </c>
      <c r="F53" t="s">
        <v>1372</v>
      </c>
      <c r="G53">
        <v>-40</v>
      </c>
    </row>
    <row r="54" spans="1:7" x14ac:dyDescent="0.25">
      <c r="A54" s="40">
        <v>45536.749525462961</v>
      </c>
      <c r="C54" t="s">
        <v>47</v>
      </c>
      <c r="E54" t="s">
        <v>1364</v>
      </c>
      <c r="F54" t="s">
        <v>1372</v>
      </c>
      <c r="G54">
        <v>-65</v>
      </c>
    </row>
    <row r="55" spans="1:7" x14ac:dyDescent="0.25">
      <c r="A55" s="40">
        <v>45536.749525462961</v>
      </c>
      <c r="C55" t="s">
        <v>55</v>
      </c>
      <c r="E55" t="s">
        <v>1364</v>
      </c>
      <c r="F55" t="s">
        <v>1372</v>
      </c>
      <c r="G55">
        <v>-60</v>
      </c>
    </row>
    <row r="56" spans="1:7" x14ac:dyDescent="0.25">
      <c r="A56" s="40">
        <v>45536.749525462961</v>
      </c>
      <c r="C56" t="s">
        <v>56</v>
      </c>
      <c r="E56" t="s">
        <v>1364</v>
      </c>
      <c r="F56" t="s">
        <v>1372</v>
      </c>
      <c r="G56">
        <v>-40</v>
      </c>
    </row>
    <row r="57" spans="1:7" x14ac:dyDescent="0.25">
      <c r="A57" s="40">
        <v>45536.749525462961</v>
      </c>
      <c r="C57" t="s">
        <v>60</v>
      </c>
      <c r="E57" t="s">
        <v>1364</v>
      </c>
      <c r="F57" t="s">
        <v>1372</v>
      </c>
      <c r="G57">
        <v>-280</v>
      </c>
    </row>
    <row r="58" spans="1:7" x14ac:dyDescent="0.25">
      <c r="A58" s="40">
        <v>45536.749525462961</v>
      </c>
      <c r="C58" t="s">
        <v>63</v>
      </c>
      <c r="E58" t="s">
        <v>1364</v>
      </c>
      <c r="F58" t="s">
        <v>1372</v>
      </c>
      <c r="G58">
        <v>-40</v>
      </c>
    </row>
    <row r="59" spans="1:7" x14ac:dyDescent="0.25">
      <c r="A59" s="40">
        <v>45536.749525462961</v>
      </c>
      <c r="C59" t="s">
        <v>67</v>
      </c>
      <c r="E59" t="s">
        <v>1364</v>
      </c>
      <c r="F59" t="s">
        <v>1372</v>
      </c>
      <c r="G59">
        <v>-40</v>
      </c>
    </row>
    <row r="60" spans="1:7" x14ac:dyDescent="0.25">
      <c r="A60" s="40">
        <v>45536.749525462961</v>
      </c>
      <c r="C60" t="s">
        <v>82</v>
      </c>
      <c r="E60" t="s">
        <v>1364</v>
      </c>
      <c r="F60" t="s">
        <v>1372</v>
      </c>
      <c r="G60">
        <v>-25</v>
      </c>
    </row>
    <row r="61" spans="1:7" x14ac:dyDescent="0.25">
      <c r="A61" s="40">
        <v>45536.749525462961</v>
      </c>
      <c r="C61" t="s">
        <v>90</v>
      </c>
      <c r="E61" t="s">
        <v>1364</v>
      </c>
      <c r="F61" t="s">
        <v>1372</v>
      </c>
      <c r="G61">
        <v>-90</v>
      </c>
    </row>
    <row r="62" spans="1:7" x14ac:dyDescent="0.25">
      <c r="A62" s="40">
        <v>45536.749525462961</v>
      </c>
      <c r="C62" t="s">
        <v>91</v>
      </c>
      <c r="E62" t="s">
        <v>1364</v>
      </c>
      <c r="F62" t="s">
        <v>1372</v>
      </c>
      <c r="G62">
        <v>-135</v>
      </c>
    </row>
    <row r="63" spans="1:7" x14ac:dyDescent="0.25">
      <c r="A63" s="40">
        <v>45536.749525462961</v>
      </c>
      <c r="C63" t="s">
        <v>95</v>
      </c>
      <c r="E63" t="s">
        <v>1364</v>
      </c>
      <c r="F63" t="s">
        <v>1372</v>
      </c>
      <c r="G63">
        <v>-195</v>
      </c>
    </row>
    <row r="64" spans="1:7" x14ac:dyDescent="0.25">
      <c r="A64" s="40">
        <v>45542.360069444447</v>
      </c>
      <c r="C64" t="s">
        <v>229</v>
      </c>
      <c r="E64" t="s">
        <v>1364</v>
      </c>
      <c r="F64" t="s">
        <v>695</v>
      </c>
      <c r="G64">
        <v>5000</v>
      </c>
    </row>
    <row r="65" spans="1:7" x14ac:dyDescent="0.25">
      <c r="A65" s="40">
        <v>45545.679108796299</v>
      </c>
      <c r="C65" t="s">
        <v>1</v>
      </c>
      <c r="E65" t="s">
        <v>1364</v>
      </c>
      <c r="F65" t="s">
        <v>1372</v>
      </c>
      <c r="G65">
        <v>-250</v>
      </c>
    </row>
    <row r="66" spans="1:7" x14ac:dyDescent="0.25">
      <c r="A66" s="40">
        <v>45545.679108796299</v>
      </c>
      <c r="C66" t="s">
        <v>4</v>
      </c>
      <c r="E66" t="s">
        <v>1364</v>
      </c>
      <c r="F66" t="s">
        <v>1372</v>
      </c>
      <c r="G66">
        <v>-470</v>
      </c>
    </row>
    <row r="67" spans="1:7" x14ac:dyDescent="0.25">
      <c r="A67" s="40">
        <v>45545.679108796299</v>
      </c>
      <c r="C67" t="s">
        <v>5</v>
      </c>
      <c r="E67" t="s">
        <v>1364</v>
      </c>
      <c r="F67" t="s">
        <v>1372</v>
      </c>
      <c r="G67">
        <v>-470</v>
      </c>
    </row>
    <row r="68" spans="1:7" x14ac:dyDescent="0.25">
      <c r="A68" s="40">
        <v>45548.542337962965</v>
      </c>
      <c r="C68" t="s">
        <v>230</v>
      </c>
      <c r="E68" t="s">
        <v>1364</v>
      </c>
      <c r="F68" t="s">
        <v>695</v>
      </c>
      <c r="G68">
        <v>12000</v>
      </c>
    </row>
    <row r="69" spans="1:7" x14ac:dyDescent="0.25">
      <c r="A69" s="40">
        <v>45568.519317129627</v>
      </c>
      <c r="C69" t="s">
        <v>1</v>
      </c>
      <c r="E69" t="s">
        <v>1364</v>
      </c>
      <c r="F69" t="s">
        <v>1372</v>
      </c>
      <c r="G69">
        <v>-540</v>
      </c>
    </row>
    <row r="70" spans="1:7" x14ac:dyDescent="0.25">
      <c r="A70" s="40">
        <v>45568.519317129627</v>
      </c>
      <c r="C70" t="s">
        <v>2</v>
      </c>
      <c r="E70" t="s">
        <v>1364</v>
      </c>
      <c r="F70" t="s">
        <v>1372</v>
      </c>
      <c r="G70">
        <v>-60</v>
      </c>
    </row>
    <row r="71" spans="1:7" x14ac:dyDescent="0.25">
      <c r="A71" s="40">
        <v>45568.519317129627</v>
      </c>
      <c r="C71" t="s">
        <v>3</v>
      </c>
      <c r="E71" t="s">
        <v>1364</v>
      </c>
      <c r="F71" t="s">
        <v>1372</v>
      </c>
      <c r="G71">
        <v>-135</v>
      </c>
    </row>
    <row r="72" spans="1:7" x14ac:dyDescent="0.25">
      <c r="A72" s="40">
        <v>45568.519317129627</v>
      </c>
      <c r="C72" t="s">
        <v>6</v>
      </c>
      <c r="E72" t="s">
        <v>1364</v>
      </c>
      <c r="F72" t="s">
        <v>1372</v>
      </c>
      <c r="G72">
        <v>-25</v>
      </c>
    </row>
    <row r="73" spans="1:7" x14ac:dyDescent="0.25">
      <c r="A73" s="40">
        <v>45568.519317129627</v>
      </c>
      <c r="C73" t="s">
        <v>7</v>
      </c>
      <c r="E73" t="s">
        <v>1364</v>
      </c>
      <c r="F73" t="s">
        <v>1372</v>
      </c>
      <c r="G73">
        <v>-210</v>
      </c>
    </row>
    <row r="74" spans="1:7" x14ac:dyDescent="0.25">
      <c r="A74" s="40">
        <v>45568.519317129627</v>
      </c>
      <c r="C74" t="s">
        <v>9</v>
      </c>
      <c r="E74" t="s">
        <v>1364</v>
      </c>
      <c r="F74" t="s">
        <v>1372</v>
      </c>
      <c r="G74">
        <v>-30</v>
      </c>
    </row>
    <row r="75" spans="1:7" x14ac:dyDescent="0.25">
      <c r="A75" s="40">
        <v>45568.519317129627</v>
      </c>
      <c r="C75" t="s">
        <v>10</v>
      </c>
      <c r="E75" t="s">
        <v>1364</v>
      </c>
      <c r="F75" t="s">
        <v>1372</v>
      </c>
      <c r="G75">
        <v>-95</v>
      </c>
    </row>
    <row r="76" spans="1:7" x14ac:dyDescent="0.25">
      <c r="A76" s="40">
        <v>45568.519317129627</v>
      </c>
      <c r="C76" t="s">
        <v>20</v>
      </c>
      <c r="E76" t="s">
        <v>1364</v>
      </c>
      <c r="F76" t="s">
        <v>1372</v>
      </c>
      <c r="G76">
        <v>-155</v>
      </c>
    </row>
    <row r="77" spans="1:7" x14ac:dyDescent="0.25">
      <c r="A77" s="40">
        <v>45568.519317129627</v>
      </c>
      <c r="C77" t="s">
        <v>27</v>
      </c>
      <c r="E77" t="s">
        <v>1364</v>
      </c>
      <c r="F77" t="s">
        <v>1372</v>
      </c>
      <c r="G77">
        <v>-265</v>
      </c>
    </row>
    <row r="78" spans="1:7" x14ac:dyDescent="0.25">
      <c r="A78" s="40">
        <v>45568.519317129627</v>
      </c>
      <c r="C78" t="s">
        <v>29</v>
      </c>
      <c r="E78" t="s">
        <v>1364</v>
      </c>
      <c r="F78" t="s">
        <v>1372</v>
      </c>
      <c r="G78">
        <v>-50</v>
      </c>
    </row>
    <row r="79" spans="1:7" x14ac:dyDescent="0.25">
      <c r="A79" s="40">
        <v>45568.519317129627</v>
      </c>
      <c r="C79" t="s">
        <v>32</v>
      </c>
      <c r="E79" t="s">
        <v>1364</v>
      </c>
      <c r="F79" t="s">
        <v>1372</v>
      </c>
      <c r="G79">
        <v>-25</v>
      </c>
    </row>
    <row r="80" spans="1:7" x14ac:dyDescent="0.25">
      <c r="A80" s="40">
        <v>45568.519317129627</v>
      </c>
      <c r="C80" t="s">
        <v>36</v>
      </c>
      <c r="E80" t="s">
        <v>1364</v>
      </c>
      <c r="F80" t="s">
        <v>1372</v>
      </c>
      <c r="G80">
        <v>-50</v>
      </c>
    </row>
    <row r="81" spans="1:7" x14ac:dyDescent="0.25">
      <c r="A81" s="40">
        <v>45568.519317129627</v>
      </c>
      <c r="C81" t="s">
        <v>38</v>
      </c>
      <c r="E81" t="s">
        <v>1364</v>
      </c>
      <c r="F81" t="s">
        <v>1372</v>
      </c>
      <c r="G81">
        <v>-35</v>
      </c>
    </row>
    <row r="82" spans="1:7" x14ac:dyDescent="0.25">
      <c r="A82" s="40">
        <v>45568.519317129627</v>
      </c>
      <c r="C82" t="s">
        <v>39</v>
      </c>
      <c r="E82" t="s">
        <v>1364</v>
      </c>
      <c r="F82" t="s">
        <v>1372</v>
      </c>
      <c r="G82">
        <v>-30</v>
      </c>
    </row>
    <row r="83" spans="1:7" x14ac:dyDescent="0.25">
      <c r="A83" s="40">
        <v>45568.519317129627</v>
      </c>
      <c r="C83" t="s">
        <v>40</v>
      </c>
      <c r="E83" t="s">
        <v>1364</v>
      </c>
      <c r="F83" t="s">
        <v>1372</v>
      </c>
      <c r="G83">
        <v>-30</v>
      </c>
    </row>
    <row r="84" spans="1:7" x14ac:dyDescent="0.25">
      <c r="A84" s="40">
        <v>45568.519317129627</v>
      </c>
      <c r="C84" t="s">
        <v>41</v>
      </c>
      <c r="E84" t="s">
        <v>1364</v>
      </c>
      <c r="F84" t="s">
        <v>1372</v>
      </c>
      <c r="G84">
        <v>-25</v>
      </c>
    </row>
    <row r="85" spans="1:7" x14ac:dyDescent="0.25">
      <c r="A85" s="40">
        <v>45568.519317129627</v>
      </c>
      <c r="C85" t="s">
        <v>42</v>
      </c>
      <c r="E85" t="s">
        <v>1364</v>
      </c>
      <c r="F85" t="s">
        <v>1372</v>
      </c>
      <c r="G85">
        <v>-50</v>
      </c>
    </row>
    <row r="86" spans="1:7" x14ac:dyDescent="0.25">
      <c r="A86" s="40">
        <v>45568.519317129627</v>
      </c>
      <c r="C86" t="s">
        <v>44</v>
      </c>
      <c r="E86" t="s">
        <v>1364</v>
      </c>
      <c r="F86" t="s">
        <v>1372</v>
      </c>
      <c r="G86">
        <v>-55</v>
      </c>
    </row>
    <row r="87" spans="1:7" x14ac:dyDescent="0.25">
      <c r="A87" s="40">
        <v>45568.519317129627</v>
      </c>
      <c r="C87" t="s">
        <v>45</v>
      </c>
      <c r="E87" t="s">
        <v>1364</v>
      </c>
      <c r="F87" t="s">
        <v>1372</v>
      </c>
      <c r="G87">
        <v>-25</v>
      </c>
    </row>
    <row r="88" spans="1:7" x14ac:dyDescent="0.25">
      <c r="A88" s="40">
        <v>45568.519317129627</v>
      </c>
      <c r="C88" t="s">
        <v>47</v>
      </c>
      <c r="E88" t="s">
        <v>1364</v>
      </c>
      <c r="F88" t="s">
        <v>1372</v>
      </c>
      <c r="G88">
        <v>-140</v>
      </c>
    </row>
    <row r="89" spans="1:7" x14ac:dyDescent="0.25">
      <c r="A89" s="40">
        <v>45568.519317129627</v>
      </c>
      <c r="C89" t="s">
        <v>55</v>
      </c>
      <c r="E89" t="s">
        <v>1364</v>
      </c>
      <c r="F89" t="s">
        <v>1372</v>
      </c>
      <c r="G89">
        <v>-30</v>
      </c>
    </row>
    <row r="90" spans="1:7" x14ac:dyDescent="0.25">
      <c r="A90" s="40">
        <v>45568.519317129627</v>
      </c>
      <c r="C90" t="s">
        <v>56</v>
      </c>
      <c r="E90" t="s">
        <v>1364</v>
      </c>
      <c r="F90" t="s">
        <v>1372</v>
      </c>
      <c r="G90">
        <v>-25</v>
      </c>
    </row>
    <row r="91" spans="1:7" x14ac:dyDescent="0.25">
      <c r="A91" s="40">
        <v>45568.519317129627</v>
      </c>
      <c r="C91" t="s">
        <v>57</v>
      </c>
      <c r="E91" t="s">
        <v>1364</v>
      </c>
      <c r="F91" t="s">
        <v>1372</v>
      </c>
      <c r="G91">
        <v>-25</v>
      </c>
    </row>
    <row r="92" spans="1:7" x14ac:dyDescent="0.25">
      <c r="A92" s="40">
        <v>45568.519317129627</v>
      </c>
      <c r="C92" t="s">
        <v>58</v>
      </c>
      <c r="E92" t="s">
        <v>1364</v>
      </c>
      <c r="F92" t="s">
        <v>1372</v>
      </c>
      <c r="G92">
        <v>-25</v>
      </c>
    </row>
    <row r="93" spans="1:7" x14ac:dyDescent="0.25">
      <c r="A93" s="40">
        <v>45568.519317129627</v>
      </c>
      <c r="C93" t="s">
        <v>60</v>
      </c>
      <c r="E93" t="s">
        <v>1364</v>
      </c>
      <c r="F93" t="s">
        <v>1372</v>
      </c>
      <c r="G93">
        <v>-70</v>
      </c>
    </row>
    <row r="94" spans="1:7" x14ac:dyDescent="0.25">
      <c r="A94" s="40">
        <v>45568.519317129627</v>
      </c>
      <c r="C94" t="s">
        <v>61</v>
      </c>
      <c r="E94" t="s">
        <v>1364</v>
      </c>
      <c r="F94" t="s">
        <v>1372</v>
      </c>
      <c r="G94">
        <v>-55</v>
      </c>
    </row>
    <row r="95" spans="1:7" x14ac:dyDescent="0.25">
      <c r="A95" s="40">
        <v>45568.519317129627</v>
      </c>
      <c r="C95" t="s">
        <v>66</v>
      </c>
      <c r="E95" t="s">
        <v>1364</v>
      </c>
      <c r="F95" t="s">
        <v>1372</v>
      </c>
      <c r="G95">
        <v>-30</v>
      </c>
    </row>
    <row r="96" spans="1:7" x14ac:dyDescent="0.25">
      <c r="A96" s="40">
        <v>45568.519317129627</v>
      </c>
      <c r="C96" t="s">
        <v>68</v>
      </c>
      <c r="E96" t="s">
        <v>1364</v>
      </c>
      <c r="F96" t="s">
        <v>1372</v>
      </c>
      <c r="G96">
        <v>-60</v>
      </c>
    </row>
    <row r="97" spans="1:7" x14ac:dyDescent="0.25">
      <c r="A97" s="40">
        <v>45568.519317129627</v>
      </c>
      <c r="C97" t="s">
        <v>69</v>
      </c>
      <c r="E97" t="s">
        <v>1364</v>
      </c>
      <c r="F97" t="s">
        <v>1372</v>
      </c>
      <c r="G97">
        <v>-55</v>
      </c>
    </row>
    <row r="98" spans="1:7" x14ac:dyDescent="0.25">
      <c r="A98" s="40">
        <v>45568.519317129627</v>
      </c>
      <c r="C98" t="s">
        <v>75</v>
      </c>
      <c r="E98" t="s">
        <v>1364</v>
      </c>
      <c r="F98" t="s">
        <v>1372</v>
      </c>
      <c r="G98">
        <v>-35</v>
      </c>
    </row>
    <row r="99" spans="1:7" x14ac:dyDescent="0.25">
      <c r="A99" s="40">
        <v>45568.519317129627</v>
      </c>
      <c r="C99" t="s">
        <v>76</v>
      </c>
      <c r="E99" t="s">
        <v>1364</v>
      </c>
      <c r="F99" t="s">
        <v>1372</v>
      </c>
      <c r="G99">
        <v>-35</v>
      </c>
    </row>
    <row r="100" spans="1:7" x14ac:dyDescent="0.25">
      <c r="A100" s="40">
        <v>45568.519317129627</v>
      </c>
      <c r="C100" t="s">
        <v>79</v>
      </c>
      <c r="E100" t="s">
        <v>1364</v>
      </c>
      <c r="F100" t="s">
        <v>1372</v>
      </c>
      <c r="G100">
        <v>-25</v>
      </c>
    </row>
    <row r="101" spans="1:7" x14ac:dyDescent="0.25">
      <c r="A101" s="40">
        <v>45568.519317129627</v>
      </c>
      <c r="C101" t="s">
        <v>81</v>
      </c>
      <c r="E101" t="s">
        <v>1364</v>
      </c>
      <c r="F101" t="s">
        <v>1372</v>
      </c>
      <c r="G101">
        <v>-65</v>
      </c>
    </row>
    <row r="102" spans="1:7" x14ac:dyDescent="0.25">
      <c r="A102" s="40">
        <v>45568.519317129627</v>
      </c>
      <c r="C102" t="s">
        <v>82</v>
      </c>
      <c r="E102" t="s">
        <v>1364</v>
      </c>
      <c r="F102" t="s">
        <v>1372</v>
      </c>
      <c r="G102">
        <v>-55</v>
      </c>
    </row>
    <row r="103" spans="1:7" x14ac:dyDescent="0.25">
      <c r="A103" s="40">
        <v>45568.519317129627</v>
      </c>
      <c r="C103" t="s">
        <v>84</v>
      </c>
      <c r="E103" t="s">
        <v>1364</v>
      </c>
      <c r="F103" t="s">
        <v>1372</v>
      </c>
      <c r="G103">
        <v>-30</v>
      </c>
    </row>
    <row r="104" spans="1:7" x14ac:dyDescent="0.25">
      <c r="A104" s="40">
        <v>45568.519317129627</v>
      </c>
      <c r="C104" t="s">
        <v>89</v>
      </c>
      <c r="E104" t="s">
        <v>1364</v>
      </c>
      <c r="F104" t="s">
        <v>1372</v>
      </c>
      <c r="G104">
        <v>-105</v>
      </c>
    </row>
    <row r="105" spans="1:7" x14ac:dyDescent="0.25">
      <c r="A105" s="40">
        <v>45568.519317129627</v>
      </c>
      <c r="C105" t="s">
        <v>92</v>
      </c>
      <c r="E105" t="s">
        <v>1364</v>
      </c>
      <c r="F105" t="s">
        <v>1372</v>
      </c>
      <c r="G105">
        <v>-40</v>
      </c>
    </row>
    <row r="106" spans="1:7" x14ac:dyDescent="0.25">
      <c r="A106" s="40">
        <v>45568.519317129627</v>
      </c>
      <c r="C106" t="s">
        <v>93</v>
      </c>
      <c r="E106" t="s">
        <v>1364</v>
      </c>
      <c r="F106" t="s">
        <v>1372</v>
      </c>
      <c r="G106">
        <v>-25</v>
      </c>
    </row>
    <row r="107" spans="1:7" x14ac:dyDescent="0.25">
      <c r="A107" s="40">
        <v>45568.519317129627</v>
      </c>
      <c r="C107" t="s">
        <v>94</v>
      </c>
      <c r="E107" t="s">
        <v>1364</v>
      </c>
      <c r="F107" t="s">
        <v>1372</v>
      </c>
      <c r="G107">
        <v>-25</v>
      </c>
    </row>
    <row r="108" spans="1:7" x14ac:dyDescent="0.25">
      <c r="A108" s="40">
        <v>45568.519317129627</v>
      </c>
      <c r="C108" t="s">
        <v>96</v>
      </c>
      <c r="E108" t="s">
        <v>1364</v>
      </c>
      <c r="F108" t="s">
        <v>1372</v>
      </c>
      <c r="G108">
        <v>-70</v>
      </c>
    </row>
    <row r="109" spans="1:7" x14ac:dyDescent="0.25">
      <c r="A109" s="40">
        <v>45568.519317129627</v>
      </c>
      <c r="C109" t="s">
        <v>104</v>
      </c>
      <c r="E109" t="s">
        <v>1364</v>
      </c>
      <c r="F109" t="s">
        <v>1372</v>
      </c>
      <c r="G109">
        <v>-40</v>
      </c>
    </row>
    <row r="110" spans="1:7" x14ac:dyDescent="0.25">
      <c r="A110" s="40">
        <v>45568.519317129627</v>
      </c>
      <c r="C110" t="s">
        <v>230</v>
      </c>
      <c r="E110" t="s">
        <v>1364</v>
      </c>
      <c r="F110" t="s">
        <v>1372</v>
      </c>
      <c r="G110">
        <v>-70</v>
      </c>
    </row>
    <row r="111" spans="1:7" x14ac:dyDescent="0.25">
      <c r="A111" s="40">
        <v>45572.354548611111</v>
      </c>
      <c r="C111" t="s">
        <v>1</v>
      </c>
      <c r="E111" t="s">
        <v>1364</v>
      </c>
      <c r="F111" t="s">
        <v>1372</v>
      </c>
      <c r="G111">
        <v>-5150</v>
      </c>
    </row>
    <row r="112" spans="1:7" x14ac:dyDescent="0.25">
      <c r="A112" s="40">
        <v>45572.354548611111</v>
      </c>
      <c r="C112" t="s">
        <v>7</v>
      </c>
      <c r="E112" t="s">
        <v>1364</v>
      </c>
      <c r="F112" t="s">
        <v>1372</v>
      </c>
      <c r="G112">
        <v>-1350</v>
      </c>
    </row>
    <row r="113" spans="1:7" x14ac:dyDescent="0.25">
      <c r="A113" s="40">
        <v>45572.354548611111</v>
      </c>
      <c r="C113" t="s">
        <v>56</v>
      </c>
      <c r="E113" t="s">
        <v>1364</v>
      </c>
      <c r="F113" t="s">
        <v>1372</v>
      </c>
      <c r="G113">
        <v>-290</v>
      </c>
    </row>
    <row r="114" spans="1:7" x14ac:dyDescent="0.25">
      <c r="A114" s="40">
        <v>45583.442766203705</v>
      </c>
      <c r="B114" t="s">
        <v>231</v>
      </c>
      <c r="C114" t="s">
        <v>1</v>
      </c>
      <c r="E114" t="s">
        <v>1364</v>
      </c>
      <c r="F114" t="s">
        <v>1372</v>
      </c>
      <c r="G114">
        <v>-137</v>
      </c>
    </row>
    <row r="115" spans="1:7" x14ac:dyDescent="0.25">
      <c r="A115" s="40">
        <v>45583.442766203705</v>
      </c>
      <c r="B115" t="s">
        <v>231</v>
      </c>
      <c r="C115" t="s">
        <v>2</v>
      </c>
      <c r="E115" t="s">
        <v>1364</v>
      </c>
      <c r="F115" t="s">
        <v>1372</v>
      </c>
      <c r="G115">
        <v>-36</v>
      </c>
    </row>
    <row r="116" spans="1:7" x14ac:dyDescent="0.25">
      <c r="A116" s="40">
        <v>45583.442766203705</v>
      </c>
      <c r="B116" t="s">
        <v>231</v>
      </c>
      <c r="C116" t="s">
        <v>3</v>
      </c>
      <c r="E116" t="s">
        <v>1364</v>
      </c>
      <c r="F116" t="s">
        <v>1372</v>
      </c>
      <c r="G116">
        <v>-60</v>
      </c>
    </row>
    <row r="117" spans="1:7" x14ac:dyDescent="0.25">
      <c r="A117" s="40">
        <v>45583.442766203705</v>
      </c>
      <c r="B117" t="s">
        <v>231</v>
      </c>
      <c r="C117" t="s">
        <v>6</v>
      </c>
      <c r="E117" t="s">
        <v>1364</v>
      </c>
      <c r="F117" t="s">
        <v>1372</v>
      </c>
      <c r="G117">
        <v>-22</v>
      </c>
    </row>
    <row r="118" spans="1:7" x14ac:dyDescent="0.25">
      <c r="A118" s="40">
        <v>45583.442766203705</v>
      </c>
      <c r="B118" t="s">
        <v>231</v>
      </c>
      <c r="C118" t="s">
        <v>7</v>
      </c>
      <c r="E118" t="s">
        <v>1364</v>
      </c>
      <c r="F118" t="s">
        <v>1372</v>
      </c>
      <c r="G118">
        <v>-46</v>
      </c>
    </row>
    <row r="119" spans="1:7" x14ac:dyDescent="0.25">
      <c r="A119" s="40">
        <v>45583.442766203705</v>
      </c>
      <c r="B119" t="s">
        <v>231</v>
      </c>
      <c r="C119" t="s">
        <v>9</v>
      </c>
      <c r="E119" t="s">
        <v>1364</v>
      </c>
      <c r="F119" t="s">
        <v>1372</v>
      </c>
      <c r="G119">
        <v>-24</v>
      </c>
    </row>
    <row r="120" spans="1:7" x14ac:dyDescent="0.25">
      <c r="A120" s="40">
        <v>45583.442766203705</v>
      </c>
      <c r="B120" t="s">
        <v>231</v>
      </c>
      <c r="C120" t="s">
        <v>20</v>
      </c>
      <c r="E120" t="s">
        <v>1364</v>
      </c>
      <c r="F120" t="s">
        <v>1372</v>
      </c>
      <c r="G120">
        <v>-68</v>
      </c>
    </row>
    <row r="121" spans="1:7" x14ac:dyDescent="0.25">
      <c r="A121" s="40">
        <v>45583.442766203705</v>
      </c>
      <c r="B121" t="s">
        <v>231</v>
      </c>
      <c r="C121" t="s">
        <v>27</v>
      </c>
      <c r="E121" t="s">
        <v>1364</v>
      </c>
      <c r="F121" t="s">
        <v>1372</v>
      </c>
      <c r="G121">
        <v>-120</v>
      </c>
    </row>
    <row r="122" spans="1:7" x14ac:dyDescent="0.25">
      <c r="A122" s="40">
        <v>45583.442766203705</v>
      </c>
      <c r="B122" t="s">
        <v>231</v>
      </c>
      <c r="C122" t="s">
        <v>29</v>
      </c>
      <c r="E122" t="s">
        <v>1364</v>
      </c>
      <c r="F122" t="s">
        <v>1372</v>
      </c>
      <c r="G122">
        <v>-32</v>
      </c>
    </row>
    <row r="123" spans="1:7" x14ac:dyDescent="0.25">
      <c r="A123" s="40">
        <v>45583.442766203705</v>
      </c>
      <c r="B123" t="s">
        <v>231</v>
      </c>
      <c r="C123" t="s">
        <v>32</v>
      </c>
      <c r="E123" t="s">
        <v>1364</v>
      </c>
      <c r="F123" t="s">
        <v>1372</v>
      </c>
      <c r="G123">
        <v>-22</v>
      </c>
    </row>
    <row r="124" spans="1:7" x14ac:dyDescent="0.25">
      <c r="A124" s="40">
        <v>45583.442766203705</v>
      </c>
      <c r="B124" t="s">
        <v>231</v>
      </c>
      <c r="C124" t="s">
        <v>40</v>
      </c>
      <c r="E124" t="s">
        <v>1364</v>
      </c>
      <c r="F124" t="s">
        <v>1372</v>
      </c>
      <c r="G124">
        <v>-24</v>
      </c>
    </row>
    <row r="125" spans="1:7" x14ac:dyDescent="0.25">
      <c r="A125" s="40">
        <v>45583.442766203705</v>
      </c>
      <c r="B125" t="s">
        <v>231</v>
      </c>
      <c r="C125" t="s">
        <v>44</v>
      </c>
      <c r="E125" t="s">
        <v>1364</v>
      </c>
      <c r="F125" t="s">
        <v>1372</v>
      </c>
      <c r="G125">
        <v>-34</v>
      </c>
    </row>
    <row r="126" spans="1:7" x14ac:dyDescent="0.25">
      <c r="A126" s="40">
        <v>45583.442766203705</v>
      </c>
      <c r="B126" t="s">
        <v>231</v>
      </c>
      <c r="C126" t="s">
        <v>45</v>
      </c>
      <c r="E126" t="s">
        <v>1364</v>
      </c>
      <c r="F126" t="s">
        <v>1372</v>
      </c>
      <c r="G126">
        <v>-22</v>
      </c>
    </row>
    <row r="127" spans="1:7" x14ac:dyDescent="0.25">
      <c r="A127" s="40">
        <v>45583.442766203705</v>
      </c>
      <c r="B127" t="s">
        <v>231</v>
      </c>
      <c r="C127" t="s">
        <v>47</v>
      </c>
      <c r="E127" t="s">
        <v>1364</v>
      </c>
      <c r="F127" t="s">
        <v>1372</v>
      </c>
      <c r="G127">
        <v>-54</v>
      </c>
    </row>
    <row r="128" spans="1:7" x14ac:dyDescent="0.25">
      <c r="A128" s="40">
        <v>45583.442766203705</v>
      </c>
      <c r="B128" t="s">
        <v>231</v>
      </c>
      <c r="C128" t="s">
        <v>55</v>
      </c>
      <c r="E128" t="s">
        <v>1364</v>
      </c>
      <c r="F128" t="s">
        <v>1372</v>
      </c>
      <c r="G128">
        <v>-24</v>
      </c>
    </row>
    <row r="129" spans="1:7" x14ac:dyDescent="0.25">
      <c r="A129" s="40">
        <v>45583.442766203705</v>
      </c>
      <c r="B129" t="s">
        <v>231</v>
      </c>
      <c r="C129" t="s">
        <v>56</v>
      </c>
      <c r="E129" t="s">
        <v>1364</v>
      </c>
      <c r="F129" t="s">
        <v>1372</v>
      </c>
      <c r="G129">
        <v>-22</v>
      </c>
    </row>
    <row r="130" spans="1:7" x14ac:dyDescent="0.25">
      <c r="A130" s="40">
        <v>45583.442766203705</v>
      </c>
      <c r="B130" t="s">
        <v>231</v>
      </c>
      <c r="C130" t="s">
        <v>57</v>
      </c>
      <c r="E130" t="s">
        <v>1364</v>
      </c>
      <c r="F130" t="s">
        <v>1372</v>
      </c>
      <c r="G130">
        <v>-22</v>
      </c>
    </row>
    <row r="131" spans="1:7" x14ac:dyDescent="0.25">
      <c r="A131" s="40">
        <v>45583.442766203705</v>
      </c>
      <c r="B131" t="s">
        <v>231</v>
      </c>
      <c r="C131" t="s">
        <v>58</v>
      </c>
      <c r="E131" t="s">
        <v>1364</v>
      </c>
      <c r="F131" t="s">
        <v>1372</v>
      </c>
      <c r="G131">
        <v>-22</v>
      </c>
    </row>
    <row r="132" spans="1:7" x14ac:dyDescent="0.25">
      <c r="A132" s="40">
        <v>45583.442766203705</v>
      </c>
      <c r="B132" t="s">
        <v>231</v>
      </c>
      <c r="C132" t="s">
        <v>60</v>
      </c>
      <c r="E132" t="s">
        <v>1364</v>
      </c>
      <c r="F132" t="s">
        <v>1372</v>
      </c>
      <c r="G132">
        <v>-40</v>
      </c>
    </row>
    <row r="133" spans="1:7" x14ac:dyDescent="0.25">
      <c r="A133" s="40">
        <v>45583.442766203705</v>
      </c>
      <c r="B133" t="s">
        <v>231</v>
      </c>
      <c r="C133" t="s">
        <v>61</v>
      </c>
      <c r="E133" t="s">
        <v>1364</v>
      </c>
      <c r="F133" t="s">
        <v>1372</v>
      </c>
      <c r="G133">
        <v>-34</v>
      </c>
    </row>
    <row r="134" spans="1:7" x14ac:dyDescent="0.25">
      <c r="A134" s="40">
        <v>45583.442766203705</v>
      </c>
      <c r="B134" t="s">
        <v>231</v>
      </c>
      <c r="C134" t="s">
        <v>66</v>
      </c>
      <c r="E134" t="s">
        <v>1364</v>
      </c>
      <c r="F134" t="s">
        <v>1372</v>
      </c>
      <c r="G134">
        <v>-24</v>
      </c>
    </row>
    <row r="135" spans="1:7" x14ac:dyDescent="0.25">
      <c r="A135" s="40">
        <v>45583.442766203705</v>
      </c>
      <c r="B135" t="s">
        <v>231</v>
      </c>
      <c r="C135" t="s">
        <v>68</v>
      </c>
      <c r="E135" t="s">
        <v>1364</v>
      </c>
      <c r="F135" t="s">
        <v>1372</v>
      </c>
      <c r="G135">
        <v>-36</v>
      </c>
    </row>
    <row r="136" spans="1:7" x14ac:dyDescent="0.25">
      <c r="A136" s="40">
        <v>45583.442766203705</v>
      </c>
      <c r="B136" t="s">
        <v>231</v>
      </c>
      <c r="C136" t="s">
        <v>69</v>
      </c>
      <c r="E136" t="s">
        <v>1364</v>
      </c>
      <c r="F136" t="s">
        <v>1372</v>
      </c>
      <c r="G136">
        <v>-34</v>
      </c>
    </row>
    <row r="137" spans="1:7" x14ac:dyDescent="0.25">
      <c r="A137" s="40">
        <v>45583.442766203705</v>
      </c>
      <c r="B137" t="s">
        <v>231</v>
      </c>
      <c r="C137" t="s">
        <v>75</v>
      </c>
      <c r="E137" t="s">
        <v>1364</v>
      </c>
      <c r="F137" t="s">
        <v>1372</v>
      </c>
      <c r="G137">
        <v>-26</v>
      </c>
    </row>
    <row r="138" spans="1:7" x14ac:dyDescent="0.25">
      <c r="A138" s="40">
        <v>45583.442766203705</v>
      </c>
      <c r="B138" t="s">
        <v>231</v>
      </c>
      <c r="C138" t="s">
        <v>79</v>
      </c>
      <c r="E138" t="s">
        <v>1364</v>
      </c>
      <c r="F138" t="s">
        <v>1372</v>
      </c>
      <c r="G138">
        <v>-22</v>
      </c>
    </row>
    <row r="139" spans="1:7" x14ac:dyDescent="0.25">
      <c r="A139" s="40">
        <v>45583.442766203705</v>
      </c>
      <c r="B139" t="s">
        <v>231</v>
      </c>
      <c r="C139" t="s">
        <v>82</v>
      </c>
      <c r="E139" t="s">
        <v>1364</v>
      </c>
      <c r="F139" t="s">
        <v>1372</v>
      </c>
      <c r="G139">
        <v>-34</v>
      </c>
    </row>
    <row r="140" spans="1:7" x14ac:dyDescent="0.25">
      <c r="A140" s="40">
        <v>45583.442766203705</v>
      </c>
      <c r="B140" t="s">
        <v>231</v>
      </c>
      <c r="C140" t="s">
        <v>89</v>
      </c>
      <c r="E140" t="s">
        <v>1364</v>
      </c>
      <c r="F140" t="s">
        <v>1372</v>
      </c>
      <c r="G140">
        <v>-50</v>
      </c>
    </row>
    <row r="141" spans="1:7" x14ac:dyDescent="0.25">
      <c r="A141" s="40">
        <v>45583.442766203705</v>
      </c>
      <c r="B141" t="s">
        <v>231</v>
      </c>
      <c r="C141" t="s">
        <v>92</v>
      </c>
      <c r="E141" t="s">
        <v>1364</v>
      </c>
      <c r="F141" t="s">
        <v>1372</v>
      </c>
      <c r="G141">
        <v>-28</v>
      </c>
    </row>
    <row r="142" spans="1:7" x14ac:dyDescent="0.25">
      <c r="A142" s="40">
        <v>45583.442766203705</v>
      </c>
      <c r="B142" t="s">
        <v>231</v>
      </c>
      <c r="C142" t="s">
        <v>93</v>
      </c>
      <c r="E142" t="s">
        <v>1364</v>
      </c>
      <c r="F142" t="s">
        <v>1372</v>
      </c>
      <c r="G142">
        <v>-22</v>
      </c>
    </row>
    <row r="143" spans="1:7" x14ac:dyDescent="0.25">
      <c r="A143" s="40">
        <v>45583.442766203705</v>
      </c>
      <c r="B143" t="s">
        <v>231</v>
      </c>
      <c r="C143" t="s">
        <v>94</v>
      </c>
      <c r="E143" t="s">
        <v>1364</v>
      </c>
      <c r="F143" t="s">
        <v>1372</v>
      </c>
      <c r="G143">
        <v>-22</v>
      </c>
    </row>
    <row r="144" spans="1:7" x14ac:dyDescent="0.25">
      <c r="A144" s="40">
        <v>45583.442766203705</v>
      </c>
      <c r="B144" t="s">
        <v>231</v>
      </c>
      <c r="C144" t="s">
        <v>96</v>
      </c>
      <c r="E144" t="s">
        <v>1364</v>
      </c>
      <c r="F144" t="s">
        <v>1372</v>
      </c>
      <c r="G144">
        <v>-34</v>
      </c>
    </row>
    <row r="145" spans="1:7" x14ac:dyDescent="0.25">
      <c r="A145" s="40">
        <v>45583.442766203705</v>
      </c>
      <c r="B145" t="s">
        <v>231</v>
      </c>
      <c r="C145" t="s">
        <v>104</v>
      </c>
      <c r="E145" t="s">
        <v>1364</v>
      </c>
      <c r="F145" t="s">
        <v>1372</v>
      </c>
      <c r="G145">
        <v>-28</v>
      </c>
    </row>
    <row r="146" spans="1:7" x14ac:dyDescent="0.25">
      <c r="A146" s="40">
        <v>45583.442766203705</v>
      </c>
      <c r="B146" t="s">
        <v>231</v>
      </c>
      <c r="C146" t="s">
        <v>230</v>
      </c>
      <c r="E146" t="s">
        <v>1364</v>
      </c>
      <c r="F146" t="s">
        <v>1372</v>
      </c>
      <c r="G146">
        <v>-28</v>
      </c>
    </row>
    <row r="147" spans="1:7" x14ac:dyDescent="0.25">
      <c r="A147" s="40">
        <v>45589.311574074076</v>
      </c>
      <c r="B147" t="s">
        <v>232</v>
      </c>
      <c r="C147" t="s">
        <v>1</v>
      </c>
      <c r="E147" t="s">
        <v>1364</v>
      </c>
      <c r="F147" t="s">
        <v>1372</v>
      </c>
      <c r="G147">
        <v>-6700</v>
      </c>
    </row>
    <row r="148" spans="1:7" x14ac:dyDescent="0.25">
      <c r="A148" s="40">
        <v>45589.311574074076</v>
      </c>
      <c r="B148" t="s">
        <v>232</v>
      </c>
      <c r="C148" t="s">
        <v>2</v>
      </c>
      <c r="E148" t="s">
        <v>1364</v>
      </c>
      <c r="F148" t="s">
        <v>1372</v>
      </c>
      <c r="G148">
        <v>-135</v>
      </c>
    </row>
    <row r="149" spans="1:7" x14ac:dyDescent="0.25">
      <c r="A149" s="40">
        <v>45589.311574074076</v>
      </c>
      <c r="B149" t="s">
        <v>232</v>
      </c>
      <c r="C149" t="s">
        <v>3</v>
      </c>
      <c r="E149" t="s">
        <v>1364</v>
      </c>
      <c r="F149" t="s">
        <v>1372</v>
      </c>
      <c r="G149">
        <v>-560</v>
      </c>
    </row>
    <row r="150" spans="1:7" x14ac:dyDescent="0.25">
      <c r="A150" s="40">
        <v>45589.311574074076</v>
      </c>
      <c r="B150" t="s">
        <v>232</v>
      </c>
      <c r="C150" t="s">
        <v>5</v>
      </c>
      <c r="E150" t="s">
        <v>1364</v>
      </c>
      <c r="F150" t="s">
        <v>1372</v>
      </c>
      <c r="G150">
        <v>-240</v>
      </c>
    </row>
    <row r="151" spans="1:7" x14ac:dyDescent="0.25">
      <c r="A151" s="40">
        <v>45589.311574074076</v>
      </c>
      <c r="B151" t="s">
        <v>232</v>
      </c>
      <c r="C151" t="s">
        <v>6</v>
      </c>
      <c r="E151" t="s">
        <v>1364</v>
      </c>
      <c r="F151" t="s">
        <v>1372</v>
      </c>
      <c r="G151">
        <v>-560</v>
      </c>
    </row>
    <row r="152" spans="1:7" x14ac:dyDescent="0.25">
      <c r="A152" s="40">
        <v>45589.311574074076</v>
      </c>
      <c r="B152" t="s">
        <v>232</v>
      </c>
      <c r="C152" t="s">
        <v>9</v>
      </c>
      <c r="E152" t="s">
        <v>1364</v>
      </c>
      <c r="F152" t="s">
        <v>1372</v>
      </c>
      <c r="G152">
        <v>-240</v>
      </c>
    </row>
    <row r="153" spans="1:7" x14ac:dyDescent="0.25">
      <c r="A153" s="40">
        <v>45589.311574074076</v>
      </c>
      <c r="B153" t="s">
        <v>232</v>
      </c>
      <c r="C153" t="s">
        <v>26</v>
      </c>
      <c r="E153" t="s">
        <v>1364</v>
      </c>
      <c r="F153" t="s">
        <v>1372</v>
      </c>
      <c r="G153">
        <v>-135</v>
      </c>
    </row>
    <row r="154" spans="1:7" x14ac:dyDescent="0.25">
      <c r="A154" s="40">
        <v>45589.311574074076</v>
      </c>
      <c r="B154" t="s">
        <v>232</v>
      </c>
      <c r="C154" t="s">
        <v>33</v>
      </c>
      <c r="E154" t="s">
        <v>1364</v>
      </c>
      <c r="F154" t="s">
        <v>1372</v>
      </c>
      <c r="G154">
        <v>-135</v>
      </c>
    </row>
    <row r="155" spans="1:7" x14ac:dyDescent="0.25">
      <c r="A155" s="40">
        <v>45589.311574074076</v>
      </c>
      <c r="B155" t="s">
        <v>232</v>
      </c>
      <c r="C155" t="s">
        <v>34</v>
      </c>
      <c r="E155" t="s">
        <v>1364</v>
      </c>
      <c r="F155" t="s">
        <v>1372</v>
      </c>
      <c r="G155">
        <v>-350</v>
      </c>
    </row>
    <row r="156" spans="1:7" x14ac:dyDescent="0.25">
      <c r="A156" s="40">
        <v>45589.311574074076</v>
      </c>
      <c r="B156" t="s">
        <v>232</v>
      </c>
      <c r="C156" t="s">
        <v>35</v>
      </c>
      <c r="E156" t="s">
        <v>1364</v>
      </c>
      <c r="F156" t="s">
        <v>1372</v>
      </c>
      <c r="G156">
        <v>-980</v>
      </c>
    </row>
    <row r="157" spans="1:7" x14ac:dyDescent="0.25">
      <c r="A157" s="40">
        <v>45589.311574074076</v>
      </c>
      <c r="B157" t="s">
        <v>232</v>
      </c>
      <c r="C157" t="s">
        <v>36</v>
      </c>
      <c r="E157" t="s">
        <v>1364</v>
      </c>
      <c r="F157" t="s">
        <v>1372</v>
      </c>
      <c r="G157">
        <v>-1350</v>
      </c>
    </row>
    <row r="158" spans="1:7" x14ac:dyDescent="0.25">
      <c r="A158" s="40">
        <v>45589.311574074076</v>
      </c>
      <c r="B158" t="s">
        <v>232</v>
      </c>
      <c r="C158" t="s">
        <v>37</v>
      </c>
      <c r="E158" t="s">
        <v>1364</v>
      </c>
      <c r="F158" t="s">
        <v>1372</v>
      </c>
      <c r="G158">
        <v>-240</v>
      </c>
    </row>
    <row r="159" spans="1:7" x14ac:dyDescent="0.25">
      <c r="A159" s="40">
        <v>45589.311574074076</v>
      </c>
      <c r="B159" t="s">
        <v>232</v>
      </c>
      <c r="C159" t="s">
        <v>41</v>
      </c>
      <c r="E159" t="s">
        <v>1364</v>
      </c>
      <c r="F159" t="s">
        <v>1372</v>
      </c>
      <c r="G159">
        <v>-135</v>
      </c>
    </row>
    <row r="160" spans="1:7" x14ac:dyDescent="0.25">
      <c r="A160" s="40">
        <v>45589.311574074076</v>
      </c>
      <c r="B160" t="s">
        <v>232</v>
      </c>
      <c r="C160" t="s">
        <v>42</v>
      </c>
      <c r="E160" t="s">
        <v>1364</v>
      </c>
      <c r="F160" t="s">
        <v>1372</v>
      </c>
      <c r="G160">
        <v>-450</v>
      </c>
    </row>
    <row r="161" spans="1:7" x14ac:dyDescent="0.25">
      <c r="A161" s="40">
        <v>45589.311574074076</v>
      </c>
      <c r="B161" t="s">
        <v>232</v>
      </c>
      <c r="C161" t="s">
        <v>43</v>
      </c>
      <c r="E161" t="s">
        <v>1364</v>
      </c>
      <c r="F161" t="s">
        <v>1372</v>
      </c>
      <c r="G161">
        <v>-240</v>
      </c>
    </row>
    <row r="162" spans="1:7" x14ac:dyDescent="0.25">
      <c r="A162" s="40">
        <v>45589.311574074076</v>
      </c>
      <c r="B162" t="s">
        <v>232</v>
      </c>
      <c r="C162" t="s">
        <v>44</v>
      </c>
      <c r="E162" t="s">
        <v>1364</v>
      </c>
      <c r="F162" t="s">
        <v>1372</v>
      </c>
      <c r="G162">
        <v>-400</v>
      </c>
    </row>
    <row r="163" spans="1:7" x14ac:dyDescent="0.25">
      <c r="A163" s="40">
        <v>45589.311574074076</v>
      </c>
      <c r="B163" t="s">
        <v>232</v>
      </c>
      <c r="C163" t="s">
        <v>45</v>
      </c>
      <c r="E163" t="s">
        <v>1364</v>
      </c>
      <c r="F163" t="s">
        <v>1372</v>
      </c>
      <c r="G163">
        <v>-135</v>
      </c>
    </row>
    <row r="164" spans="1:7" x14ac:dyDescent="0.25">
      <c r="A164" s="40">
        <v>45589.311574074076</v>
      </c>
      <c r="B164" t="s">
        <v>232</v>
      </c>
      <c r="C164" t="s">
        <v>46</v>
      </c>
      <c r="E164" t="s">
        <v>1364</v>
      </c>
      <c r="F164" t="s">
        <v>1372</v>
      </c>
      <c r="G164">
        <v>-135</v>
      </c>
    </row>
    <row r="165" spans="1:7" x14ac:dyDescent="0.25">
      <c r="A165" s="40">
        <v>45589.311574074076</v>
      </c>
      <c r="B165" t="s">
        <v>232</v>
      </c>
      <c r="C165" t="s">
        <v>50</v>
      </c>
      <c r="E165" t="s">
        <v>1364</v>
      </c>
      <c r="F165" t="s">
        <v>1372</v>
      </c>
      <c r="G165">
        <v>-450</v>
      </c>
    </row>
    <row r="166" spans="1:7" x14ac:dyDescent="0.25">
      <c r="A166" s="40">
        <v>45589.311574074076</v>
      </c>
      <c r="B166" t="s">
        <v>232</v>
      </c>
      <c r="C166" t="s">
        <v>51</v>
      </c>
      <c r="E166" t="s">
        <v>1364</v>
      </c>
      <c r="F166" t="s">
        <v>1372</v>
      </c>
      <c r="G166">
        <v>-660</v>
      </c>
    </row>
    <row r="167" spans="1:7" x14ac:dyDescent="0.25">
      <c r="A167" s="40">
        <v>45589.311574074076</v>
      </c>
      <c r="B167" t="s">
        <v>232</v>
      </c>
      <c r="C167" t="s">
        <v>52</v>
      </c>
      <c r="E167" t="s">
        <v>1364</v>
      </c>
      <c r="F167" t="s">
        <v>1372</v>
      </c>
      <c r="G167">
        <v>-135</v>
      </c>
    </row>
    <row r="168" spans="1:7" x14ac:dyDescent="0.25">
      <c r="A168" s="40">
        <v>45589.311574074076</v>
      </c>
      <c r="B168" t="s">
        <v>232</v>
      </c>
      <c r="C168" t="s">
        <v>53</v>
      </c>
      <c r="E168" t="s">
        <v>1364</v>
      </c>
      <c r="F168" t="s">
        <v>1372</v>
      </c>
      <c r="G168">
        <v>-880</v>
      </c>
    </row>
    <row r="169" spans="1:7" x14ac:dyDescent="0.25">
      <c r="A169" s="40">
        <v>45589.311574074076</v>
      </c>
      <c r="B169" t="s">
        <v>232</v>
      </c>
      <c r="C169" t="s">
        <v>54</v>
      </c>
      <c r="E169" t="s">
        <v>1364</v>
      </c>
      <c r="F169" t="s">
        <v>1372</v>
      </c>
      <c r="G169">
        <v>-560</v>
      </c>
    </row>
    <row r="170" spans="1:7" x14ac:dyDescent="0.25">
      <c r="A170" s="40">
        <v>45589.311574074076</v>
      </c>
      <c r="B170" t="s">
        <v>232</v>
      </c>
      <c r="C170" t="s">
        <v>55</v>
      </c>
      <c r="E170" t="s">
        <v>1364</v>
      </c>
      <c r="F170" t="s">
        <v>1372</v>
      </c>
      <c r="G170">
        <v>-240</v>
      </c>
    </row>
    <row r="171" spans="1:7" x14ac:dyDescent="0.25">
      <c r="A171" s="40">
        <v>45589.311574074076</v>
      </c>
      <c r="B171" t="s">
        <v>232</v>
      </c>
      <c r="C171" t="s">
        <v>56</v>
      </c>
      <c r="E171" t="s">
        <v>1364</v>
      </c>
      <c r="F171" t="s">
        <v>1372</v>
      </c>
      <c r="G171">
        <v>-350</v>
      </c>
    </row>
    <row r="172" spans="1:7" x14ac:dyDescent="0.25">
      <c r="A172" s="40">
        <v>45589.311574074076</v>
      </c>
      <c r="B172" t="s">
        <v>232</v>
      </c>
      <c r="C172" t="s">
        <v>58</v>
      </c>
      <c r="E172" t="s">
        <v>1364</v>
      </c>
      <c r="F172" t="s">
        <v>1372</v>
      </c>
      <c r="G172">
        <v>-450</v>
      </c>
    </row>
    <row r="173" spans="1:7" x14ac:dyDescent="0.25">
      <c r="A173" s="40">
        <v>45589.311574074076</v>
      </c>
      <c r="B173" t="s">
        <v>232</v>
      </c>
      <c r="C173" t="s">
        <v>59</v>
      </c>
      <c r="E173" t="s">
        <v>1364</v>
      </c>
      <c r="F173" t="s">
        <v>1372</v>
      </c>
      <c r="G173">
        <v>-70</v>
      </c>
    </row>
    <row r="174" spans="1:7" x14ac:dyDescent="0.25">
      <c r="A174" s="40">
        <v>45589.311574074076</v>
      </c>
      <c r="B174" t="s">
        <v>232</v>
      </c>
      <c r="C174" t="s">
        <v>62</v>
      </c>
      <c r="E174" t="s">
        <v>1364</v>
      </c>
      <c r="F174" t="s">
        <v>1372</v>
      </c>
      <c r="G174">
        <v>-135</v>
      </c>
    </row>
    <row r="175" spans="1:7" x14ac:dyDescent="0.25">
      <c r="A175" s="40">
        <v>45589.311574074076</v>
      </c>
      <c r="B175" t="s">
        <v>232</v>
      </c>
      <c r="C175" t="s">
        <v>63</v>
      </c>
      <c r="E175" t="s">
        <v>1364</v>
      </c>
      <c r="F175" t="s">
        <v>1372</v>
      </c>
      <c r="G175">
        <v>-350</v>
      </c>
    </row>
    <row r="176" spans="1:7" x14ac:dyDescent="0.25">
      <c r="A176" s="40">
        <v>45589.311574074076</v>
      </c>
      <c r="B176" t="s">
        <v>232</v>
      </c>
      <c r="C176" t="s">
        <v>64</v>
      </c>
      <c r="E176" t="s">
        <v>1364</v>
      </c>
      <c r="F176" t="s">
        <v>1372</v>
      </c>
      <c r="G176">
        <v>-240</v>
      </c>
    </row>
    <row r="177" spans="1:7" x14ac:dyDescent="0.25">
      <c r="A177" s="40">
        <v>45589.311574074076</v>
      </c>
      <c r="B177" t="s">
        <v>232</v>
      </c>
      <c r="C177" t="s">
        <v>65</v>
      </c>
      <c r="E177" t="s">
        <v>1364</v>
      </c>
      <c r="F177" t="s">
        <v>1372</v>
      </c>
      <c r="G177">
        <v>-135</v>
      </c>
    </row>
    <row r="178" spans="1:7" x14ac:dyDescent="0.25">
      <c r="A178" s="40">
        <v>45589.311574074076</v>
      </c>
      <c r="B178" t="s">
        <v>232</v>
      </c>
      <c r="C178" t="s">
        <v>66</v>
      </c>
      <c r="E178" t="s">
        <v>1364</v>
      </c>
      <c r="F178" t="s">
        <v>1372</v>
      </c>
      <c r="G178">
        <v>-1100</v>
      </c>
    </row>
    <row r="179" spans="1:7" x14ac:dyDescent="0.25">
      <c r="A179" s="40">
        <v>45589.311574074076</v>
      </c>
      <c r="B179" t="s">
        <v>232</v>
      </c>
      <c r="C179" t="s">
        <v>68</v>
      </c>
      <c r="E179" t="s">
        <v>1364</v>
      </c>
      <c r="F179" t="s">
        <v>1372</v>
      </c>
      <c r="G179">
        <v>-610</v>
      </c>
    </row>
    <row r="180" spans="1:7" x14ac:dyDescent="0.25">
      <c r="A180" s="40">
        <v>45589.311574074076</v>
      </c>
      <c r="B180" t="s">
        <v>232</v>
      </c>
      <c r="C180" t="s">
        <v>69</v>
      </c>
      <c r="E180" t="s">
        <v>1364</v>
      </c>
      <c r="F180" t="s">
        <v>1372</v>
      </c>
      <c r="G180">
        <v>-610</v>
      </c>
    </row>
    <row r="181" spans="1:7" x14ac:dyDescent="0.25">
      <c r="A181" s="40">
        <v>45589.311574074076</v>
      </c>
      <c r="B181" t="s">
        <v>232</v>
      </c>
      <c r="C181" t="s">
        <v>94</v>
      </c>
      <c r="E181" t="s">
        <v>1364</v>
      </c>
      <c r="F181" t="s">
        <v>1372</v>
      </c>
      <c r="G181">
        <v>-1100</v>
      </c>
    </row>
    <row r="182" spans="1:7" x14ac:dyDescent="0.25">
      <c r="A182" s="40">
        <v>45589.311574074076</v>
      </c>
      <c r="B182" t="s">
        <v>232</v>
      </c>
      <c r="C182" t="s">
        <v>229</v>
      </c>
      <c r="E182" t="s">
        <v>1364</v>
      </c>
      <c r="F182" t="s">
        <v>1372</v>
      </c>
      <c r="G182">
        <v>-450</v>
      </c>
    </row>
    <row r="183" spans="1:7" x14ac:dyDescent="0.25">
      <c r="A183" s="40">
        <v>45589.311574074076</v>
      </c>
      <c r="B183" t="s">
        <v>232</v>
      </c>
      <c r="C183" t="s">
        <v>230</v>
      </c>
      <c r="E183" t="s">
        <v>1364</v>
      </c>
      <c r="F183" t="s">
        <v>1372</v>
      </c>
      <c r="G183">
        <v>-350</v>
      </c>
    </row>
    <row r="184" spans="1:7" x14ac:dyDescent="0.25">
      <c r="A184" s="40">
        <v>45635.474907407406</v>
      </c>
      <c r="B184" t="s">
        <v>233</v>
      </c>
      <c r="C184" t="s">
        <v>2</v>
      </c>
      <c r="E184" t="s">
        <v>1364</v>
      </c>
      <c r="F184" t="s">
        <v>1372</v>
      </c>
      <c r="G184">
        <v>-122</v>
      </c>
    </row>
    <row r="185" spans="1:7" x14ac:dyDescent="0.25">
      <c r="A185" s="40">
        <v>45635.474907407406</v>
      </c>
      <c r="B185" t="s">
        <v>233</v>
      </c>
      <c r="C185" t="s">
        <v>3</v>
      </c>
      <c r="E185" t="s">
        <v>1364</v>
      </c>
      <c r="F185" t="s">
        <v>1372</v>
      </c>
      <c r="G185">
        <v>-176</v>
      </c>
    </row>
    <row r="186" spans="1:7" x14ac:dyDescent="0.25">
      <c r="A186" s="40">
        <v>45635.474907407406</v>
      </c>
      <c r="B186" t="s">
        <v>233</v>
      </c>
      <c r="C186" t="s">
        <v>4</v>
      </c>
      <c r="E186" t="s">
        <v>1364</v>
      </c>
      <c r="F186" t="s">
        <v>1372</v>
      </c>
      <c r="G186">
        <v>-24</v>
      </c>
    </row>
    <row r="187" spans="1:7" x14ac:dyDescent="0.25">
      <c r="A187" s="40">
        <v>45635.474907407406</v>
      </c>
      <c r="B187" t="s">
        <v>233</v>
      </c>
      <c r="C187" t="s">
        <v>6</v>
      </c>
      <c r="E187" t="s">
        <v>1364</v>
      </c>
      <c r="F187" t="s">
        <v>1372</v>
      </c>
      <c r="G187">
        <v>-27</v>
      </c>
    </row>
    <row r="188" spans="1:7" x14ac:dyDescent="0.25">
      <c r="A188" s="40">
        <v>45635.474907407406</v>
      </c>
      <c r="B188" t="s">
        <v>233</v>
      </c>
      <c r="C188" t="s">
        <v>9</v>
      </c>
      <c r="E188" t="s">
        <v>1364</v>
      </c>
      <c r="F188" t="s">
        <v>1372</v>
      </c>
      <c r="G188">
        <v>-34</v>
      </c>
    </row>
    <row r="189" spans="1:7" x14ac:dyDescent="0.25">
      <c r="A189" s="40">
        <v>45635.474907407406</v>
      </c>
      <c r="B189" t="s">
        <v>233</v>
      </c>
      <c r="C189" t="s">
        <v>10</v>
      </c>
      <c r="E189" t="s">
        <v>1364</v>
      </c>
      <c r="F189" t="s">
        <v>1372</v>
      </c>
      <c r="G189">
        <v>-111</v>
      </c>
    </row>
    <row r="190" spans="1:7" x14ac:dyDescent="0.25">
      <c r="A190" s="40">
        <v>45635.474907407406</v>
      </c>
      <c r="B190" t="s">
        <v>233</v>
      </c>
      <c r="C190" t="s">
        <v>20</v>
      </c>
      <c r="E190" t="s">
        <v>1364</v>
      </c>
      <c r="F190" t="s">
        <v>1372</v>
      </c>
      <c r="G190">
        <v>-203</v>
      </c>
    </row>
    <row r="191" spans="1:7" x14ac:dyDescent="0.25">
      <c r="A191" s="40">
        <v>45635.474907407406</v>
      </c>
      <c r="B191" t="s">
        <v>233</v>
      </c>
      <c r="C191" t="s">
        <v>27</v>
      </c>
      <c r="E191" t="s">
        <v>1364</v>
      </c>
      <c r="F191" t="s">
        <v>1372</v>
      </c>
      <c r="G191">
        <v>-365</v>
      </c>
    </row>
    <row r="192" spans="1:7" x14ac:dyDescent="0.25">
      <c r="A192" s="40">
        <v>45635.474907407406</v>
      </c>
      <c r="B192" t="s">
        <v>233</v>
      </c>
      <c r="C192" t="s">
        <v>29</v>
      </c>
      <c r="E192" t="s">
        <v>1364</v>
      </c>
      <c r="F192" t="s">
        <v>1372</v>
      </c>
      <c r="G192">
        <v>-62</v>
      </c>
    </row>
    <row r="193" spans="1:7" x14ac:dyDescent="0.25">
      <c r="A193" s="40">
        <v>45635.474907407406</v>
      </c>
      <c r="B193" t="s">
        <v>233</v>
      </c>
      <c r="C193" t="s">
        <v>32</v>
      </c>
      <c r="E193" t="s">
        <v>1364</v>
      </c>
      <c r="F193" t="s">
        <v>1372</v>
      </c>
      <c r="G193">
        <v>-27</v>
      </c>
    </row>
    <row r="194" spans="1:7" x14ac:dyDescent="0.25">
      <c r="A194" s="40">
        <v>45635.474907407406</v>
      </c>
      <c r="B194" t="s">
        <v>233</v>
      </c>
      <c r="C194" t="s">
        <v>36</v>
      </c>
      <c r="E194" t="s">
        <v>1364</v>
      </c>
      <c r="F194" t="s">
        <v>1372</v>
      </c>
      <c r="G194">
        <v>-63</v>
      </c>
    </row>
    <row r="195" spans="1:7" x14ac:dyDescent="0.25">
      <c r="A195" s="40">
        <v>45635.474907407406</v>
      </c>
      <c r="B195" t="s">
        <v>233</v>
      </c>
      <c r="C195" t="s">
        <v>37</v>
      </c>
      <c r="E195" t="s">
        <v>1364</v>
      </c>
      <c r="F195" t="s">
        <v>1372</v>
      </c>
      <c r="G195">
        <v>-21</v>
      </c>
    </row>
    <row r="196" spans="1:7" x14ac:dyDescent="0.25">
      <c r="A196" s="40">
        <v>45635.474907407406</v>
      </c>
      <c r="B196" t="s">
        <v>233</v>
      </c>
      <c r="C196" t="s">
        <v>38</v>
      </c>
      <c r="E196" t="s">
        <v>1364</v>
      </c>
      <c r="F196" t="s">
        <v>1372</v>
      </c>
      <c r="G196">
        <v>-41</v>
      </c>
    </row>
    <row r="197" spans="1:7" x14ac:dyDescent="0.25">
      <c r="A197" s="40">
        <v>45635.474907407406</v>
      </c>
      <c r="B197" t="s">
        <v>233</v>
      </c>
      <c r="C197" t="s">
        <v>39</v>
      </c>
      <c r="E197" t="s">
        <v>1364</v>
      </c>
      <c r="F197" t="s">
        <v>1372</v>
      </c>
      <c r="G197">
        <v>-41</v>
      </c>
    </row>
    <row r="198" spans="1:7" x14ac:dyDescent="0.25">
      <c r="A198" s="40">
        <v>45635.474907407406</v>
      </c>
      <c r="B198" t="s">
        <v>233</v>
      </c>
      <c r="C198" t="s">
        <v>40</v>
      </c>
      <c r="E198" t="s">
        <v>1364</v>
      </c>
      <c r="F198" t="s">
        <v>1372</v>
      </c>
      <c r="G198">
        <v>-34</v>
      </c>
    </row>
    <row r="199" spans="1:7" x14ac:dyDescent="0.25">
      <c r="A199" s="40">
        <v>45635.474907407406</v>
      </c>
      <c r="B199" t="s">
        <v>233</v>
      </c>
      <c r="C199" t="s">
        <v>41</v>
      </c>
      <c r="E199" t="s">
        <v>1364</v>
      </c>
      <c r="F199" t="s">
        <v>1372</v>
      </c>
      <c r="G199">
        <v>-35</v>
      </c>
    </row>
    <row r="200" spans="1:7" x14ac:dyDescent="0.25">
      <c r="A200" s="40">
        <v>45635.474907407406</v>
      </c>
      <c r="B200" t="s">
        <v>233</v>
      </c>
      <c r="C200" t="s">
        <v>42</v>
      </c>
      <c r="E200" t="s">
        <v>1364</v>
      </c>
      <c r="F200" t="s">
        <v>1372</v>
      </c>
      <c r="G200">
        <v>-57</v>
      </c>
    </row>
    <row r="201" spans="1:7" x14ac:dyDescent="0.25">
      <c r="A201" s="40">
        <v>45635.474907407406</v>
      </c>
      <c r="B201" t="s">
        <v>233</v>
      </c>
      <c r="C201" t="s">
        <v>44</v>
      </c>
      <c r="E201" t="s">
        <v>1364</v>
      </c>
      <c r="F201" t="s">
        <v>1372</v>
      </c>
      <c r="G201">
        <v>-69</v>
      </c>
    </row>
    <row r="202" spans="1:7" x14ac:dyDescent="0.25">
      <c r="A202" s="40">
        <v>45635.474907407406</v>
      </c>
      <c r="B202" t="s">
        <v>233</v>
      </c>
      <c r="C202" t="s">
        <v>45</v>
      </c>
      <c r="E202" t="s">
        <v>1364</v>
      </c>
      <c r="F202" t="s">
        <v>1372</v>
      </c>
      <c r="G202">
        <v>-27</v>
      </c>
    </row>
    <row r="203" spans="1:7" x14ac:dyDescent="0.25">
      <c r="A203" s="40">
        <v>45635.474907407406</v>
      </c>
      <c r="B203" t="s">
        <v>233</v>
      </c>
      <c r="C203" t="s">
        <v>47</v>
      </c>
      <c r="E203" t="s">
        <v>1364</v>
      </c>
      <c r="F203" t="s">
        <v>1372</v>
      </c>
      <c r="G203">
        <v>-183</v>
      </c>
    </row>
    <row r="204" spans="1:7" x14ac:dyDescent="0.25">
      <c r="A204" s="40">
        <v>45635.474907407406</v>
      </c>
      <c r="B204" t="s">
        <v>233</v>
      </c>
      <c r="C204" t="s">
        <v>55</v>
      </c>
      <c r="E204" t="s">
        <v>1364</v>
      </c>
      <c r="F204" t="s">
        <v>1372</v>
      </c>
      <c r="G204">
        <v>-36</v>
      </c>
    </row>
    <row r="205" spans="1:7" x14ac:dyDescent="0.25">
      <c r="A205" s="40">
        <v>45635.474907407406</v>
      </c>
      <c r="B205" t="s">
        <v>233</v>
      </c>
      <c r="C205" t="s">
        <v>56</v>
      </c>
      <c r="E205" t="s">
        <v>1364</v>
      </c>
      <c r="F205" t="s">
        <v>1372</v>
      </c>
      <c r="G205">
        <v>-28</v>
      </c>
    </row>
    <row r="206" spans="1:7" x14ac:dyDescent="0.25">
      <c r="A206" s="40">
        <v>45635.474907407406</v>
      </c>
      <c r="B206" t="s">
        <v>233</v>
      </c>
      <c r="C206" t="s">
        <v>57</v>
      </c>
      <c r="E206" t="s">
        <v>1364</v>
      </c>
      <c r="F206" t="s">
        <v>1372</v>
      </c>
      <c r="G206">
        <v>-27</v>
      </c>
    </row>
    <row r="207" spans="1:7" x14ac:dyDescent="0.25">
      <c r="A207" s="40">
        <v>45635.474907407406</v>
      </c>
      <c r="B207" t="s">
        <v>233</v>
      </c>
      <c r="C207" t="s">
        <v>58</v>
      </c>
      <c r="E207" t="s">
        <v>1364</v>
      </c>
      <c r="F207" t="s">
        <v>1372</v>
      </c>
      <c r="G207">
        <v>-27</v>
      </c>
    </row>
    <row r="208" spans="1:7" x14ac:dyDescent="0.25">
      <c r="A208" s="40">
        <v>45635.474907407406</v>
      </c>
      <c r="B208" t="s">
        <v>233</v>
      </c>
      <c r="C208" t="s">
        <v>60</v>
      </c>
      <c r="E208" t="s">
        <v>1364</v>
      </c>
      <c r="F208" t="s">
        <v>1372</v>
      </c>
      <c r="G208">
        <v>-115</v>
      </c>
    </row>
    <row r="209" spans="1:7" x14ac:dyDescent="0.25">
      <c r="A209" s="40">
        <v>45635.474907407406</v>
      </c>
      <c r="B209" t="s">
        <v>233</v>
      </c>
      <c r="C209" t="s">
        <v>61</v>
      </c>
      <c r="E209" t="s">
        <v>1364</v>
      </c>
      <c r="F209" t="s">
        <v>1372</v>
      </c>
      <c r="G209">
        <v>-69</v>
      </c>
    </row>
    <row r="210" spans="1:7" x14ac:dyDescent="0.25">
      <c r="A210" s="40">
        <v>45635.474907407406</v>
      </c>
      <c r="B210" t="s">
        <v>233</v>
      </c>
      <c r="C210" t="s">
        <v>63</v>
      </c>
      <c r="E210" t="s">
        <v>1364</v>
      </c>
      <c r="F210" t="s">
        <v>1372</v>
      </c>
      <c r="G210">
        <v>-21</v>
      </c>
    </row>
    <row r="211" spans="1:7" x14ac:dyDescent="0.25">
      <c r="A211" s="40">
        <v>45635.474907407406</v>
      </c>
      <c r="B211" t="s">
        <v>233</v>
      </c>
      <c r="C211" t="s">
        <v>66</v>
      </c>
      <c r="E211" t="s">
        <v>1364</v>
      </c>
      <c r="F211" t="s">
        <v>1372</v>
      </c>
      <c r="G211">
        <v>-34</v>
      </c>
    </row>
    <row r="212" spans="1:7" x14ac:dyDescent="0.25">
      <c r="A212" s="40">
        <v>45635.474907407406</v>
      </c>
      <c r="B212" t="s">
        <v>233</v>
      </c>
      <c r="C212" t="s">
        <v>68</v>
      </c>
      <c r="E212" t="s">
        <v>1364</v>
      </c>
      <c r="F212" t="s">
        <v>1372</v>
      </c>
      <c r="G212">
        <v>-76</v>
      </c>
    </row>
    <row r="213" spans="1:7" x14ac:dyDescent="0.25">
      <c r="A213" s="40">
        <v>45635.474907407406</v>
      </c>
      <c r="B213" t="s">
        <v>233</v>
      </c>
      <c r="C213" t="s">
        <v>69</v>
      </c>
      <c r="E213" t="s">
        <v>1364</v>
      </c>
      <c r="F213" t="s">
        <v>1372</v>
      </c>
      <c r="G213">
        <v>-69</v>
      </c>
    </row>
    <row r="214" spans="1:7" x14ac:dyDescent="0.25">
      <c r="A214" s="40">
        <v>45635.474907407406</v>
      </c>
      <c r="B214" t="s">
        <v>233</v>
      </c>
      <c r="C214" t="s">
        <v>75</v>
      </c>
      <c r="E214" t="s">
        <v>1364</v>
      </c>
      <c r="F214" t="s">
        <v>1372</v>
      </c>
      <c r="G214">
        <v>-41</v>
      </c>
    </row>
    <row r="215" spans="1:7" x14ac:dyDescent="0.25">
      <c r="A215" s="40">
        <v>45635.474907407406</v>
      </c>
      <c r="B215" t="s">
        <v>233</v>
      </c>
      <c r="C215" t="s">
        <v>76</v>
      </c>
      <c r="E215" t="s">
        <v>1364</v>
      </c>
      <c r="F215" t="s">
        <v>1372</v>
      </c>
      <c r="G215">
        <v>-38</v>
      </c>
    </row>
    <row r="216" spans="1:7" x14ac:dyDescent="0.25">
      <c r="A216" s="40">
        <v>45635.474907407406</v>
      </c>
      <c r="B216" t="s">
        <v>233</v>
      </c>
      <c r="C216" t="s">
        <v>79</v>
      </c>
      <c r="E216" t="s">
        <v>1364</v>
      </c>
      <c r="F216" t="s">
        <v>1372</v>
      </c>
      <c r="G216">
        <v>-27</v>
      </c>
    </row>
    <row r="217" spans="1:7" x14ac:dyDescent="0.25">
      <c r="A217" s="40">
        <v>45635.474907407406</v>
      </c>
      <c r="B217" t="s">
        <v>233</v>
      </c>
      <c r="C217" t="s">
        <v>81</v>
      </c>
      <c r="E217" t="s">
        <v>1364</v>
      </c>
      <c r="F217" t="s">
        <v>1372</v>
      </c>
      <c r="G217">
        <v>-74</v>
      </c>
    </row>
    <row r="218" spans="1:7" x14ac:dyDescent="0.25">
      <c r="A218" s="40">
        <v>45635.474907407406</v>
      </c>
      <c r="B218" t="s">
        <v>233</v>
      </c>
      <c r="C218" t="s">
        <v>82</v>
      </c>
      <c r="E218" t="s">
        <v>1364</v>
      </c>
      <c r="F218" t="s">
        <v>1372</v>
      </c>
      <c r="G218">
        <v>-69</v>
      </c>
    </row>
    <row r="219" spans="1:7" x14ac:dyDescent="0.25">
      <c r="A219" s="40">
        <v>45635.474907407406</v>
      </c>
      <c r="B219" t="s">
        <v>233</v>
      </c>
      <c r="C219" t="s">
        <v>84</v>
      </c>
      <c r="E219" t="s">
        <v>1364</v>
      </c>
      <c r="F219" t="s">
        <v>1372</v>
      </c>
      <c r="G219">
        <v>-50</v>
      </c>
    </row>
    <row r="220" spans="1:7" x14ac:dyDescent="0.25">
      <c r="A220" s="40">
        <v>45635.474907407406</v>
      </c>
      <c r="B220" t="s">
        <v>233</v>
      </c>
      <c r="C220" t="s">
        <v>89</v>
      </c>
      <c r="E220" t="s">
        <v>1364</v>
      </c>
      <c r="F220" t="s">
        <v>1372</v>
      </c>
      <c r="G220">
        <v>-140</v>
      </c>
    </row>
    <row r="221" spans="1:7" x14ac:dyDescent="0.25">
      <c r="A221" s="40">
        <v>45635.474907407406</v>
      </c>
      <c r="B221" t="s">
        <v>233</v>
      </c>
      <c r="C221" t="s">
        <v>90</v>
      </c>
      <c r="E221" t="s">
        <v>1364</v>
      </c>
      <c r="F221" t="s">
        <v>1372</v>
      </c>
      <c r="G221">
        <v>-23</v>
      </c>
    </row>
    <row r="222" spans="1:7" x14ac:dyDescent="0.25">
      <c r="A222" s="40">
        <v>45635.474907407406</v>
      </c>
      <c r="B222" t="s">
        <v>233</v>
      </c>
      <c r="C222" t="s">
        <v>91</v>
      </c>
      <c r="E222" t="s">
        <v>1364</v>
      </c>
      <c r="F222" t="s">
        <v>1372</v>
      </c>
      <c r="G222">
        <v>-25</v>
      </c>
    </row>
    <row r="223" spans="1:7" x14ac:dyDescent="0.25">
      <c r="A223" s="40">
        <v>45635.474907407406</v>
      </c>
      <c r="B223" t="s">
        <v>233</v>
      </c>
      <c r="C223" t="s">
        <v>92</v>
      </c>
      <c r="E223" t="s">
        <v>1364</v>
      </c>
      <c r="F223" t="s">
        <v>1372</v>
      </c>
      <c r="G223">
        <v>-48</v>
      </c>
    </row>
    <row r="224" spans="1:7" x14ac:dyDescent="0.25">
      <c r="A224" s="40">
        <v>45635.474907407406</v>
      </c>
      <c r="B224" t="s">
        <v>233</v>
      </c>
      <c r="C224" t="s">
        <v>93</v>
      </c>
      <c r="E224" t="s">
        <v>1364</v>
      </c>
      <c r="F224" t="s">
        <v>1372</v>
      </c>
      <c r="G224">
        <v>-27</v>
      </c>
    </row>
    <row r="225" spans="1:12" x14ac:dyDescent="0.25">
      <c r="A225" s="40">
        <v>45635.474907407406</v>
      </c>
      <c r="B225" t="s">
        <v>233</v>
      </c>
      <c r="C225" t="s">
        <v>94</v>
      </c>
      <c r="E225" t="s">
        <v>1364</v>
      </c>
      <c r="F225" t="s">
        <v>1372</v>
      </c>
      <c r="G225">
        <v>-27</v>
      </c>
    </row>
    <row r="226" spans="1:12" x14ac:dyDescent="0.25">
      <c r="A226" s="40">
        <v>45635.474907407406</v>
      </c>
      <c r="B226" t="s">
        <v>233</v>
      </c>
      <c r="C226" t="s">
        <v>95</v>
      </c>
      <c r="E226" t="s">
        <v>1364</v>
      </c>
      <c r="F226" t="s">
        <v>1372</v>
      </c>
      <c r="G226">
        <v>-28</v>
      </c>
    </row>
    <row r="227" spans="1:12" x14ac:dyDescent="0.25">
      <c r="A227" s="40">
        <v>45635.474907407406</v>
      </c>
      <c r="B227" t="s">
        <v>233</v>
      </c>
      <c r="C227" t="s">
        <v>96</v>
      </c>
      <c r="E227" t="s">
        <v>1364</v>
      </c>
      <c r="F227" t="s">
        <v>1372</v>
      </c>
      <c r="G227">
        <v>-97</v>
      </c>
    </row>
    <row r="228" spans="1:12" x14ac:dyDescent="0.25">
      <c r="A228" s="40">
        <v>45635.474907407406</v>
      </c>
      <c r="B228" t="s">
        <v>233</v>
      </c>
      <c r="C228" t="s">
        <v>104</v>
      </c>
      <c r="E228" t="s">
        <v>1364</v>
      </c>
      <c r="F228" t="s">
        <v>1372</v>
      </c>
      <c r="G228">
        <v>-48</v>
      </c>
    </row>
    <row r="229" spans="1:12" x14ac:dyDescent="0.25">
      <c r="A229" s="40">
        <v>45635.474907407406</v>
      </c>
      <c r="B229" t="s">
        <v>233</v>
      </c>
      <c r="C229" t="s">
        <v>229</v>
      </c>
      <c r="E229" t="s">
        <v>1364</v>
      </c>
      <c r="F229" t="s">
        <v>1372</v>
      </c>
      <c r="G229">
        <v>-21</v>
      </c>
    </row>
    <row r="230" spans="1:12" x14ac:dyDescent="0.25">
      <c r="A230" s="40">
        <v>45635.474907407406</v>
      </c>
      <c r="B230" t="s">
        <v>233</v>
      </c>
      <c r="C230" t="s">
        <v>230</v>
      </c>
      <c r="E230" t="s">
        <v>1364</v>
      </c>
      <c r="F230" t="s">
        <v>1372</v>
      </c>
      <c r="G230">
        <v>-98</v>
      </c>
    </row>
    <row r="231" spans="1:12" x14ac:dyDescent="0.25">
      <c r="A231" s="40">
        <v>45639.31449074074</v>
      </c>
      <c r="B231" t="s">
        <v>233</v>
      </c>
      <c r="C231" t="s">
        <v>1</v>
      </c>
      <c r="E231" t="s">
        <v>1364</v>
      </c>
      <c r="F231" t="s">
        <v>695</v>
      </c>
      <c r="G231">
        <v>12000</v>
      </c>
      <c r="I231" t="s">
        <v>1120</v>
      </c>
      <c r="L231">
        <v>68.400000000000006</v>
      </c>
    </row>
    <row r="232" spans="1:12" x14ac:dyDescent="0.25">
      <c r="A232" s="40">
        <v>45639.31449074074</v>
      </c>
      <c r="B232" t="s">
        <v>233</v>
      </c>
      <c r="C232" t="s">
        <v>7</v>
      </c>
      <c r="E232" t="s">
        <v>1364</v>
      </c>
      <c r="F232" t="s">
        <v>695</v>
      </c>
      <c r="G232">
        <v>12000</v>
      </c>
      <c r="I232" t="s">
        <v>1120</v>
      </c>
      <c r="L232">
        <v>73.2</v>
      </c>
    </row>
    <row r="233" spans="1:12" x14ac:dyDescent="0.25">
      <c r="A233" s="40">
        <v>45639.334872685184</v>
      </c>
      <c r="B233" t="s">
        <v>234</v>
      </c>
      <c r="C233" t="s">
        <v>1</v>
      </c>
      <c r="E233" t="s">
        <v>1364</v>
      </c>
      <c r="F233" t="s">
        <v>1372</v>
      </c>
      <c r="G233">
        <v>-1326</v>
      </c>
    </row>
    <row r="234" spans="1:12" x14ac:dyDescent="0.25">
      <c r="A234" s="40">
        <v>45639.334872685184</v>
      </c>
      <c r="B234" t="s">
        <v>234</v>
      </c>
      <c r="C234" t="s">
        <v>3</v>
      </c>
      <c r="E234" t="s">
        <v>1364</v>
      </c>
      <c r="F234" t="s">
        <v>1372</v>
      </c>
      <c r="G234">
        <v>-70</v>
      </c>
    </row>
    <row r="235" spans="1:12" x14ac:dyDescent="0.25">
      <c r="A235" s="40">
        <v>45639.334872685184</v>
      </c>
      <c r="B235" t="s">
        <v>234</v>
      </c>
      <c r="C235" t="s">
        <v>4</v>
      </c>
      <c r="E235" t="s">
        <v>1364</v>
      </c>
      <c r="F235" t="s">
        <v>1372</v>
      </c>
      <c r="G235">
        <v>-35</v>
      </c>
    </row>
    <row r="236" spans="1:12" x14ac:dyDescent="0.25">
      <c r="A236" s="40">
        <v>45639.334872685184</v>
      </c>
      <c r="B236" t="s">
        <v>234</v>
      </c>
      <c r="C236" t="s">
        <v>5</v>
      </c>
      <c r="E236" t="s">
        <v>1364</v>
      </c>
      <c r="F236" t="s">
        <v>1372</v>
      </c>
      <c r="G236">
        <v>-175</v>
      </c>
    </row>
    <row r="237" spans="1:12" x14ac:dyDescent="0.25">
      <c r="A237" s="40">
        <v>45639.334872685184</v>
      </c>
      <c r="B237" t="s">
        <v>234</v>
      </c>
      <c r="C237" t="s">
        <v>6</v>
      </c>
      <c r="E237" t="s">
        <v>1364</v>
      </c>
      <c r="F237" t="s">
        <v>1372</v>
      </c>
      <c r="G237">
        <v>-71</v>
      </c>
    </row>
    <row r="238" spans="1:12" x14ac:dyDescent="0.25">
      <c r="A238" s="40">
        <v>45639.334872685184</v>
      </c>
      <c r="B238" t="s">
        <v>234</v>
      </c>
      <c r="C238" t="s">
        <v>7</v>
      </c>
      <c r="E238" t="s">
        <v>1364</v>
      </c>
      <c r="F238" t="s">
        <v>1372</v>
      </c>
      <c r="G238">
        <v>-338</v>
      </c>
    </row>
    <row r="239" spans="1:12" x14ac:dyDescent="0.25">
      <c r="A239" s="40">
        <v>45639.334872685184</v>
      </c>
      <c r="B239" t="s">
        <v>234</v>
      </c>
      <c r="C239" t="s">
        <v>10</v>
      </c>
      <c r="E239" t="s">
        <v>1364</v>
      </c>
      <c r="F239" t="s">
        <v>1372</v>
      </c>
      <c r="G239">
        <v>-75</v>
      </c>
    </row>
    <row r="240" spans="1:12" x14ac:dyDescent="0.25">
      <c r="A240" s="40">
        <v>45639.334872685184</v>
      </c>
      <c r="B240" t="s">
        <v>234</v>
      </c>
      <c r="C240" t="s">
        <v>11</v>
      </c>
      <c r="E240" t="s">
        <v>1364</v>
      </c>
      <c r="F240" t="s">
        <v>1372</v>
      </c>
      <c r="G240">
        <v>-26</v>
      </c>
    </row>
    <row r="241" spans="1:7" x14ac:dyDescent="0.25">
      <c r="A241" s="40">
        <v>45639.334872685184</v>
      </c>
      <c r="B241" t="s">
        <v>234</v>
      </c>
      <c r="C241" t="s">
        <v>12</v>
      </c>
      <c r="E241" t="s">
        <v>1364</v>
      </c>
      <c r="F241" t="s">
        <v>1372</v>
      </c>
      <c r="G241">
        <v>-65</v>
      </c>
    </row>
    <row r="242" spans="1:7" x14ac:dyDescent="0.25">
      <c r="A242" s="40">
        <v>45639.334872685184</v>
      </c>
      <c r="B242" t="s">
        <v>234</v>
      </c>
      <c r="C242" t="s">
        <v>13</v>
      </c>
      <c r="E242" t="s">
        <v>1364</v>
      </c>
      <c r="F242" t="s">
        <v>1372</v>
      </c>
      <c r="G242">
        <v>-40</v>
      </c>
    </row>
    <row r="243" spans="1:7" x14ac:dyDescent="0.25">
      <c r="A243" s="40">
        <v>45639.334872685184</v>
      </c>
      <c r="B243" t="s">
        <v>234</v>
      </c>
      <c r="C243" t="s">
        <v>14</v>
      </c>
      <c r="E243" t="s">
        <v>1364</v>
      </c>
      <c r="F243" t="s">
        <v>1372</v>
      </c>
      <c r="G243">
        <v>-145</v>
      </c>
    </row>
    <row r="244" spans="1:7" x14ac:dyDescent="0.25">
      <c r="A244" s="40">
        <v>45639.334872685184</v>
      </c>
      <c r="B244" t="s">
        <v>234</v>
      </c>
      <c r="C244" t="s">
        <v>15</v>
      </c>
      <c r="E244" t="s">
        <v>1364</v>
      </c>
      <c r="F244" t="s">
        <v>1372</v>
      </c>
      <c r="G244">
        <v>-285</v>
      </c>
    </row>
    <row r="245" spans="1:7" x14ac:dyDescent="0.25">
      <c r="A245" s="40">
        <v>45639.334872685184</v>
      </c>
      <c r="B245" t="s">
        <v>234</v>
      </c>
      <c r="C245" t="s">
        <v>18</v>
      </c>
      <c r="E245" t="s">
        <v>1364</v>
      </c>
      <c r="F245" t="s">
        <v>1372</v>
      </c>
      <c r="G245">
        <v>-135</v>
      </c>
    </row>
    <row r="246" spans="1:7" x14ac:dyDescent="0.25">
      <c r="A246" s="40">
        <v>45639.334872685184</v>
      </c>
      <c r="B246" t="s">
        <v>234</v>
      </c>
      <c r="C246" t="s">
        <v>20</v>
      </c>
      <c r="E246" t="s">
        <v>1364</v>
      </c>
      <c r="F246" t="s">
        <v>1372</v>
      </c>
      <c r="G246">
        <v>-330</v>
      </c>
    </row>
    <row r="247" spans="1:7" x14ac:dyDescent="0.25">
      <c r="A247" s="40">
        <v>45639.334872685184</v>
      </c>
      <c r="B247" t="s">
        <v>234</v>
      </c>
      <c r="C247" t="s">
        <v>21</v>
      </c>
      <c r="E247" t="s">
        <v>1364</v>
      </c>
      <c r="F247" t="s">
        <v>1372</v>
      </c>
      <c r="G247">
        <v>-325</v>
      </c>
    </row>
    <row r="248" spans="1:7" x14ac:dyDescent="0.25">
      <c r="A248" s="40">
        <v>45639.334872685184</v>
      </c>
      <c r="B248" t="s">
        <v>234</v>
      </c>
      <c r="C248" t="s">
        <v>24</v>
      </c>
      <c r="E248" t="s">
        <v>1364</v>
      </c>
      <c r="F248" t="s">
        <v>1372</v>
      </c>
      <c r="G248">
        <v>-165</v>
      </c>
    </row>
    <row r="249" spans="1:7" x14ac:dyDescent="0.25">
      <c r="A249" s="40">
        <v>45639.334872685184</v>
      </c>
      <c r="B249" t="s">
        <v>234</v>
      </c>
      <c r="C249" t="s">
        <v>25</v>
      </c>
      <c r="E249" t="s">
        <v>1364</v>
      </c>
      <c r="F249" t="s">
        <v>1372</v>
      </c>
      <c r="G249">
        <v>-240</v>
      </c>
    </row>
    <row r="250" spans="1:7" x14ac:dyDescent="0.25">
      <c r="A250" s="40">
        <v>45639.334872685184</v>
      </c>
      <c r="B250" t="s">
        <v>234</v>
      </c>
      <c r="C250" t="s">
        <v>27</v>
      </c>
      <c r="E250" t="s">
        <v>1364</v>
      </c>
      <c r="F250" t="s">
        <v>1372</v>
      </c>
      <c r="G250">
        <v>-600</v>
      </c>
    </row>
    <row r="251" spans="1:7" x14ac:dyDescent="0.25">
      <c r="A251" s="40">
        <v>45639.334872685184</v>
      </c>
      <c r="B251" t="s">
        <v>234</v>
      </c>
      <c r="C251" t="s">
        <v>28</v>
      </c>
      <c r="E251" t="s">
        <v>1364</v>
      </c>
      <c r="F251" t="s">
        <v>1372</v>
      </c>
      <c r="G251">
        <v>-25</v>
      </c>
    </row>
    <row r="252" spans="1:7" x14ac:dyDescent="0.25">
      <c r="A252" s="40">
        <v>45639.334872685184</v>
      </c>
      <c r="B252" t="s">
        <v>234</v>
      </c>
      <c r="C252" t="s">
        <v>29</v>
      </c>
      <c r="E252" t="s">
        <v>1364</v>
      </c>
      <c r="F252" t="s">
        <v>1372</v>
      </c>
      <c r="G252">
        <v>-50</v>
      </c>
    </row>
    <row r="253" spans="1:7" x14ac:dyDescent="0.25">
      <c r="A253" s="40">
        <v>45639.334872685184</v>
      </c>
      <c r="B253" t="s">
        <v>234</v>
      </c>
      <c r="C253" t="s">
        <v>36</v>
      </c>
      <c r="E253" t="s">
        <v>1364</v>
      </c>
      <c r="F253" t="s">
        <v>1372</v>
      </c>
      <c r="G253">
        <v>-23</v>
      </c>
    </row>
    <row r="254" spans="1:7" x14ac:dyDescent="0.25">
      <c r="A254" s="40">
        <v>45639.334872685184</v>
      </c>
      <c r="B254" t="s">
        <v>234</v>
      </c>
      <c r="C254" t="s">
        <v>38</v>
      </c>
      <c r="E254" t="s">
        <v>1364</v>
      </c>
      <c r="F254" t="s">
        <v>1372</v>
      </c>
      <c r="G254">
        <v>-29</v>
      </c>
    </row>
    <row r="255" spans="1:7" x14ac:dyDescent="0.25">
      <c r="A255" s="40">
        <v>45639.334872685184</v>
      </c>
      <c r="B255" t="s">
        <v>234</v>
      </c>
      <c r="C255" t="s">
        <v>39</v>
      </c>
      <c r="E255" t="s">
        <v>1364</v>
      </c>
      <c r="F255" t="s">
        <v>1372</v>
      </c>
      <c r="G255">
        <v>-23</v>
      </c>
    </row>
    <row r="256" spans="1:7" x14ac:dyDescent="0.25">
      <c r="A256" s="40">
        <v>45639.334872685184</v>
      </c>
      <c r="B256" t="s">
        <v>234</v>
      </c>
      <c r="C256" t="s">
        <v>47</v>
      </c>
      <c r="E256" t="s">
        <v>1364</v>
      </c>
      <c r="F256" t="s">
        <v>1372</v>
      </c>
      <c r="G256">
        <v>-429</v>
      </c>
    </row>
    <row r="257" spans="1:7" x14ac:dyDescent="0.25">
      <c r="A257" s="40">
        <v>45639.334872685184</v>
      </c>
      <c r="B257" t="s">
        <v>234</v>
      </c>
      <c r="C257" t="s">
        <v>48</v>
      </c>
      <c r="E257" t="s">
        <v>1364</v>
      </c>
      <c r="F257" t="s">
        <v>1372</v>
      </c>
      <c r="G257">
        <v>-225</v>
      </c>
    </row>
    <row r="258" spans="1:7" x14ac:dyDescent="0.25">
      <c r="A258" s="40">
        <v>45639.334872685184</v>
      </c>
      <c r="B258" t="s">
        <v>234</v>
      </c>
      <c r="C258" t="s">
        <v>55</v>
      </c>
      <c r="E258" t="s">
        <v>1364</v>
      </c>
      <c r="F258" t="s">
        <v>1372</v>
      </c>
      <c r="G258">
        <v>-30</v>
      </c>
    </row>
    <row r="259" spans="1:7" x14ac:dyDescent="0.25">
      <c r="A259" s="40">
        <v>45639.334872685184</v>
      </c>
      <c r="B259" t="s">
        <v>234</v>
      </c>
      <c r="C259" t="s">
        <v>56</v>
      </c>
      <c r="E259" t="s">
        <v>1364</v>
      </c>
      <c r="F259" t="s">
        <v>1372</v>
      </c>
      <c r="G259">
        <v>-33</v>
      </c>
    </row>
    <row r="260" spans="1:7" x14ac:dyDescent="0.25">
      <c r="A260" s="40">
        <v>45639.334872685184</v>
      </c>
      <c r="B260" t="s">
        <v>234</v>
      </c>
      <c r="C260" t="s">
        <v>58</v>
      </c>
      <c r="E260" t="s">
        <v>1364</v>
      </c>
      <c r="F260" t="s">
        <v>1372</v>
      </c>
      <c r="G260">
        <v>-205</v>
      </c>
    </row>
    <row r="261" spans="1:7" x14ac:dyDescent="0.25">
      <c r="A261" s="40">
        <v>45639.334872685184</v>
      </c>
      <c r="B261" t="s">
        <v>234</v>
      </c>
      <c r="C261" t="s">
        <v>60</v>
      </c>
      <c r="E261" t="s">
        <v>1364</v>
      </c>
      <c r="F261" t="s">
        <v>1372</v>
      </c>
      <c r="G261">
        <v>-115</v>
      </c>
    </row>
    <row r="262" spans="1:7" x14ac:dyDescent="0.25">
      <c r="A262" s="40">
        <v>45639.334872685184</v>
      </c>
      <c r="B262" t="s">
        <v>234</v>
      </c>
      <c r="C262" t="s">
        <v>61</v>
      </c>
      <c r="E262" t="s">
        <v>1364</v>
      </c>
      <c r="F262" t="s">
        <v>1372</v>
      </c>
      <c r="G262">
        <v>-40</v>
      </c>
    </row>
    <row r="263" spans="1:7" x14ac:dyDescent="0.25">
      <c r="A263" s="40">
        <v>45639.334872685184</v>
      </c>
      <c r="B263" t="s">
        <v>234</v>
      </c>
      <c r="C263" t="s">
        <v>62</v>
      </c>
      <c r="E263" t="s">
        <v>1364</v>
      </c>
      <c r="F263" t="s">
        <v>1372</v>
      </c>
      <c r="G263">
        <v>-25</v>
      </c>
    </row>
    <row r="264" spans="1:7" x14ac:dyDescent="0.25">
      <c r="A264" s="40">
        <v>45639.334872685184</v>
      </c>
      <c r="B264" t="s">
        <v>234</v>
      </c>
      <c r="C264" t="s">
        <v>63</v>
      </c>
      <c r="E264" t="s">
        <v>1364</v>
      </c>
      <c r="F264" t="s">
        <v>1372</v>
      </c>
      <c r="G264">
        <v>-160</v>
      </c>
    </row>
    <row r="265" spans="1:7" x14ac:dyDescent="0.25">
      <c r="A265" s="40">
        <v>45639.334872685184</v>
      </c>
      <c r="B265" t="s">
        <v>234</v>
      </c>
      <c r="C265" t="s">
        <v>66</v>
      </c>
      <c r="E265" t="s">
        <v>1364</v>
      </c>
      <c r="F265" t="s">
        <v>1372</v>
      </c>
      <c r="G265">
        <v>-110</v>
      </c>
    </row>
    <row r="266" spans="1:7" x14ac:dyDescent="0.25">
      <c r="A266" s="40">
        <v>45639.334872685184</v>
      </c>
      <c r="B266" t="s">
        <v>234</v>
      </c>
      <c r="C266" t="s">
        <v>68</v>
      </c>
      <c r="E266" t="s">
        <v>1364</v>
      </c>
      <c r="F266" t="s">
        <v>1372</v>
      </c>
      <c r="G266">
        <v>-150</v>
      </c>
    </row>
    <row r="267" spans="1:7" x14ac:dyDescent="0.25">
      <c r="A267" s="40">
        <v>45639.334872685184</v>
      </c>
      <c r="B267" t="s">
        <v>234</v>
      </c>
      <c r="C267" t="s">
        <v>69</v>
      </c>
      <c r="E267" t="s">
        <v>1364</v>
      </c>
      <c r="F267" t="s">
        <v>1372</v>
      </c>
      <c r="G267">
        <v>-145</v>
      </c>
    </row>
    <row r="268" spans="1:7" x14ac:dyDescent="0.25">
      <c r="A268" s="40">
        <v>45639.334872685184</v>
      </c>
      <c r="B268" t="s">
        <v>234</v>
      </c>
      <c r="C268" t="s">
        <v>82</v>
      </c>
      <c r="E268" t="s">
        <v>1364</v>
      </c>
      <c r="F268" t="s">
        <v>1372</v>
      </c>
      <c r="G268">
        <v>-50</v>
      </c>
    </row>
    <row r="269" spans="1:7" x14ac:dyDescent="0.25">
      <c r="A269" s="40">
        <v>45639.334872685184</v>
      </c>
      <c r="B269" t="s">
        <v>234</v>
      </c>
      <c r="C269" t="s">
        <v>92</v>
      </c>
      <c r="E269" t="s">
        <v>1364</v>
      </c>
      <c r="F269" t="s">
        <v>1372</v>
      </c>
      <c r="G269">
        <v>-30</v>
      </c>
    </row>
    <row r="270" spans="1:7" x14ac:dyDescent="0.25">
      <c r="A270" s="40">
        <v>45639.334872685184</v>
      </c>
      <c r="B270" t="s">
        <v>234</v>
      </c>
      <c r="C270" t="s">
        <v>94</v>
      </c>
      <c r="E270" t="s">
        <v>1364</v>
      </c>
      <c r="F270" t="s">
        <v>1372</v>
      </c>
      <c r="G270">
        <v>-32</v>
      </c>
    </row>
    <row r="271" spans="1:7" x14ac:dyDescent="0.25">
      <c r="A271" s="40">
        <v>45639.334872685184</v>
      </c>
      <c r="B271" t="s">
        <v>234</v>
      </c>
      <c r="C271" t="s">
        <v>229</v>
      </c>
      <c r="E271" t="s">
        <v>1364</v>
      </c>
      <c r="F271" t="s">
        <v>1372</v>
      </c>
      <c r="G271">
        <v>-175</v>
      </c>
    </row>
    <row r="272" spans="1:7" x14ac:dyDescent="0.25">
      <c r="A272" s="40">
        <v>45639.334872685184</v>
      </c>
      <c r="B272" t="s">
        <v>234</v>
      </c>
      <c r="C272" t="s">
        <v>230</v>
      </c>
      <c r="E272" t="s">
        <v>1364</v>
      </c>
      <c r="F272" t="s">
        <v>1372</v>
      </c>
      <c r="G272">
        <v>-104</v>
      </c>
    </row>
    <row r="273" spans="1:7" x14ac:dyDescent="0.25">
      <c r="A273" s="40">
        <v>45639.427303240744</v>
      </c>
      <c r="B273" t="s">
        <v>235</v>
      </c>
      <c r="C273" t="s">
        <v>1</v>
      </c>
      <c r="E273" t="s">
        <v>1364</v>
      </c>
      <c r="F273" t="s">
        <v>1372</v>
      </c>
      <c r="G273">
        <v>-500</v>
      </c>
    </row>
    <row r="274" spans="1:7" x14ac:dyDescent="0.25">
      <c r="A274" s="40">
        <v>45639.427303240744</v>
      </c>
      <c r="B274" t="s">
        <v>235</v>
      </c>
      <c r="C274" t="s">
        <v>7</v>
      </c>
      <c r="E274" t="s">
        <v>1364</v>
      </c>
      <c r="F274" t="s">
        <v>1372</v>
      </c>
      <c r="G274">
        <v>-240</v>
      </c>
    </row>
    <row r="275" spans="1:7" x14ac:dyDescent="0.25">
      <c r="A275" s="40">
        <v>45639.427303240744</v>
      </c>
      <c r="B275" t="s">
        <v>235</v>
      </c>
      <c r="C275" t="s">
        <v>36</v>
      </c>
      <c r="E275" t="s">
        <v>1364</v>
      </c>
      <c r="F275" t="s">
        <v>1372</v>
      </c>
      <c r="G275">
        <v>-560</v>
      </c>
    </row>
    <row r="276" spans="1:7" x14ac:dyDescent="0.25">
      <c r="A276" s="40">
        <v>45639.427303240744</v>
      </c>
      <c r="B276" t="s">
        <v>235</v>
      </c>
      <c r="C276" t="s">
        <v>37</v>
      </c>
      <c r="E276" t="s">
        <v>1364</v>
      </c>
      <c r="F276" t="s">
        <v>1372</v>
      </c>
      <c r="G276">
        <v>-185</v>
      </c>
    </row>
    <row r="277" spans="1:7" x14ac:dyDescent="0.25">
      <c r="A277" s="40">
        <v>45639.427303240744</v>
      </c>
      <c r="B277" t="s">
        <v>235</v>
      </c>
      <c r="C277" t="s">
        <v>38</v>
      </c>
      <c r="E277" t="s">
        <v>1364</v>
      </c>
      <c r="F277" t="s">
        <v>1372</v>
      </c>
      <c r="G277">
        <v>-70</v>
      </c>
    </row>
    <row r="278" spans="1:7" x14ac:dyDescent="0.25">
      <c r="A278" s="40">
        <v>45639.427303240744</v>
      </c>
      <c r="B278" t="s">
        <v>235</v>
      </c>
      <c r="C278" t="s">
        <v>39</v>
      </c>
      <c r="E278" t="s">
        <v>1364</v>
      </c>
      <c r="F278" t="s">
        <v>1372</v>
      </c>
      <c r="G278">
        <v>-70</v>
      </c>
    </row>
    <row r="279" spans="1:7" x14ac:dyDescent="0.25">
      <c r="A279" s="40">
        <v>45639.427303240744</v>
      </c>
      <c r="B279" t="s">
        <v>235</v>
      </c>
      <c r="C279" t="s">
        <v>40</v>
      </c>
      <c r="E279" t="s">
        <v>1364</v>
      </c>
      <c r="F279" t="s">
        <v>1372</v>
      </c>
      <c r="G279">
        <v>-240</v>
      </c>
    </row>
    <row r="280" spans="1:7" x14ac:dyDescent="0.25">
      <c r="A280" s="40">
        <v>45639.427303240744</v>
      </c>
      <c r="B280" t="s">
        <v>235</v>
      </c>
      <c r="C280" t="s">
        <v>42</v>
      </c>
      <c r="E280" t="s">
        <v>1364</v>
      </c>
      <c r="F280" t="s">
        <v>1372</v>
      </c>
      <c r="G280">
        <v>-70</v>
      </c>
    </row>
    <row r="281" spans="1:7" x14ac:dyDescent="0.25">
      <c r="A281" s="40">
        <v>45639.427303240744</v>
      </c>
      <c r="B281" t="s">
        <v>235</v>
      </c>
      <c r="C281" t="s">
        <v>54</v>
      </c>
      <c r="E281" t="s">
        <v>1364</v>
      </c>
      <c r="F281" t="s">
        <v>1372</v>
      </c>
      <c r="G281">
        <v>-185</v>
      </c>
    </row>
    <row r="282" spans="1:7" x14ac:dyDescent="0.25">
      <c r="A282" s="40">
        <v>45639.427303240744</v>
      </c>
      <c r="B282" t="s">
        <v>235</v>
      </c>
      <c r="C282" t="s">
        <v>57</v>
      </c>
      <c r="E282" t="s">
        <v>1364</v>
      </c>
      <c r="F282" t="s">
        <v>1372</v>
      </c>
      <c r="G282">
        <v>-70</v>
      </c>
    </row>
    <row r="283" spans="1:7" x14ac:dyDescent="0.25">
      <c r="A283" s="40">
        <v>45639.427303240744</v>
      </c>
      <c r="B283" t="s">
        <v>235</v>
      </c>
      <c r="C283" t="s">
        <v>68</v>
      </c>
      <c r="E283" t="s">
        <v>1364</v>
      </c>
      <c r="F283" t="s">
        <v>1372</v>
      </c>
      <c r="G283">
        <v>-70</v>
      </c>
    </row>
    <row r="284" spans="1:7" x14ac:dyDescent="0.25">
      <c r="A284" s="40">
        <v>45639.427303240744</v>
      </c>
      <c r="B284" t="s">
        <v>235</v>
      </c>
      <c r="C284" t="s">
        <v>94</v>
      </c>
      <c r="E284" t="s">
        <v>1364</v>
      </c>
      <c r="F284" t="s">
        <v>1372</v>
      </c>
      <c r="G284">
        <v>-350</v>
      </c>
    </row>
    <row r="285" spans="1:7" x14ac:dyDescent="0.25">
      <c r="A285" s="40">
        <v>45639.427303240744</v>
      </c>
      <c r="B285" t="s">
        <v>235</v>
      </c>
      <c r="C285" t="s">
        <v>230</v>
      </c>
      <c r="E285" t="s">
        <v>1364</v>
      </c>
      <c r="F285" t="s">
        <v>1372</v>
      </c>
      <c r="G285">
        <v>-70</v>
      </c>
    </row>
    <row r="286" spans="1:7" x14ac:dyDescent="0.25">
      <c r="A286" s="40">
        <v>45668.381631944445</v>
      </c>
      <c r="B286" t="s">
        <v>236</v>
      </c>
      <c r="C286" t="s">
        <v>1</v>
      </c>
      <c r="E286" t="s">
        <v>1364</v>
      </c>
      <c r="F286" t="s">
        <v>1372</v>
      </c>
      <c r="G286">
        <v>-4070</v>
      </c>
    </row>
    <row r="287" spans="1:7" x14ac:dyDescent="0.25">
      <c r="A287" s="40">
        <v>45668.381631944445</v>
      </c>
      <c r="B287" t="s">
        <v>236</v>
      </c>
      <c r="C287" t="s">
        <v>2</v>
      </c>
      <c r="E287" t="s">
        <v>1364</v>
      </c>
      <c r="F287" t="s">
        <v>1372</v>
      </c>
      <c r="G287">
        <v>-40</v>
      </c>
    </row>
    <row r="288" spans="1:7" x14ac:dyDescent="0.25">
      <c r="A288" s="40">
        <v>45668.381631944445</v>
      </c>
      <c r="B288" t="s">
        <v>236</v>
      </c>
      <c r="C288" t="s">
        <v>3</v>
      </c>
      <c r="E288" t="s">
        <v>1364</v>
      </c>
      <c r="F288" t="s">
        <v>1372</v>
      </c>
      <c r="G288">
        <v>-4680</v>
      </c>
    </row>
    <row r="289" spans="1:7" x14ac:dyDescent="0.25">
      <c r="A289" s="40">
        <v>45668.381631944445</v>
      </c>
      <c r="B289" t="s">
        <v>236</v>
      </c>
      <c r="C289" t="s">
        <v>5</v>
      </c>
      <c r="E289" t="s">
        <v>1364</v>
      </c>
      <c r="F289" t="s">
        <v>1372</v>
      </c>
      <c r="G289">
        <v>-2330</v>
      </c>
    </row>
    <row r="290" spans="1:7" x14ac:dyDescent="0.25">
      <c r="A290" s="40">
        <v>45668.381631944445</v>
      </c>
      <c r="B290" t="s">
        <v>236</v>
      </c>
      <c r="C290" t="s">
        <v>6</v>
      </c>
      <c r="E290" t="s">
        <v>1364</v>
      </c>
      <c r="F290" t="s">
        <v>1372</v>
      </c>
      <c r="G290">
        <v>-145</v>
      </c>
    </row>
    <row r="291" spans="1:7" x14ac:dyDescent="0.25">
      <c r="A291" s="40">
        <v>45668.381631944445</v>
      </c>
      <c r="B291" t="s">
        <v>236</v>
      </c>
      <c r="C291" t="s">
        <v>7</v>
      </c>
      <c r="E291" t="s">
        <v>1364</v>
      </c>
      <c r="F291" t="s">
        <v>1372</v>
      </c>
      <c r="G291">
        <v>-1380</v>
      </c>
    </row>
    <row r="292" spans="1:7" x14ac:dyDescent="0.25">
      <c r="A292" s="40">
        <v>45668.381631944445</v>
      </c>
      <c r="B292" t="s">
        <v>236</v>
      </c>
      <c r="C292" t="s">
        <v>9</v>
      </c>
      <c r="E292" t="s">
        <v>1364</v>
      </c>
      <c r="F292" t="s">
        <v>1372</v>
      </c>
      <c r="G292">
        <v>-60</v>
      </c>
    </row>
    <row r="293" spans="1:7" x14ac:dyDescent="0.25">
      <c r="A293" s="40">
        <v>45668.381631944445</v>
      </c>
      <c r="B293" t="s">
        <v>236</v>
      </c>
      <c r="C293" t="s">
        <v>10</v>
      </c>
      <c r="E293" t="s">
        <v>1364</v>
      </c>
      <c r="F293" t="s">
        <v>1372</v>
      </c>
      <c r="G293">
        <v>-490</v>
      </c>
    </row>
    <row r="294" spans="1:7" x14ac:dyDescent="0.25">
      <c r="A294" s="40">
        <v>45668.381631944445</v>
      </c>
      <c r="B294" t="s">
        <v>236</v>
      </c>
      <c r="C294" t="s">
        <v>15</v>
      </c>
      <c r="E294" t="s">
        <v>1364</v>
      </c>
      <c r="F294" t="s">
        <v>1372</v>
      </c>
      <c r="G294">
        <v>-260</v>
      </c>
    </row>
    <row r="295" spans="1:7" x14ac:dyDescent="0.25">
      <c r="A295" s="40">
        <v>45668.381631944445</v>
      </c>
      <c r="B295" t="s">
        <v>236</v>
      </c>
      <c r="C295" t="s">
        <v>18</v>
      </c>
      <c r="E295" t="s">
        <v>1364</v>
      </c>
      <c r="F295" t="s">
        <v>1372</v>
      </c>
      <c r="G295">
        <v>-2510</v>
      </c>
    </row>
    <row r="296" spans="1:7" x14ac:dyDescent="0.25">
      <c r="A296" s="40">
        <v>45668.381631944445</v>
      </c>
      <c r="B296" t="s">
        <v>236</v>
      </c>
      <c r="C296" t="s">
        <v>24</v>
      </c>
      <c r="E296" t="s">
        <v>1364</v>
      </c>
      <c r="F296" t="s">
        <v>1372</v>
      </c>
      <c r="G296">
        <v>-145</v>
      </c>
    </row>
    <row r="297" spans="1:7" x14ac:dyDescent="0.25">
      <c r="A297" s="40">
        <v>45668.381631944445</v>
      </c>
      <c r="B297" t="s">
        <v>236</v>
      </c>
      <c r="C297" t="s">
        <v>26</v>
      </c>
      <c r="E297" t="s">
        <v>1364</v>
      </c>
      <c r="F297" t="s">
        <v>1372</v>
      </c>
      <c r="G297">
        <v>-40</v>
      </c>
    </row>
    <row r="298" spans="1:7" x14ac:dyDescent="0.25">
      <c r="A298" s="40">
        <v>45668.381631944445</v>
      </c>
      <c r="B298" t="s">
        <v>236</v>
      </c>
      <c r="C298" t="s">
        <v>29</v>
      </c>
      <c r="E298" t="s">
        <v>1364</v>
      </c>
      <c r="F298" t="s">
        <v>1372</v>
      </c>
      <c r="G298">
        <v>-260</v>
      </c>
    </row>
    <row r="299" spans="1:7" x14ac:dyDescent="0.25">
      <c r="A299" s="40">
        <v>45668.381631944445</v>
      </c>
      <c r="B299" t="s">
        <v>236</v>
      </c>
      <c r="C299" t="s">
        <v>33</v>
      </c>
      <c r="E299" t="s">
        <v>1364</v>
      </c>
      <c r="F299" t="s">
        <v>1372</v>
      </c>
      <c r="G299">
        <v>-40</v>
      </c>
    </row>
    <row r="300" spans="1:7" x14ac:dyDescent="0.25">
      <c r="A300" s="40">
        <v>45668.381631944445</v>
      </c>
      <c r="B300" t="s">
        <v>236</v>
      </c>
      <c r="C300" t="s">
        <v>34</v>
      </c>
      <c r="E300" t="s">
        <v>1364</v>
      </c>
      <c r="F300" t="s">
        <v>1372</v>
      </c>
      <c r="G300">
        <v>-90</v>
      </c>
    </row>
    <row r="301" spans="1:7" x14ac:dyDescent="0.25">
      <c r="A301" s="40">
        <v>45668.381631944445</v>
      </c>
      <c r="B301" t="s">
        <v>236</v>
      </c>
      <c r="C301" t="s">
        <v>35</v>
      </c>
      <c r="E301" t="s">
        <v>1364</v>
      </c>
      <c r="F301" t="s">
        <v>1372</v>
      </c>
      <c r="G301">
        <v>-215</v>
      </c>
    </row>
    <row r="302" spans="1:7" x14ac:dyDescent="0.25">
      <c r="A302" s="40">
        <v>45668.381631944445</v>
      </c>
      <c r="B302" t="s">
        <v>236</v>
      </c>
      <c r="C302" t="s">
        <v>36</v>
      </c>
      <c r="E302" t="s">
        <v>1364</v>
      </c>
      <c r="F302" t="s">
        <v>1372</v>
      </c>
      <c r="G302">
        <v>-570</v>
      </c>
    </row>
    <row r="303" spans="1:7" x14ac:dyDescent="0.25">
      <c r="A303" s="40">
        <v>45668.381631944445</v>
      </c>
      <c r="B303" t="s">
        <v>236</v>
      </c>
      <c r="C303" t="s">
        <v>37</v>
      </c>
      <c r="E303" t="s">
        <v>1364</v>
      </c>
      <c r="F303" t="s">
        <v>1372</v>
      </c>
      <c r="G303">
        <v>-60</v>
      </c>
    </row>
    <row r="304" spans="1:7" x14ac:dyDescent="0.25">
      <c r="A304" s="40">
        <v>45668.381631944445</v>
      </c>
      <c r="B304" t="s">
        <v>236</v>
      </c>
      <c r="C304" t="s">
        <v>38</v>
      </c>
      <c r="E304" t="s">
        <v>1364</v>
      </c>
      <c r="F304" t="s">
        <v>1372</v>
      </c>
      <c r="G304">
        <v>-480</v>
      </c>
    </row>
    <row r="305" spans="1:7" x14ac:dyDescent="0.25">
      <c r="A305" s="40">
        <v>45668.381631944445</v>
      </c>
      <c r="B305" t="s">
        <v>236</v>
      </c>
      <c r="C305" t="s">
        <v>41</v>
      </c>
      <c r="E305" t="s">
        <v>1364</v>
      </c>
      <c r="F305" t="s">
        <v>1372</v>
      </c>
      <c r="G305">
        <v>-40</v>
      </c>
    </row>
    <row r="306" spans="1:7" x14ac:dyDescent="0.25">
      <c r="A306" s="40">
        <v>45668.381631944445</v>
      </c>
      <c r="B306" t="s">
        <v>236</v>
      </c>
      <c r="C306" t="s">
        <v>42</v>
      </c>
      <c r="E306" t="s">
        <v>1364</v>
      </c>
      <c r="F306" t="s">
        <v>1372</v>
      </c>
      <c r="G306">
        <v>-90</v>
      </c>
    </row>
    <row r="307" spans="1:7" x14ac:dyDescent="0.25">
      <c r="A307" s="40">
        <v>45668.381631944445</v>
      </c>
      <c r="B307" t="s">
        <v>236</v>
      </c>
      <c r="C307" t="s">
        <v>43</v>
      </c>
      <c r="E307" t="s">
        <v>1364</v>
      </c>
      <c r="F307" t="s">
        <v>1372</v>
      </c>
      <c r="G307">
        <v>-60</v>
      </c>
    </row>
    <row r="308" spans="1:7" x14ac:dyDescent="0.25">
      <c r="A308" s="40">
        <v>45668.381631944445</v>
      </c>
      <c r="B308" t="s">
        <v>236</v>
      </c>
      <c r="C308" t="s">
        <v>44</v>
      </c>
      <c r="E308" t="s">
        <v>1364</v>
      </c>
      <c r="F308" t="s">
        <v>1372</v>
      </c>
      <c r="G308">
        <v>-100</v>
      </c>
    </row>
    <row r="309" spans="1:7" x14ac:dyDescent="0.25">
      <c r="A309" s="40">
        <v>45668.381631944445</v>
      </c>
      <c r="B309" t="s">
        <v>236</v>
      </c>
      <c r="C309" t="s">
        <v>45</v>
      </c>
      <c r="E309" t="s">
        <v>1364</v>
      </c>
      <c r="F309" t="s">
        <v>1372</v>
      </c>
      <c r="G309">
        <v>-40</v>
      </c>
    </row>
    <row r="310" spans="1:7" x14ac:dyDescent="0.25">
      <c r="A310" s="40">
        <v>45668.381631944445</v>
      </c>
      <c r="B310" t="s">
        <v>236</v>
      </c>
      <c r="C310" t="s">
        <v>46</v>
      </c>
      <c r="E310" t="s">
        <v>1364</v>
      </c>
      <c r="F310" t="s">
        <v>1372</v>
      </c>
      <c r="G310">
        <v>-40</v>
      </c>
    </row>
    <row r="311" spans="1:7" x14ac:dyDescent="0.25">
      <c r="A311" s="40">
        <v>45668.381631944445</v>
      </c>
      <c r="B311" t="s">
        <v>236</v>
      </c>
      <c r="C311" t="s">
        <v>47</v>
      </c>
      <c r="E311" t="s">
        <v>1364</v>
      </c>
      <c r="F311" t="s">
        <v>1372</v>
      </c>
      <c r="G311">
        <v>-320</v>
      </c>
    </row>
    <row r="312" spans="1:7" x14ac:dyDescent="0.25">
      <c r="A312" s="40">
        <v>45668.381631944445</v>
      </c>
      <c r="B312" t="s">
        <v>236</v>
      </c>
      <c r="C312" t="s">
        <v>50</v>
      </c>
      <c r="E312" t="s">
        <v>1364</v>
      </c>
      <c r="F312" t="s">
        <v>1372</v>
      </c>
      <c r="G312">
        <v>-110</v>
      </c>
    </row>
    <row r="313" spans="1:7" x14ac:dyDescent="0.25">
      <c r="A313" s="40">
        <v>45668.381631944445</v>
      </c>
      <c r="B313" t="s">
        <v>236</v>
      </c>
      <c r="C313" t="s">
        <v>51</v>
      </c>
      <c r="E313" t="s">
        <v>1364</v>
      </c>
      <c r="F313" t="s">
        <v>1372</v>
      </c>
      <c r="G313">
        <v>-155</v>
      </c>
    </row>
    <row r="314" spans="1:7" x14ac:dyDescent="0.25">
      <c r="A314" s="40">
        <v>45668.381631944445</v>
      </c>
      <c r="B314" t="s">
        <v>236</v>
      </c>
      <c r="C314" t="s">
        <v>52</v>
      </c>
      <c r="E314" t="s">
        <v>1364</v>
      </c>
      <c r="F314" t="s">
        <v>1372</v>
      </c>
      <c r="G314">
        <v>-40</v>
      </c>
    </row>
    <row r="315" spans="1:7" x14ac:dyDescent="0.25">
      <c r="A315" s="40">
        <v>45668.381631944445</v>
      </c>
      <c r="B315" t="s">
        <v>236</v>
      </c>
      <c r="C315" t="s">
        <v>53</v>
      </c>
      <c r="E315" t="s">
        <v>1364</v>
      </c>
      <c r="F315" t="s">
        <v>1372</v>
      </c>
      <c r="G315">
        <v>-195</v>
      </c>
    </row>
    <row r="316" spans="1:7" x14ac:dyDescent="0.25">
      <c r="A316" s="40">
        <v>45668.381631944445</v>
      </c>
      <c r="B316" t="s">
        <v>236</v>
      </c>
      <c r="C316" t="s">
        <v>54</v>
      </c>
      <c r="E316" t="s">
        <v>1364</v>
      </c>
      <c r="F316" t="s">
        <v>1372</v>
      </c>
      <c r="G316">
        <v>-145</v>
      </c>
    </row>
    <row r="317" spans="1:7" x14ac:dyDescent="0.25">
      <c r="A317" s="40">
        <v>45668.381631944445</v>
      </c>
      <c r="B317" t="s">
        <v>236</v>
      </c>
      <c r="C317" t="s">
        <v>55</v>
      </c>
      <c r="E317" t="s">
        <v>1364</v>
      </c>
      <c r="F317" t="s">
        <v>1372</v>
      </c>
      <c r="G317">
        <v>-60</v>
      </c>
    </row>
    <row r="318" spans="1:7" x14ac:dyDescent="0.25">
      <c r="A318" s="40">
        <v>45668.381631944445</v>
      </c>
      <c r="B318" t="s">
        <v>236</v>
      </c>
      <c r="C318" t="s">
        <v>56</v>
      </c>
      <c r="E318" t="s">
        <v>1364</v>
      </c>
      <c r="F318" t="s">
        <v>1372</v>
      </c>
      <c r="G318">
        <v>-205</v>
      </c>
    </row>
    <row r="319" spans="1:7" x14ac:dyDescent="0.25">
      <c r="A319" s="40">
        <v>45668.381631944445</v>
      </c>
      <c r="B319" t="s">
        <v>236</v>
      </c>
      <c r="C319" t="s">
        <v>58</v>
      </c>
      <c r="E319" t="s">
        <v>1364</v>
      </c>
      <c r="F319" t="s">
        <v>1372</v>
      </c>
      <c r="G319">
        <v>-110</v>
      </c>
    </row>
    <row r="320" spans="1:7" x14ac:dyDescent="0.25">
      <c r="A320" s="40">
        <v>45668.381631944445</v>
      </c>
      <c r="B320" t="s">
        <v>236</v>
      </c>
      <c r="C320" t="s">
        <v>59</v>
      </c>
      <c r="E320" t="s">
        <v>1364</v>
      </c>
      <c r="F320" t="s">
        <v>1372</v>
      </c>
      <c r="G320">
        <v>-30</v>
      </c>
    </row>
    <row r="321" spans="1:7" x14ac:dyDescent="0.25">
      <c r="A321" s="40">
        <v>45668.381631944445</v>
      </c>
      <c r="B321" t="s">
        <v>236</v>
      </c>
      <c r="C321" t="s">
        <v>62</v>
      </c>
      <c r="E321" t="s">
        <v>1364</v>
      </c>
      <c r="F321" t="s">
        <v>1372</v>
      </c>
      <c r="G321">
        <v>-40</v>
      </c>
    </row>
    <row r="322" spans="1:7" x14ac:dyDescent="0.25">
      <c r="A322" s="40">
        <v>45668.381631944445</v>
      </c>
      <c r="B322" t="s">
        <v>236</v>
      </c>
      <c r="C322" t="s">
        <v>63</v>
      </c>
      <c r="E322" t="s">
        <v>1364</v>
      </c>
      <c r="F322" t="s">
        <v>1372</v>
      </c>
      <c r="G322">
        <v>-205</v>
      </c>
    </row>
    <row r="323" spans="1:7" x14ac:dyDescent="0.25">
      <c r="A323" s="40">
        <v>45668.381631944445</v>
      </c>
      <c r="B323" t="s">
        <v>236</v>
      </c>
      <c r="C323" t="s">
        <v>64</v>
      </c>
      <c r="E323" t="s">
        <v>1364</v>
      </c>
      <c r="F323" t="s">
        <v>1372</v>
      </c>
      <c r="G323">
        <v>-70</v>
      </c>
    </row>
    <row r="324" spans="1:7" x14ac:dyDescent="0.25">
      <c r="A324" s="40">
        <v>45668.381631944445</v>
      </c>
      <c r="B324" t="s">
        <v>236</v>
      </c>
      <c r="C324" t="s">
        <v>65</v>
      </c>
      <c r="E324" t="s">
        <v>1364</v>
      </c>
      <c r="F324" t="s">
        <v>1372</v>
      </c>
      <c r="G324">
        <v>-40</v>
      </c>
    </row>
    <row r="325" spans="1:7" x14ac:dyDescent="0.25">
      <c r="A325" s="40">
        <v>45668.381631944445</v>
      </c>
      <c r="B325" t="s">
        <v>236</v>
      </c>
      <c r="C325" t="s">
        <v>66</v>
      </c>
      <c r="E325" t="s">
        <v>1364</v>
      </c>
      <c r="F325" t="s">
        <v>1372</v>
      </c>
      <c r="G325">
        <v>-240</v>
      </c>
    </row>
    <row r="326" spans="1:7" x14ac:dyDescent="0.25">
      <c r="A326" s="40">
        <v>45668.381631944445</v>
      </c>
      <c r="B326" t="s">
        <v>236</v>
      </c>
      <c r="C326" t="s">
        <v>82</v>
      </c>
      <c r="E326" t="s">
        <v>1364</v>
      </c>
      <c r="F326" t="s">
        <v>1372</v>
      </c>
      <c r="G326">
        <v>-145</v>
      </c>
    </row>
    <row r="327" spans="1:7" x14ac:dyDescent="0.25">
      <c r="A327" s="40">
        <v>45668.381631944445</v>
      </c>
      <c r="B327" t="s">
        <v>236</v>
      </c>
      <c r="C327" t="s">
        <v>89</v>
      </c>
      <c r="E327" t="s">
        <v>1364</v>
      </c>
      <c r="F327" t="s">
        <v>1372</v>
      </c>
      <c r="G327">
        <v>-260</v>
      </c>
    </row>
    <row r="328" spans="1:7" x14ac:dyDescent="0.25">
      <c r="A328" s="40">
        <v>45668.381631944445</v>
      </c>
      <c r="B328" t="s">
        <v>236</v>
      </c>
      <c r="C328" t="s">
        <v>94</v>
      </c>
      <c r="E328" t="s">
        <v>1364</v>
      </c>
      <c r="F328" t="s">
        <v>1372</v>
      </c>
      <c r="G328">
        <v>-240</v>
      </c>
    </row>
    <row r="329" spans="1:7" x14ac:dyDescent="0.25">
      <c r="A329" s="40">
        <v>45668.381631944445</v>
      </c>
      <c r="B329" t="s">
        <v>236</v>
      </c>
      <c r="C329" t="s">
        <v>229</v>
      </c>
      <c r="E329" t="s">
        <v>1364</v>
      </c>
      <c r="F329" t="s">
        <v>1372</v>
      </c>
      <c r="G329">
        <v>-110</v>
      </c>
    </row>
    <row r="330" spans="1:7" x14ac:dyDescent="0.25">
      <c r="A330" s="40">
        <v>45668.381631944445</v>
      </c>
      <c r="B330" t="s">
        <v>236</v>
      </c>
      <c r="C330" t="s">
        <v>230</v>
      </c>
      <c r="E330" t="s">
        <v>1364</v>
      </c>
      <c r="F330" t="s">
        <v>1372</v>
      </c>
      <c r="G330">
        <v>-225</v>
      </c>
    </row>
    <row r="331" spans="1:7" x14ac:dyDescent="0.25">
      <c r="A331" s="40">
        <v>45673.399525462963</v>
      </c>
      <c r="B331" t="s">
        <v>237</v>
      </c>
      <c r="C331" t="s">
        <v>1</v>
      </c>
      <c r="E331" t="s">
        <v>1364</v>
      </c>
      <c r="F331" t="s">
        <v>1372</v>
      </c>
      <c r="G331">
        <v>-244</v>
      </c>
    </row>
    <row r="332" spans="1:7" x14ac:dyDescent="0.25">
      <c r="A332" s="40">
        <v>45673.399525462963</v>
      </c>
      <c r="B332" t="s">
        <v>237</v>
      </c>
      <c r="C332" t="s">
        <v>3</v>
      </c>
      <c r="E332" t="s">
        <v>1364</v>
      </c>
      <c r="F332" t="s">
        <v>1372</v>
      </c>
      <c r="G332">
        <v>-268</v>
      </c>
    </row>
    <row r="333" spans="1:7" x14ac:dyDescent="0.25">
      <c r="A333" s="40">
        <v>45673.399525462963</v>
      </c>
      <c r="B333" t="s">
        <v>237</v>
      </c>
      <c r="C333" t="s">
        <v>5</v>
      </c>
      <c r="E333" t="s">
        <v>1364</v>
      </c>
      <c r="F333" t="s">
        <v>1372</v>
      </c>
      <c r="G333">
        <v>-149</v>
      </c>
    </row>
    <row r="334" spans="1:7" x14ac:dyDescent="0.25">
      <c r="A334" s="40">
        <v>45673.399525462963</v>
      </c>
      <c r="B334" t="s">
        <v>237</v>
      </c>
      <c r="C334" t="s">
        <v>7</v>
      </c>
      <c r="E334" t="s">
        <v>1364</v>
      </c>
      <c r="F334" t="s">
        <v>1372</v>
      </c>
      <c r="G334">
        <v>-68</v>
      </c>
    </row>
    <row r="335" spans="1:7" x14ac:dyDescent="0.25">
      <c r="A335" s="40">
        <v>45673.399525462963</v>
      </c>
      <c r="B335" t="s">
        <v>237</v>
      </c>
      <c r="C335" t="s">
        <v>14</v>
      </c>
      <c r="E335" t="s">
        <v>1364</v>
      </c>
      <c r="F335" t="s">
        <v>1372</v>
      </c>
      <c r="G335">
        <v>-44</v>
      </c>
    </row>
    <row r="336" spans="1:7" x14ac:dyDescent="0.25">
      <c r="A336" s="40">
        <v>45673.399525462963</v>
      </c>
      <c r="B336" t="s">
        <v>237</v>
      </c>
      <c r="C336" t="s">
        <v>15</v>
      </c>
      <c r="E336" t="s">
        <v>1364</v>
      </c>
      <c r="F336" t="s">
        <v>1372</v>
      </c>
      <c r="G336">
        <v>-32</v>
      </c>
    </row>
    <row r="337" spans="1:7" x14ac:dyDescent="0.25">
      <c r="A337" s="40">
        <v>45673.399525462963</v>
      </c>
      <c r="B337" t="s">
        <v>237</v>
      </c>
      <c r="C337" t="s">
        <v>18</v>
      </c>
      <c r="E337" t="s">
        <v>1364</v>
      </c>
      <c r="F337" t="s">
        <v>1372</v>
      </c>
      <c r="G337">
        <v>-173</v>
      </c>
    </row>
    <row r="338" spans="1:7" x14ac:dyDescent="0.25">
      <c r="A338" s="40">
        <v>45673.399525462963</v>
      </c>
      <c r="B338" t="s">
        <v>237</v>
      </c>
      <c r="C338" t="s">
        <v>20</v>
      </c>
      <c r="E338" t="s">
        <v>1364</v>
      </c>
      <c r="F338" t="s">
        <v>1372</v>
      </c>
      <c r="G338">
        <v>-304</v>
      </c>
    </row>
    <row r="339" spans="1:7" x14ac:dyDescent="0.25">
      <c r="A339" s="40">
        <v>45673.399525462963</v>
      </c>
      <c r="B339" t="s">
        <v>237</v>
      </c>
      <c r="C339" t="s">
        <v>24</v>
      </c>
      <c r="E339" t="s">
        <v>1364</v>
      </c>
      <c r="F339" t="s">
        <v>1372</v>
      </c>
      <c r="G339">
        <v>-38</v>
      </c>
    </row>
    <row r="340" spans="1:7" x14ac:dyDescent="0.25">
      <c r="A340" s="40">
        <v>45673.399525462963</v>
      </c>
      <c r="B340" t="s">
        <v>237</v>
      </c>
      <c r="C340" t="s">
        <v>25</v>
      </c>
      <c r="E340" t="s">
        <v>1364</v>
      </c>
      <c r="F340" t="s">
        <v>1372</v>
      </c>
      <c r="G340">
        <v>-44</v>
      </c>
    </row>
    <row r="341" spans="1:7" x14ac:dyDescent="0.25">
      <c r="A341" s="40">
        <v>45673.399525462963</v>
      </c>
      <c r="B341" t="s">
        <v>237</v>
      </c>
      <c r="C341" t="s">
        <v>27</v>
      </c>
      <c r="E341" t="s">
        <v>1364</v>
      </c>
      <c r="F341" t="s">
        <v>1372</v>
      </c>
      <c r="G341">
        <v>-654</v>
      </c>
    </row>
    <row r="342" spans="1:7" x14ac:dyDescent="0.25">
      <c r="A342" s="40">
        <v>45673.399525462963</v>
      </c>
      <c r="B342" t="s">
        <v>237</v>
      </c>
      <c r="C342" t="s">
        <v>29</v>
      </c>
      <c r="E342" t="s">
        <v>1364</v>
      </c>
      <c r="F342" t="s">
        <v>1372</v>
      </c>
      <c r="G342">
        <v>-32</v>
      </c>
    </row>
    <row r="343" spans="1:7" x14ac:dyDescent="0.25">
      <c r="A343" s="40">
        <v>45673.399525462963</v>
      </c>
      <c r="B343" t="s">
        <v>237</v>
      </c>
      <c r="C343" t="s">
        <v>47</v>
      </c>
      <c r="E343" t="s">
        <v>1364</v>
      </c>
      <c r="F343" t="s">
        <v>1372</v>
      </c>
      <c r="G343">
        <v>-68</v>
      </c>
    </row>
    <row r="344" spans="1:7" x14ac:dyDescent="0.25">
      <c r="A344" s="40">
        <v>45673.399525462963</v>
      </c>
      <c r="B344" t="s">
        <v>237</v>
      </c>
      <c r="C344" t="s">
        <v>56</v>
      </c>
      <c r="E344" t="s">
        <v>1364</v>
      </c>
      <c r="F344" t="s">
        <v>1372</v>
      </c>
      <c r="G344">
        <v>-26</v>
      </c>
    </row>
    <row r="345" spans="1:7" x14ac:dyDescent="0.25">
      <c r="A345" s="40">
        <v>45673.399525462963</v>
      </c>
      <c r="B345" t="s">
        <v>237</v>
      </c>
      <c r="C345" t="s">
        <v>60</v>
      </c>
      <c r="E345" t="s">
        <v>1364</v>
      </c>
      <c r="F345" t="s">
        <v>1372</v>
      </c>
      <c r="G345">
        <v>-96</v>
      </c>
    </row>
    <row r="346" spans="1:7" x14ac:dyDescent="0.25">
      <c r="A346" s="40">
        <v>45673.399525462963</v>
      </c>
      <c r="B346" t="s">
        <v>237</v>
      </c>
      <c r="C346" t="s">
        <v>61</v>
      </c>
      <c r="E346" t="s">
        <v>1364</v>
      </c>
      <c r="F346" t="s">
        <v>1372</v>
      </c>
      <c r="G346">
        <v>-143</v>
      </c>
    </row>
    <row r="347" spans="1:7" x14ac:dyDescent="0.25">
      <c r="A347" s="40">
        <v>45673.399525462963</v>
      </c>
      <c r="B347" t="s">
        <v>237</v>
      </c>
      <c r="C347" t="s">
        <v>63</v>
      </c>
      <c r="E347" t="s">
        <v>1364</v>
      </c>
      <c r="F347" t="s">
        <v>1372</v>
      </c>
      <c r="G347">
        <v>-44</v>
      </c>
    </row>
    <row r="348" spans="1:7" x14ac:dyDescent="0.25">
      <c r="A348" s="40">
        <v>45673.399525462963</v>
      </c>
      <c r="B348" t="s">
        <v>237</v>
      </c>
      <c r="C348" t="s">
        <v>68</v>
      </c>
      <c r="E348" t="s">
        <v>1364</v>
      </c>
      <c r="F348" t="s">
        <v>1372</v>
      </c>
      <c r="G348">
        <v>-161</v>
      </c>
    </row>
    <row r="349" spans="1:7" x14ac:dyDescent="0.25">
      <c r="A349" s="40">
        <v>45673.399525462963</v>
      </c>
      <c r="B349" t="s">
        <v>237</v>
      </c>
      <c r="C349" t="s">
        <v>69</v>
      </c>
      <c r="E349" t="s">
        <v>1364</v>
      </c>
      <c r="F349" t="s">
        <v>1372</v>
      </c>
      <c r="G349">
        <v>-155</v>
      </c>
    </row>
    <row r="350" spans="1:7" x14ac:dyDescent="0.25">
      <c r="A350" s="40">
        <v>45673.399525462963</v>
      </c>
      <c r="B350" t="s">
        <v>237</v>
      </c>
      <c r="C350" t="s">
        <v>82</v>
      </c>
      <c r="E350" t="s">
        <v>1364</v>
      </c>
      <c r="F350" t="s">
        <v>1372</v>
      </c>
      <c r="G350">
        <v>-26</v>
      </c>
    </row>
    <row r="351" spans="1:7" x14ac:dyDescent="0.25">
      <c r="A351" s="40">
        <v>45673.399525462963</v>
      </c>
      <c r="B351" t="s">
        <v>237</v>
      </c>
      <c r="C351" t="s">
        <v>89</v>
      </c>
      <c r="E351" t="s">
        <v>1364</v>
      </c>
      <c r="F351" t="s">
        <v>1372</v>
      </c>
      <c r="G351">
        <v>-32</v>
      </c>
    </row>
    <row r="352" spans="1:7" x14ac:dyDescent="0.25">
      <c r="A352" s="40">
        <v>45673.399525462963</v>
      </c>
      <c r="B352" t="s">
        <v>237</v>
      </c>
      <c r="C352" t="s">
        <v>230</v>
      </c>
      <c r="E352" t="s">
        <v>1364</v>
      </c>
      <c r="F352" t="s">
        <v>1372</v>
      </c>
      <c r="G352">
        <v>-26</v>
      </c>
    </row>
    <row r="353" spans="1:12" x14ac:dyDescent="0.25">
      <c r="A353" s="40">
        <v>45677.365381944444</v>
      </c>
      <c r="B353" t="s">
        <v>236</v>
      </c>
      <c r="C353" t="s">
        <v>20</v>
      </c>
      <c r="E353" t="s">
        <v>1364</v>
      </c>
      <c r="F353" t="s">
        <v>695</v>
      </c>
      <c r="G353">
        <v>15000</v>
      </c>
      <c r="I353" t="s">
        <v>1120</v>
      </c>
      <c r="L353">
        <v>25.76</v>
      </c>
    </row>
    <row r="354" spans="1:12" x14ac:dyDescent="0.25">
      <c r="A354" s="40">
        <v>45677.365381944444</v>
      </c>
      <c r="B354" t="s">
        <v>236</v>
      </c>
      <c r="C354" t="s">
        <v>27</v>
      </c>
      <c r="E354" t="s">
        <v>1364</v>
      </c>
      <c r="F354" t="s">
        <v>695</v>
      </c>
      <c r="G354">
        <v>25000</v>
      </c>
      <c r="I354" t="s">
        <v>1120</v>
      </c>
      <c r="L354">
        <v>41.13</v>
      </c>
    </row>
    <row r="355" spans="1:12" x14ac:dyDescent="0.25">
      <c r="A355" s="40">
        <v>45677.365381944444</v>
      </c>
      <c r="B355" t="s">
        <v>236</v>
      </c>
      <c r="C355" t="s">
        <v>60</v>
      </c>
      <c r="E355" t="s">
        <v>1364</v>
      </c>
      <c r="F355" t="s">
        <v>695</v>
      </c>
      <c r="G355">
        <v>6000</v>
      </c>
      <c r="I355" t="s">
        <v>1120</v>
      </c>
      <c r="L355">
        <v>114.31</v>
      </c>
    </row>
    <row r="356" spans="1:12" x14ac:dyDescent="0.25">
      <c r="A356" s="40">
        <v>45677.365381944444</v>
      </c>
      <c r="B356" t="s">
        <v>236</v>
      </c>
      <c r="C356" t="s">
        <v>61</v>
      </c>
      <c r="E356" t="s">
        <v>1364</v>
      </c>
      <c r="F356" t="s">
        <v>695</v>
      </c>
      <c r="G356">
        <v>6000</v>
      </c>
      <c r="I356" t="s">
        <v>1120</v>
      </c>
      <c r="L356">
        <v>97.99</v>
      </c>
    </row>
    <row r="357" spans="1:12" x14ac:dyDescent="0.25">
      <c r="A357" s="40">
        <v>45677.365381944444</v>
      </c>
      <c r="B357" t="s">
        <v>236</v>
      </c>
      <c r="C357" t="s">
        <v>68</v>
      </c>
      <c r="E357" t="s">
        <v>1364</v>
      </c>
      <c r="F357" t="s">
        <v>695</v>
      </c>
      <c r="G357">
        <v>6000</v>
      </c>
      <c r="I357" t="s">
        <v>1120</v>
      </c>
      <c r="L357">
        <v>106.51</v>
      </c>
    </row>
    <row r="358" spans="1:12" x14ac:dyDescent="0.25">
      <c r="A358" s="40">
        <v>45677.365381944444</v>
      </c>
      <c r="B358" t="s">
        <v>236</v>
      </c>
      <c r="C358" t="s">
        <v>69</v>
      </c>
      <c r="E358" t="s">
        <v>1364</v>
      </c>
      <c r="F358" t="s">
        <v>695</v>
      </c>
      <c r="G358">
        <v>6000</v>
      </c>
      <c r="I358" t="s">
        <v>1120</v>
      </c>
      <c r="L358">
        <v>147.22</v>
      </c>
    </row>
    <row r="359" spans="1:12" x14ac:dyDescent="0.25">
      <c r="A359" s="40">
        <v>45677.365381944444</v>
      </c>
      <c r="B359" t="s">
        <v>236</v>
      </c>
      <c r="C359" t="s">
        <v>70</v>
      </c>
      <c r="E359" t="s">
        <v>1364</v>
      </c>
      <c r="F359" t="s">
        <v>695</v>
      </c>
      <c r="G359">
        <v>15000</v>
      </c>
      <c r="I359" t="s">
        <v>1120</v>
      </c>
      <c r="L359">
        <v>17.239999999999998</v>
      </c>
    </row>
    <row r="360" spans="1:12" x14ac:dyDescent="0.25">
      <c r="A360" s="40">
        <v>45677.380023148151</v>
      </c>
      <c r="B360" t="s">
        <v>236</v>
      </c>
      <c r="C360" t="s">
        <v>20</v>
      </c>
      <c r="E360" t="s">
        <v>1364</v>
      </c>
      <c r="F360" t="s">
        <v>1372</v>
      </c>
      <c r="G360">
        <v>-4910</v>
      </c>
    </row>
    <row r="361" spans="1:12" x14ac:dyDescent="0.25">
      <c r="A361" s="40">
        <v>45677.380023148151</v>
      </c>
      <c r="B361" t="s">
        <v>236</v>
      </c>
      <c r="C361" t="s">
        <v>27</v>
      </c>
      <c r="E361" t="s">
        <v>1364</v>
      </c>
      <c r="F361" t="s">
        <v>1372</v>
      </c>
      <c r="G361">
        <v>-11560</v>
      </c>
    </row>
    <row r="362" spans="1:12" x14ac:dyDescent="0.25">
      <c r="A362" s="40">
        <v>45677.380023148151</v>
      </c>
      <c r="B362" t="s">
        <v>236</v>
      </c>
      <c r="C362" t="s">
        <v>60</v>
      </c>
      <c r="E362" t="s">
        <v>1364</v>
      </c>
      <c r="F362" t="s">
        <v>1372</v>
      </c>
      <c r="G362">
        <v>-1310</v>
      </c>
    </row>
    <row r="363" spans="1:12" x14ac:dyDescent="0.25">
      <c r="A363" s="40">
        <v>45677.380023148151</v>
      </c>
      <c r="B363" t="s">
        <v>236</v>
      </c>
      <c r="C363" t="s">
        <v>61</v>
      </c>
      <c r="E363" t="s">
        <v>1364</v>
      </c>
      <c r="F363" t="s">
        <v>1372</v>
      </c>
      <c r="G363">
        <v>-2250</v>
      </c>
    </row>
    <row r="364" spans="1:12" x14ac:dyDescent="0.25">
      <c r="A364" s="40">
        <v>45677.380023148151</v>
      </c>
      <c r="B364" t="s">
        <v>236</v>
      </c>
      <c r="C364" t="s">
        <v>68</v>
      </c>
      <c r="E364" t="s">
        <v>1364</v>
      </c>
      <c r="F364" t="s">
        <v>1372</v>
      </c>
      <c r="G364">
        <v>-2620</v>
      </c>
    </row>
    <row r="365" spans="1:12" x14ac:dyDescent="0.25">
      <c r="A365" s="40">
        <v>45677.380023148151</v>
      </c>
      <c r="B365" t="s">
        <v>236</v>
      </c>
      <c r="C365" t="s">
        <v>69</v>
      </c>
      <c r="E365" t="s">
        <v>1364</v>
      </c>
      <c r="F365" t="s">
        <v>1372</v>
      </c>
      <c r="G365">
        <v>-2510</v>
      </c>
    </row>
    <row r="366" spans="1:12" x14ac:dyDescent="0.25">
      <c r="A366" s="40">
        <v>45677.380023148151</v>
      </c>
      <c r="B366" t="s">
        <v>236</v>
      </c>
      <c r="C366" t="s">
        <v>70</v>
      </c>
      <c r="E366" t="s">
        <v>1364</v>
      </c>
      <c r="F366" t="s">
        <v>1372</v>
      </c>
      <c r="G366">
        <v>-540</v>
      </c>
    </row>
    <row r="367" spans="1:12" x14ac:dyDescent="0.25">
      <c r="A367" s="40">
        <v>45677.462951388887</v>
      </c>
      <c r="B367" t="s">
        <v>238</v>
      </c>
      <c r="C367" t="s">
        <v>1</v>
      </c>
      <c r="E367" t="s">
        <v>1364</v>
      </c>
      <c r="F367" t="s">
        <v>1372</v>
      </c>
      <c r="G367">
        <v>-960</v>
      </c>
    </row>
    <row r="368" spans="1:12" x14ac:dyDescent="0.25">
      <c r="A368" s="40">
        <v>45677.462951388887</v>
      </c>
      <c r="B368" t="s">
        <v>238</v>
      </c>
      <c r="C368" t="s">
        <v>14</v>
      </c>
      <c r="E368" t="s">
        <v>1364</v>
      </c>
      <c r="F368" t="s">
        <v>1372</v>
      </c>
      <c r="G368">
        <v>-370</v>
      </c>
    </row>
    <row r="369" spans="1:7" x14ac:dyDescent="0.25">
      <c r="A369" s="40">
        <v>45677.462951388887</v>
      </c>
      <c r="B369" t="s">
        <v>238</v>
      </c>
      <c r="C369" t="s">
        <v>18</v>
      </c>
      <c r="E369" t="s">
        <v>1364</v>
      </c>
      <c r="F369" t="s">
        <v>1372</v>
      </c>
      <c r="G369">
        <v>-195</v>
      </c>
    </row>
    <row r="370" spans="1:7" x14ac:dyDescent="0.25">
      <c r="A370" s="40">
        <v>45677.462951388887</v>
      </c>
      <c r="B370" t="s">
        <v>238</v>
      </c>
      <c r="C370" t="s">
        <v>20</v>
      </c>
      <c r="E370" t="s">
        <v>1364</v>
      </c>
      <c r="F370" t="s">
        <v>1372</v>
      </c>
      <c r="G370">
        <v>-280</v>
      </c>
    </row>
    <row r="371" spans="1:7" x14ac:dyDescent="0.25">
      <c r="A371" s="40">
        <v>45677.462951388887</v>
      </c>
      <c r="B371" t="s">
        <v>238</v>
      </c>
      <c r="C371" t="s">
        <v>24</v>
      </c>
      <c r="E371" t="s">
        <v>1364</v>
      </c>
      <c r="F371" t="s">
        <v>1372</v>
      </c>
      <c r="G371">
        <v>-195</v>
      </c>
    </row>
    <row r="372" spans="1:7" x14ac:dyDescent="0.25">
      <c r="A372" s="40">
        <v>45677.462951388887</v>
      </c>
      <c r="B372" t="s">
        <v>238</v>
      </c>
      <c r="C372" t="s">
        <v>25</v>
      </c>
      <c r="E372" t="s">
        <v>1364</v>
      </c>
      <c r="F372" t="s">
        <v>1372</v>
      </c>
      <c r="G372">
        <v>-370</v>
      </c>
    </row>
    <row r="373" spans="1:7" x14ac:dyDescent="0.25">
      <c r="A373" s="40">
        <v>45677.462951388887</v>
      </c>
      <c r="B373" t="s">
        <v>238</v>
      </c>
      <c r="C373" t="s">
        <v>27</v>
      </c>
      <c r="E373" t="s">
        <v>1364</v>
      </c>
      <c r="F373" t="s">
        <v>1372</v>
      </c>
      <c r="G373">
        <v>-280</v>
      </c>
    </row>
    <row r="374" spans="1:7" x14ac:dyDescent="0.25">
      <c r="A374" s="40">
        <v>45677.462951388887</v>
      </c>
      <c r="B374" t="s">
        <v>238</v>
      </c>
      <c r="C374" t="s">
        <v>63</v>
      </c>
      <c r="E374" t="s">
        <v>1364</v>
      </c>
      <c r="F374" t="s">
        <v>1372</v>
      </c>
      <c r="G374">
        <v>-280</v>
      </c>
    </row>
    <row r="375" spans="1:7" x14ac:dyDescent="0.25">
      <c r="A375" s="40">
        <v>45677.476967592593</v>
      </c>
      <c r="B375" t="s">
        <v>239</v>
      </c>
      <c r="C375" t="s">
        <v>1</v>
      </c>
      <c r="E375" t="s">
        <v>1364</v>
      </c>
      <c r="F375" t="s">
        <v>1372</v>
      </c>
      <c r="G375">
        <v>-570</v>
      </c>
    </row>
    <row r="376" spans="1:7" x14ac:dyDescent="0.25">
      <c r="A376" s="40">
        <v>45677.476967592593</v>
      </c>
      <c r="B376" t="s">
        <v>239</v>
      </c>
      <c r="C376" t="s">
        <v>2</v>
      </c>
      <c r="E376" t="s">
        <v>1364</v>
      </c>
      <c r="F376" t="s">
        <v>1372</v>
      </c>
      <c r="G376">
        <v>-110</v>
      </c>
    </row>
    <row r="377" spans="1:7" x14ac:dyDescent="0.25">
      <c r="A377" s="40">
        <v>45677.476967592593</v>
      </c>
      <c r="B377" t="s">
        <v>239</v>
      </c>
      <c r="C377" t="s">
        <v>3</v>
      </c>
      <c r="E377" t="s">
        <v>1364</v>
      </c>
      <c r="F377" t="s">
        <v>1372</v>
      </c>
      <c r="G377">
        <v>-240</v>
      </c>
    </row>
    <row r="378" spans="1:7" x14ac:dyDescent="0.25">
      <c r="A378" s="40">
        <v>45677.476967592593</v>
      </c>
      <c r="B378" t="s">
        <v>239</v>
      </c>
      <c r="C378" t="s">
        <v>6</v>
      </c>
      <c r="E378" t="s">
        <v>1364</v>
      </c>
      <c r="F378" t="s">
        <v>1372</v>
      </c>
      <c r="G378">
        <v>-30</v>
      </c>
    </row>
    <row r="379" spans="1:7" x14ac:dyDescent="0.25">
      <c r="A379" s="40">
        <v>45677.476967592593</v>
      </c>
      <c r="B379" t="s">
        <v>239</v>
      </c>
      <c r="C379" t="s">
        <v>7</v>
      </c>
      <c r="E379" t="s">
        <v>1364</v>
      </c>
      <c r="F379" t="s">
        <v>1372</v>
      </c>
      <c r="G379">
        <v>-165</v>
      </c>
    </row>
    <row r="380" spans="1:7" x14ac:dyDescent="0.25">
      <c r="A380" s="40">
        <v>45677.476967592593</v>
      </c>
      <c r="B380" t="s">
        <v>239</v>
      </c>
      <c r="C380" t="s">
        <v>9</v>
      </c>
      <c r="E380" t="s">
        <v>1364</v>
      </c>
      <c r="F380" t="s">
        <v>1372</v>
      </c>
      <c r="G380">
        <v>-40</v>
      </c>
    </row>
    <row r="381" spans="1:7" x14ac:dyDescent="0.25">
      <c r="A381" s="40">
        <v>45677.476967592593</v>
      </c>
      <c r="B381" t="s">
        <v>239</v>
      </c>
      <c r="C381" t="s">
        <v>20</v>
      </c>
      <c r="E381" t="s">
        <v>1364</v>
      </c>
      <c r="F381" t="s">
        <v>1372</v>
      </c>
      <c r="G381">
        <v>-280</v>
      </c>
    </row>
    <row r="382" spans="1:7" x14ac:dyDescent="0.25">
      <c r="A382" s="40">
        <v>45677.476967592593</v>
      </c>
      <c r="B382" t="s">
        <v>239</v>
      </c>
      <c r="C382" t="s">
        <v>27</v>
      </c>
      <c r="E382" t="s">
        <v>1364</v>
      </c>
      <c r="F382" t="s">
        <v>1372</v>
      </c>
      <c r="G382">
        <v>-500</v>
      </c>
    </row>
    <row r="383" spans="1:7" x14ac:dyDescent="0.25">
      <c r="A383" s="40">
        <v>45677.476967592593</v>
      </c>
      <c r="B383" t="s">
        <v>239</v>
      </c>
      <c r="C383" t="s">
        <v>29</v>
      </c>
      <c r="E383" t="s">
        <v>1364</v>
      </c>
      <c r="F383" t="s">
        <v>1372</v>
      </c>
      <c r="G383">
        <v>-90</v>
      </c>
    </row>
    <row r="384" spans="1:7" x14ac:dyDescent="0.25">
      <c r="A384" s="40">
        <v>45677.476967592593</v>
      </c>
      <c r="B384" t="s">
        <v>239</v>
      </c>
      <c r="C384" t="s">
        <v>32</v>
      </c>
      <c r="E384" t="s">
        <v>1364</v>
      </c>
      <c r="F384" t="s">
        <v>1372</v>
      </c>
      <c r="G384">
        <v>-30</v>
      </c>
    </row>
    <row r="385" spans="1:7" x14ac:dyDescent="0.25">
      <c r="A385" s="40">
        <v>45677.476967592593</v>
      </c>
      <c r="B385" t="s">
        <v>239</v>
      </c>
      <c r="C385" t="s">
        <v>40</v>
      </c>
      <c r="E385" t="s">
        <v>1364</v>
      </c>
      <c r="F385" t="s">
        <v>1372</v>
      </c>
      <c r="G385">
        <v>-40</v>
      </c>
    </row>
    <row r="386" spans="1:7" x14ac:dyDescent="0.25">
      <c r="A386" s="40">
        <v>45677.476967592593</v>
      </c>
      <c r="B386" t="s">
        <v>239</v>
      </c>
      <c r="C386" t="s">
        <v>44</v>
      </c>
      <c r="E386" t="s">
        <v>1364</v>
      </c>
      <c r="F386" t="s">
        <v>1372</v>
      </c>
      <c r="G386">
        <v>-100</v>
      </c>
    </row>
    <row r="387" spans="1:7" x14ac:dyDescent="0.25">
      <c r="A387" s="40">
        <v>45677.476967592593</v>
      </c>
      <c r="B387" t="s">
        <v>239</v>
      </c>
      <c r="C387" t="s">
        <v>45</v>
      </c>
      <c r="E387" t="s">
        <v>1364</v>
      </c>
      <c r="F387" t="s">
        <v>1372</v>
      </c>
      <c r="G387">
        <v>-30</v>
      </c>
    </row>
    <row r="388" spans="1:7" x14ac:dyDescent="0.25">
      <c r="A388" s="40">
        <v>45677.476967592593</v>
      </c>
      <c r="B388" t="s">
        <v>239</v>
      </c>
      <c r="C388" t="s">
        <v>55</v>
      </c>
      <c r="E388" t="s">
        <v>1364</v>
      </c>
      <c r="F388" t="s">
        <v>1372</v>
      </c>
      <c r="G388">
        <v>-40</v>
      </c>
    </row>
    <row r="389" spans="1:7" x14ac:dyDescent="0.25">
      <c r="A389" s="40">
        <v>45677.476967592593</v>
      </c>
      <c r="B389" t="s">
        <v>239</v>
      </c>
      <c r="C389" t="s">
        <v>56</v>
      </c>
      <c r="E389" t="s">
        <v>1364</v>
      </c>
      <c r="F389" t="s">
        <v>1372</v>
      </c>
      <c r="G389">
        <v>-30</v>
      </c>
    </row>
    <row r="390" spans="1:7" x14ac:dyDescent="0.25">
      <c r="A390" s="40">
        <v>45677.476967592593</v>
      </c>
      <c r="B390" t="s">
        <v>239</v>
      </c>
      <c r="C390" t="s">
        <v>57</v>
      </c>
      <c r="E390" t="s">
        <v>1364</v>
      </c>
      <c r="F390" t="s">
        <v>1372</v>
      </c>
      <c r="G390">
        <v>-30</v>
      </c>
    </row>
    <row r="391" spans="1:7" x14ac:dyDescent="0.25">
      <c r="A391" s="40">
        <v>45677.476967592593</v>
      </c>
      <c r="B391" t="s">
        <v>239</v>
      </c>
      <c r="C391" t="s">
        <v>58</v>
      </c>
      <c r="E391" t="s">
        <v>1364</v>
      </c>
      <c r="F391" t="s">
        <v>1372</v>
      </c>
      <c r="G391">
        <v>-30</v>
      </c>
    </row>
    <row r="392" spans="1:7" x14ac:dyDescent="0.25">
      <c r="A392" s="40">
        <v>45677.476967592593</v>
      </c>
      <c r="B392" t="s">
        <v>239</v>
      </c>
      <c r="C392" t="s">
        <v>60</v>
      </c>
      <c r="E392" t="s">
        <v>1364</v>
      </c>
      <c r="F392" t="s">
        <v>1372</v>
      </c>
      <c r="G392">
        <v>-135</v>
      </c>
    </row>
    <row r="393" spans="1:7" x14ac:dyDescent="0.25">
      <c r="A393" s="40">
        <v>45677.476967592593</v>
      </c>
      <c r="B393" t="s">
        <v>239</v>
      </c>
      <c r="C393" t="s">
        <v>61</v>
      </c>
      <c r="E393" t="s">
        <v>1364</v>
      </c>
      <c r="F393" t="s">
        <v>1372</v>
      </c>
      <c r="G393">
        <v>-100</v>
      </c>
    </row>
    <row r="394" spans="1:7" x14ac:dyDescent="0.25">
      <c r="A394" s="40">
        <v>45677.476967592593</v>
      </c>
      <c r="B394" t="s">
        <v>239</v>
      </c>
      <c r="C394" t="s">
        <v>66</v>
      </c>
      <c r="E394" t="s">
        <v>1364</v>
      </c>
      <c r="F394" t="s">
        <v>1372</v>
      </c>
      <c r="G394">
        <v>-40</v>
      </c>
    </row>
    <row r="395" spans="1:7" x14ac:dyDescent="0.25">
      <c r="A395" s="40">
        <v>45677.476967592593</v>
      </c>
      <c r="B395" t="s">
        <v>239</v>
      </c>
      <c r="C395" t="s">
        <v>68</v>
      </c>
      <c r="E395" t="s">
        <v>1364</v>
      </c>
      <c r="F395" t="s">
        <v>1372</v>
      </c>
      <c r="G395">
        <v>-110</v>
      </c>
    </row>
    <row r="396" spans="1:7" x14ac:dyDescent="0.25">
      <c r="A396" s="40">
        <v>45677.476967592593</v>
      </c>
      <c r="B396" t="s">
        <v>239</v>
      </c>
      <c r="C396" t="s">
        <v>69</v>
      </c>
      <c r="E396" t="s">
        <v>1364</v>
      </c>
      <c r="F396" t="s">
        <v>1372</v>
      </c>
      <c r="G396">
        <v>-100</v>
      </c>
    </row>
    <row r="397" spans="1:7" x14ac:dyDescent="0.25">
      <c r="A397" s="40">
        <v>45677.476967592593</v>
      </c>
      <c r="B397" t="s">
        <v>239</v>
      </c>
      <c r="C397" t="s">
        <v>75</v>
      </c>
      <c r="E397" t="s">
        <v>1364</v>
      </c>
      <c r="F397" t="s">
        <v>1372</v>
      </c>
      <c r="G397">
        <v>-50</v>
      </c>
    </row>
    <row r="398" spans="1:7" x14ac:dyDescent="0.25">
      <c r="A398" s="40">
        <v>45677.476967592593</v>
      </c>
      <c r="B398" t="s">
        <v>239</v>
      </c>
      <c r="C398" t="s">
        <v>79</v>
      </c>
      <c r="E398" t="s">
        <v>1364</v>
      </c>
      <c r="F398" t="s">
        <v>1372</v>
      </c>
      <c r="G398">
        <v>-30</v>
      </c>
    </row>
    <row r="399" spans="1:7" x14ac:dyDescent="0.25">
      <c r="A399" s="40">
        <v>45677.476967592593</v>
      </c>
      <c r="B399" t="s">
        <v>239</v>
      </c>
      <c r="C399" t="s">
        <v>82</v>
      </c>
      <c r="E399" t="s">
        <v>1364</v>
      </c>
      <c r="F399" t="s">
        <v>1372</v>
      </c>
      <c r="G399">
        <v>-100</v>
      </c>
    </row>
    <row r="400" spans="1:7" x14ac:dyDescent="0.25">
      <c r="A400" s="40">
        <v>45677.476967592593</v>
      </c>
      <c r="B400" t="s">
        <v>239</v>
      </c>
      <c r="C400" t="s">
        <v>89</v>
      </c>
      <c r="E400" t="s">
        <v>1364</v>
      </c>
      <c r="F400" t="s">
        <v>1372</v>
      </c>
      <c r="G400">
        <v>-185</v>
      </c>
    </row>
    <row r="401" spans="1:12" x14ac:dyDescent="0.25">
      <c r="A401" s="40">
        <v>45677.476967592593</v>
      </c>
      <c r="B401" t="s">
        <v>239</v>
      </c>
      <c r="C401" t="s">
        <v>92</v>
      </c>
      <c r="E401" t="s">
        <v>1364</v>
      </c>
      <c r="F401" t="s">
        <v>1372</v>
      </c>
      <c r="G401">
        <v>-60</v>
      </c>
    </row>
    <row r="402" spans="1:12" x14ac:dyDescent="0.25">
      <c r="A402" s="40">
        <v>45677.476967592593</v>
      </c>
      <c r="B402" t="s">
        <v>239</v>
      </c>
      <c r="C402" t="s">
        <v>93</v>
      </c>
      <c r="E402" t="s">
        <v>1364</v>
      </c>
      <c r="F402" t="s">
        <v>1372</v>
      </c>
      <c r="G402">
        <v>-30</v>
      </c>
    </row>
    <row r="403" spans="1:12" x14ac:dyDescent="0.25">
      <c r="A403" s="40">
        <v>45677.476967592593</v>
      </c>
      <c r="B403" t="s">
        <v>239</v>
      </c>
      <c r="C403" t="s">
        <v>94</v>
      </c>
      <c r="E403" t="s">
        <v>1364</v>
      </c>
      <c r="F403" t="s">
        <v>1372</v>
      </c>
      <c r="G403">
        <v>-30</v>
      </c>
    </row>
    <row r="404" spans="1:12" x14ac:dyDescent="0.25">
      <c r="A404" s="40">
        <v>45677.476967592593</v>
      </c>
      <c r="B404" t="s">
        <v>239</v>
      </c>
      <c r="C404" t="s">
        <v>96</v>
      </c>
      <c r="E404" t="s">
        <v>1364</v>
      </c>
      <c r="F404" t="s">
        <v>1372</v>
      </c>
      <c r="G404">
        <v>-100</v>
      </c>
    </row>
    <row r="405" spans="1:12" x14ac:dyDescent="0.25">
      <c r="A405" s="40">
        <v>45677.476967592593</v>
      </c>
      <c r="B405" t="s">
        <v>239</v>
      </c>
      <c r="C405" t="s">
        <v>104</v>
      </c>
      <c r="E405" t="s">
        <v>1364</v>
      </c>
      <c r="F405" t="s">
        <v>1372</v>
      </c>
      <c r="G405">
        <v>-60</v>
      </c>
    </row>
    <row r="406" spans="1:12" x14ac:dyDescent="0.25">
      <c r="A406" s="40">
        <v>45677.476967592593</v>
      </c>
      <c r="B406" t="s">
        <v>239</v>
      </c>
      <c r="C406" t="s">
        <v>230</v>
      </c>
      <c r="E406" t="s">
        <v>1364</v>
      </c>
      <c r="F406" t="s">
        <v>1372</v>
      </c>
      <c r="G406">
        <v>-60</v>
      </c>
    </row>
    <row r="407" spans="1:12" x14ac:dyDescent="0.25">
      <c r="A407" s="40">
        <v>45681.544270833336</v>
      </c>
      <c r="B407" t="s">
        <v>238</v>
      </c>
      <c r="C407" t="s">
        <v>47</v>
      </c>
      <c r="E407" t="s">
        <v>1364</v>
      </c>
      <c r="F407" t="s">
        <v>695</v>
      </c>
      <c r="G407">
        <v>25000</v>
      </c>
      <c r="I407" t="s">
        <v>1121</v>
      </c>
      <c r="L407">
        <v>45.5</v>
      </c>
    </row>
    <row r="408" spans="1:12" x14ac:dyDescent="0.25">
      <c r="A408" s="40">
        <v>45681.545104166667</v>
      </c>
      <c r="B408" t="s">
        <v>240</v>
      </c>
      <c r="C408" t="s">
        <v>1</v>
      </c>
      <c r="E408" t="s">
        <v>1364</v>
      </c>
      <c r="F408" t="s">
        <v>1372</v>
      </c>
      <c r="G408">
        <v>-260</v>
      </c>
    </row>
    <row r="409" spans="1:12" x14ac:dyDescent="0.25">
      <c r="A409" s="40">
        <v>45681.545104166667</v>
      </c>
      <c r="B409" t="s">
        <v>240</v>
      </c>
      <c r="C409" t="s">
        <v>14</v>
      </c>
      <c r="E409" t="s">
        <v>1364</v>
      </c>
      <c r="F409" t="s">
        <v>1372</v>
      </c>
      <c r="G409">
        <v>-110</v>
      </c>
    </row>
    <row r="410" spans="1:12" x14ac:dyDescent="0.25">
      <c r="A410" s="40">
        <v>45681.545104166667</v>
      </c>
      <c r="B410" t="s">
        <v>240</v>
      </c>
      <c r="C410" t="s">
        <v>18</v>
      </c>
      <c r="E410" t="s">
        <v>1364</v>
      </c>
      <c r="F410" t="s">
        <v>1372</v>
      </c>
      <c r="G410">
        <v>-60</v>
      </c>
    </row>
    <row r="411" spans="1:12" x14ac:dyDescent="0.25">
      <c r="A411" s="40">
        <v>45681.545104166667</v>
      </c>
      <c r="B411" t="s">
        <v>240</v>
      </c>
      <c r="C411" t="s">
        <v>20</v>
      </c>
      <c r="E411" t="s">
        <v>1364</v>
      </c>
      <c r="F411" t="s">
        <v>1372</v>
      </c>
      <c r="G411">
        <v>-90</v>
      </c>
    </row>
    <row r="412" spans="1:12" x14ac:dyDescent="0.25">
      <c r="A412" s="40">
        <v>45681.545104166667</v>
      </c>
      <c r="B412" t="s">
        <v>240</v>
      </c>
      <c r="C412" t="s">
        <v>24</v>
      </c>
      <c r="E412" t="s">
        <v>1364</v>
      </c>
      <c r="F412" t="s">
        <v>1372</v>
      </c>
      <c r="G412">
        <v>-60</v>
      </c>
    </row>
    <row r="413" spans="1:12" x14ac:dyDescent="0.25">
      <c r="A413" s="40">
        <v>45681.545104166667</v>
      </c>
      <c r="B413" t="s">
        <v>240</v>
      </c>
      <c r="C413" t="s">
        <v>25</v>
      </c>
      <c r="E413" t="s">
        <v>1364</v>
      </c>
      <c r="F413" t="s">
        <v>1372</v>
      </c>
      <c r="G413">
        <v>-110</v>
      </c>
    </row>
    <row r="414" spans="1:12" x14ac:dyDescent="0.25">
      <c r="A414" s="40">
        <v>45681.545104166667</v>
      </c>
      <c r="B414" t="s">
        <v>240</v>
      </c>
      <c r="C414" t="s">
        <v>27</v>
      </c>
      <c r="E414" t="s">
        <v>1364</v>
      </c>
      <c r="F414" t="s">
        <v>1372</v>
      </c>
      <c r="G414">
        <v>-90</v>
      </c>
    </row>
    <row r="415" spans="1:12" x14ac:dyDescent="0.25">
      <c r="A415" s="40">
        <v>45681.545104166667</v>
      </c>
      <c r="B415" t="s">
        <v>240</v>
      </c>
      <c r="C415" t="s">
        <v>47</v>
      </c>
      <c r="E415" t="s">
        <v>1364</v>
      </c>
      <c r="F415" t="s">
        <v>1372</v>
      </c>
      <c r="G415">
        <v>-195</v>
      </c>
    </row>
    <row r="416" spans="1:12" x14ac:dyDescent="0.25">
      <c r="A416" s="40">
        <v>45681.545104166667</v>
      </c>
      <c r="B416" t="s">
        <v>240</v>
      </c>
      <c r="C416" t="s">
        <v>63</v>
      </c>
      <c r="E416" t="s">
        <v>1364</v>
      </c>
      <c r="F416" t="s">
        <v>1372</v>
      </c>
      <c r="G416">
        <v>-90</v>
      </c>
    </row>
    <row r="417" spans="1:7" x14ac:dyDescent="0.25">
      <c r="A417" s="40">
        <v>45683.305810185186</v>
      </c>
      <c r="B417" t="s">
        <v>241</v>
      </c>
      <c r="C417" t="s">
        <v>1</v>
      </c>
      <c r="E417" t="s">
        <v>1364</v>
      </c>
      <c r="F417" t="s">
        <v>1372</v>
      </c>
      <c r="G417">
        <v>-510</v>
      </c>
    </row>
    <row r="418" spans="1:7" x14ac:dyDescent="0.25">
      <c r="A418" s="40">
        <v>45683.305810185186</v>
      </c>
      <c r="B418" t="s">
        <v>241</v>
      </c>
      <c r="C418" t="s">
        <v>3</v>
      </c>
      <c r="E418" t="s">
        <v>1364</v>
      </c>
      <c r="F418" t="s">
        <v>1372</v>
      </c>
      <c r="G418">
        <v>-820</v>
      </c>
    </row>
    <row r="419" spans="1:7" x14ac:dyDescent="0.25">
      <c r="A419" s="40">
        <v>45683.305810185186</v>
      </c>
      <c r="B419" t="s">
        <v>241</v>
      </c>
      <c r="C419" t="s">
        <v>5</v>
      </c>
      <c r="E419" t="s">
        <v>1364</v>
      </c>
      <c r="F419" t="s">
        <v>1372</v>
      </c>
      <c r="G419">
        <v>-430</v>
      </c>
    </row>
    <row r="420" spans="1:7" x14ac:dyDescent="0.25">
      <c r="A420" s="40">
        <v>45683.305810185186</v>
      </c>
      <c r="B420" t="s">
        <v>241</v>
      </c>
      <c r="C420" t="s">
        <v>7</v>
      </c>
      <c r="E420" t="s">
        <v>1364</v>
      </c>
      <c r="F420" t="s">
        <v>1372</v>
      </c>
      <c r="G420">
        <v>-195</v>
      </c>
    </row>
    <row r="421" spans="1:7" x14ac:dyDescent="0.25">
      <c r="A421" s="40">
        <v>45683.305810185186</v>
      </c>
      <c r="B421" t="s">
        <v>241</v>
      </c>
      <c r="C421" t="s">
        <v>15</v>
      </c>
      <c r="E421" t="s">
        <v>1364</v>
      </c>
      <c r="F421" t="s">
        <v>1372</v>
      </c>
      <c r="G421">
        <v>-60</v>
      </c>
    </row>
    <row r="422" spans="1:7" x14ac:dyDescent="0.25">
      <c r="A422" s="40">
        <v>45683.305810185186</v>
      </c>
      <c r="B422" t="s">
        <v>241</v>
      </c>
      <c r="C422" t="s">
        <v>18</v>
      </c>
      <c r="E422" t="s">
        <v>1364</v>
      </c>
      <c r="F422" t="s">
        <v>1372</v>
      </c>
      <c r="G422">
        <v>-470</v>
      </c>
    </row>
    <row r="423" spans="1:7" x14ac:dyDescent="0.25">
      <c r="A423" s="40">
        <v>45683.305810185186</v>
      </c>
      <c r="B423" t="s">
        <v>241</v>
      </c>
      <c r="C423" t="s">
        <v>20</v>
      </c>
      <c r="E423" t="s">
        <v>1364</v>
      </c>
      <c r="F423" t="s">
        <v>1372</v>
      </c>
      <c r="G423">
        <v>-900</v>
      </c>
    </row>
    <row r="424" spans="1:7" x14ac:dyDescent="0.25">
      <c r="A424" s="40">
        <v>45683.305810185186</v>
      </c>
      <c r="B424" t="s">
        <v>241</v>
      </c>
      <c r="C424" t="s">
        <v>24</v>
      </c>
      <c r="E424" t="s">
        <v>1364</v>
      </c>
      <c r="F424" t="s">
        <v>1372</v>
      </c>
      <c r="G424">
        <v>-40</v>
      </c>
    </row>
    <row r="425" spans="1:7" x14ac:dyDescent="0.25">
      <c r="A425" s="40">
        <v>45683.305810185186</v>
      </c>
      <c r="B425" t="s">
        <v>241</v>
      </c>
      <c r="C425" t="s">
        <v>27</v>
      </c>
      <c r="E425" t="s">
        <v>1364</v>
      </c>
      <c r="F425" t="s">
        <v>1372</v>
      </c>
      <c r="G425">
        <v>-2020</v>
      </c>
    </row>
    <row r="426" spans="1:7" x14ac:dyDescent="0.25">
      <c r="A426" s="40">
        <v>45683.305810185186</v>
      </c>
      <c r="B426" t="s">
        <v>241</v>
      </c>
      <c r="C426" t="s">
        <v>29</v>
      </c>
      <c r="E426" t="s">
        <v>1364</v>
      </c>
      <c r="F426" t="s">
        <v>1372</v>
      </c>
      <c r="G426">
        <v>-60</v>
      </c>
    </row>
    <row r="427" spans="1:7" x14ac:dyDescent="0.25">
      <c r="A427" s="40">
        <v>45683.305810185186</v>
      </c>
      <c r="B427" t="s">
        <v>241</v>
      </c>
      <c r="C427" t="s">
        <v>56</v>
      </c>
      <c r="E427" t="s">
        <v>1364</v>
      </c>
      <c r="F427" t="s">
        <v>1372</v>
      </c>
      <c r="G427">
        <v>-40</v>
      </c>
    </row>
    <row r="428" spans="1:7" x14ac:dyDescent="0.25">
      <c r="A428" s="40">
        <v>45683.305810185186</v>
      </c>
      <c r="B428" t="s">
        <v>241</v>
      </c>
      <c r="C428" t="s">
        <v>60</v>
      </c>
      <c r="E428" t="s">
        <v>1364</v>
      </c>
      <c r="F428" t="s">
        <v>1372</v>
      </c>
      <c r="G428">
        <v>-260</v>
      </c>
    </row>
    <row r="429" spans="1:7" x14ac:dyDescent="0.25">
      <c r="A429" s="40">
        <v>45683.305810185186</v>
      </c>
      <c r="B429" t="s">
        <v>241</v>
      </c>
      <c r="C429" t="s">
        <v>61</v>
      </c>
      <c r="E429" t="s">
        <v>1364</v>
      </c>
      <c r="F429" t="s">
        <v>1372</v>
      </c>
      <c r="G429">
        <v>-410</v>
      </c>
    </row>
    <row r="430" spans="1:7" x14ac:dyDescent="0.25">
      <c r="A430" s="40">
        <v>45683.305810185186</v>
      </c>
      <c r="B430" t="s">
        <v>241</v>
      </c>
      <c r="C430" t="s">
        <v>63</v>
      </c>
      <c r="E430" t="s">
        <v>1364</v>
      </c>
      <c r="F430" t="s">
        <v>1372</v>
      </c>
      <c r="G430">
        <v>-40</v>
      </c>
    </row>
    <row r="431" spans="1:7" x14ac:dyDescent="0.25">
      <c r="A431" s="40">
        <v>45683.305810185186</v>
      </c>
      <c r="B431" t="s">
        <v>241</v>
      </c>
      <c r="C431" t="s">
        <v>68</v>
      </c>
      <c r="E431" t="s">
        <v>1364</v>
      </c>
      <c r="F431" t="s">
        <v>1372</v>
      </c>
      <c r="G431">
        <v>-470</v>
      </c>
    </row>
    <row r="432" spans="1:7" x14ac:dyDescent="0.25">
      <c r="A432" s="40">
        <v>45683.305810185186</v>
      </c>
      <c r="B432" t="s">
        <v>241</v>
      </c>
      <c r="C432" t="s">
        <v>69</v>
      </c>
      <c r="E432" t="s">
        <v>1364</v>
      </c>
      <c r="F432" t="s">
        <v>1372</v>
      </c>
      <c r="G432">
        <v>-450</v>
      </c>
    </row>
    <row r="433" spans="1:7" x14ac:dyDescent="0.25">
      <c r="A433" s="40">
        <v>45683.305810185186</v>
      </c>
      <c r="B433" t="s">
        <v>241</v>
      </c>
      <c r="C433" t="s">
        <v>82</v>
      </c>
      <c r="E433" t="s">
        <v>1364</v>
      </c>
      <c r="F433" t="s">
        <v>1372</v>
      </c>
      <c r="G433">
        <v>-40</v>
      </c>
    </row>
    <row r="434" spans="1:7" x14ac:dyDescent="0.25">
      <c r="A434" s="40">
        <v>45683.305810185186</v>
      </c>
      <c r="B434" t="s">
        <v>241</v>
      </c>
      <c r="C434" t="s">
        <v>89</v>
      </c>
      <c r="E434" t="s">
        <v>1364</v>
      </c>
      <c r="F434" t="s">
        <v>1372</v>
      </c>
      <c r="G434">
        <v>-60</v>
      </c>
    </row>
    <row r="435" spans="1:7" x14ac:dyDescent="0.25">
      <c r="A435" s="40">
        <v>45683.305810185186</v>
      </c>
      <c r="B435" t="s">
        <v>241</v>
      </c>
      <c r="C435" t="s">
        <v>230</v>
      </c>
      <c r="E435" t="s">
        <v>1364</v>
      </c>
      <c r="F435" t="s">
        <v>1372</v>
      </c>
      <c r="G435">
        <v>-40</v>
      </c>
    </row>
    <row r="436" spans="1:7" x14ac:dyDescent="0.25">
      <c r="A436" s="40">
        <v>45684.488356481481</v>
      </c>
      <c r="B436" t="s">
        <v>242</v>
      </c>
      <c r="C436" t="s">
        <v>1</v>
      </c>
      <c r="E436" t="s">
        <v>1364</v>
      </c>
      <c r="F436" t="s">
        <v>1372</v>
      </c>
      <c r="G436">
        <v>-90</v>
      </c>
    </row>
    <row r="437" spans="1:7" x14ac:dyDescent="0.25">
      <c r="A437" s="40">
        <v>45684.488356481481</v>
      </c>
      <c r="B437" t="s">
        <v>242</v>
      </c>
      <c r="C437" t="s">
        <v>8</v>
      </c>
      <c r="E437" t="s">
        <v>1364</v>
      </c>
      <c r="F437" t="s">
        <v>1372</v>
      </c>
      <c r="G437">
        <v>-40</v>
      </c>
    </row>
    <row r="438" spans="1:7" x14ac:dyDescent="0.25">
      <c r="A438" s="40">
        <v>45684.488356481481</v>
      </c>
      <c r="B438" t="s">
        <v>242</v>
      </c>
      <c r="C438" t="s">
        <v>12</v>
      </c>
      <c r="E438" t="s">
        <v>1364</v>
      </c>
      <c r="F438" t="s">
        <v>1372</v>
      </c>
      <c r="G438">
        <v>-70</v>
      </c>
    </row>
    <row r="439" spans="1:7" x14ac:dyDescent="0.25">
      <c r="A439" s="40">
        <v>45684.488356481481</v>
      </c>
      <c r="B439" t="s">
        <v>242</v>
      </c>
      <c r="C439" t="s">
        <v>20</v>
      </c>
      <c r="E439" t="s">
        <v>1364</v>
      </c>
      <c r="F439" t="s">
        <v>1372</v>
      </c>
      <c r="G439">
        <v>-40</v>
      </c>
    </row>
    <row r="440" spans="1:7" x14ac:dyDescent="0.25">
      <c r="A440" s="40">
        <v>45684.488356481481</v>
      </c>
      <c r="B440" t="s">
        <v>242</v>
      </c>
      <c r="C440" t="s">
        <v>28</v>
      </c>
      <c r="E440" t="s">
        <v>1364</v>
      </c>
      <c r="F440" t="s">
        <v>1372</v>
      </c>
      <c r="G440">
        <v>-30</v>
      </c>
    </row>
    <row r="441" spans="1:7" x14ac:dyDescent="0.25">
      <c r="A441" s="40">
        <v>45684.488356481481</v>
      </c>
      <c r="B441" t="s">
        <v>242</v>
      </c>
      <c r="C441" t="s">
        <v>47</v>
      </c>
      <c r="E441" t="s">
        <v>1364</v>
      </c>
      <c r="F441" t="s">
        <v>1372</v>
      </c>
      <c r="G441">
        <v>-50</v>
      </c>
    </row>
    <row r="442" spans="1:7" x14ac:dyDescent="0.25">
      <c r="A442" s="40">
        <v>45684.488356481481</v>
      </c>
      <c r="B442" t="s">
        <v>242</v>
      </c>
      <c r="C442" t="s">
        <v>56</v>
      </c>
      <c r="E442" t="s">
        <v>1364</v>
      </c>
      <c r="F442" t="s">
        <v>1372</v>
      </c>
      <c r="G442">
        <v>-30</v>
      </c>
    </row>
    <row r="443" spans="1:7" x14ac:dyDescent="0.25">
      <c r="A443" s="40">
        <v>45684.488356481481</v>
      </c>
      <c r="B443" t="s">
        <v>242</v>
      </c>
      <c r="C443" t="s">
        <v>230</v>
      </c>
      <c r="E443" t="s">
        <v>1364</v>
      </c>
      <c r="F443" t="s">
        <v>1372</v>
      </c>
      <c r="G443">
        <v>-40</v>
      </c>
    </row>
    <row r="444" spans="1:7" x14ac:dyDescent="0.25">
      <c r="A444" s="40">
        <v>45684.520092592589</v>
      </c>
      <c r="B444" t="s">
        <v>243</v>
      </c>
      <c r="C444" t="s">
        <v>54</v>
      </c>
      <c r="E444" t="s">
        <v>1364</v>
      </c>
      <c r="F444" t="s">
        <v>1372</v>
      </c>
      <c r="G444">
        <v>-56</v>
      </c>
    </row>
    <row r="445" spans="1:7" x14ac:dyDescent="0.25">
      <c r="A445" s="40">
        <v>45684.520092592589</v>
      </c>
      <c r="B445" t="s">
        <v>243</v>
      </c>
      <c r="C445" t="s">
        <v>99</v>
      </c>
      <c r="E445" t="s">
        <v>1364</v>
      </c>
      <c r="F445" t="s">
        <v>1372</v>
      </c>
      <c r="G445">
        <v>-68</v>
      </c>
    </row>
    <row r="446" spans="1:7" x14ac:dyDescent="0.25">
      <c r="A446" s="40">
        <v>45698.556446759256</v>
      </c>
      <c r="B446" t="s">
        <v>244</v>
      </c>
      <c r="C446" t="s">
        <v>1</v>
      </c>
      <c r="E446" t="s">
        <v>1364</v>
      </c>
      <c r="F446" t="s">
        <v>1372</v>
      </c>
      <c r="G446">
        <v>-135</v>
      </c>
    </row>
    <row r="447" spans="1:7" x14ac:dyDescent="0.25">
      <c r="A447" s="40">
        <v>45698.556446759256</v>
      </c>
      <c r="B447" t="s">
        <v>244</v>
      </c>
      <c r="C447" t="s">
        <v>7</v>
      </c>
      <c r="E447" t="s">
        <v>1364</v>
      </c>
      <c r="F447" t="s">
        <v>1372</v>
      </c>
      <c r="G447">
        <v>-36</v>
      </c>
    </row>
    <row r="448" spans="1:7" x14ac:dyDescent="0.25">
      <c r="A448" s="40">
        <v>45698.556446759256</v>
      </c>
      <c r="B448" t="s">
        <v>244</v>
      </c>
      <c r="C448" t="s">
        <v>14</v>
      </c>
      <c r="E448" t="s">
        <v>1364</v>
      </c>
      <c r="F448" t="s">
        <v>1372</v>
      </c>
      <c r="G448">
        <v>-36</v>
      </c>
    </row>
    <row r="449" spans="1:7" x14ac:dyDescent="0.25">
      <c r="A449" s="40">
        <v>45698.556446759256</v>
      </c>
      <c r="B449" t="s">
        <v>244</v>
      </c>
      <c r="C449" t="s">
        <v>15</v>
      </c>
      <c r="E449" t="s">
        <v>1364</v>
      </c>
      <c r="F449" t="s">
        <v>1372</v>
      </c>
      <c r="G449">
        <v>-32</v>
      </c>
    </row>
    <row r="450" spans="1:7" x14ac:dyDescent="0.25">
      <c r="A450" s="40">
        <v>45698.556446759256</v>
      </c>
      <c r="B450" t="s">
        <v>244</v>
      </c>
      <c r="C450" t="s">
        <v>18</v>
      </c>
      <c r="E450" t="s">
        <v>1364</v>
      </c>
      <c r="F450" t="s">
        <v>1372</v>
      </c>
      <c r="G450">
        <v>-24</v>
      </c>
    </row>
    <row r="451" spans="1:7" x14ac:dyDescent="0.25">
      <c r="A451" s="40">
        <v>45698.556446759256</v>
      </c>
      <c r="B451" t="s">
        <v>244</v>
      </c>
      <c r="C451" t="s">
        <v>20</v>
      </c>
      <c r="E451" t="s">
        <v>1364</v>
      </c>
      <c r="F451" t="s">
        <v>1372</v>
      </c>
      <c r="G451">
        <v>-44</v>
      </c>
    </row>
    <row r="452" spans="1:7" x14ac:dyDescent="0.25">
      <c r="A452" s="40">
        <v>45698.556446759256</v>
      </c>
      <c r="B452" t="s">
        <v>244</v>
      </c>
      <c r="C452" t="s">
        <v>24</v>
      </c>
      <c r="E452" t="s">
        <v>1364</v>
      </c>
      <c r="F452" t="s">
        <v>1372</v>
      </c>
      <c r="G452">
        <v>-44</v>
      </c>
    </row>
    <row r="453" spans="1:7" x14ac:dyDescent="0.25">
      <c r="A453" s="40">
        <v>45698.556446759256</v>
      </c>
      <c r="B453" t="s">
        <v>244</v>
      </c>
      <c r="C453" t="s">
        <v>25</v>
      </c>
      <c r="E453" t="s">
        <v>1364</v>
      </c>
      <c r="F453" t="s">
        <v>1372</v>
      </c>
      <c r="G453">
        <v>-36</v>
      </c>
    </row>
    <row r="454" spans="1:7" x14ac:dyDescent="0.25">
      <c r="A454" s="40">
        <v>45698.556446759256</v>
      </c>
      <c r="B454" t="s">
        <v>244</v>
      </c>
      <c r="C454" t="s">
        <v>27</v>
      </c>
      <c r="E454" t="s">
        <v>1364</v>
      </c>
      <c r="F454" t="s">
        <v>1372</v>
      </c>
      <c r="G454">
        <v>-64</v>
      </c>
    </row>
    <row r="455" spans="1:7" x14ac:dyDescent="0.25">
      <c r="A455" s="40">
        <v>45698.556446759256</v>
      </c>
      <c r="B455" t="s">
        <v>244</v>
      </c>
      <c r="C455" t="s">
        <v>30</v>
      </c>
      <c r="E455" t="s">
        <v>1364</v>
      </c>
      <c r="F455" t="s">
        <v>1372</v>
      </c>
      <c r="G455">
        <v>-24</v>
      </c>
    </row>
    <row r="456" spans="1:7" x14ac:dyDescent="0.25">
      <c r="A456" s="40">
        <v>45698.556446759256</v>
      </c>
      <c r="B456" t="s">
        <v>244</v>
      </c>
      <c r="C456" t="s">
        <v>47</v>
      </c>
      <c r="E456" t="s">
        <v>1364</v>
      </c>
      <c r="F456" t="s">
        <v>1372</v>
      </c>
      <c r="G456">
        <v>-44</v>
      </c>
    </row>
    <row r="457" spans="1:7" x14ac:dyDescent="0.25">
      <c r="A457" s="40">
        <v>45698.556446759256</v>
      </c>
      <c r="B457" t="s">
        <v>244</v>
      </c>
      <c r="C457" t="s">
        <v>63</v>
      </c>
      <c r="E457" t="s">
        <v>1364</v>
      </c>
      <c r="F457" t="s">
        <v>1372</v>
      </c>
      <c r="G457">
        <v>-32</v>
      </c>
    </row>
    <row r="458" spans="1:7" x14ac:dyDescent="0.25">
      <c r="A458" s="40">
        <v>45698.556446759256</v>
      </c>
      <c r="B458" t="s">
        <v>244</v>
      </c>
      <c r="C458" t="s">
        <v>68</v>
      </c>
      <c r="E458" t="s">
        <v>1364</v>
      </c>
      <c r="F458" t="s">
        <v>1372</v>
      </c>
      <c r="G458">
        <v>-24</v>
      </c>
    </row>
    <row r="459" spans="1:7" x14ac:dyDescent="0.25">
      <c r="A459" s="40">
        <v>45700.633113425924</v>
      </c>
      <c r="B459" t="s">
        <v>245</v>
      </c>
      <c r="C459" t="s">
        <v>1</v>
      </c>
      <c r="E459" t="s">
        <v>1364</v>
      </c>
      <c r="F459" t="s">
        <v>1372</v>
      </c>
      <c r="G459">
        <v>-700</v>
      </c>
    </row>
    <row r="460" spans="1:7" x14ac:dyDescent="0.25">
      <c r="A460" s="40">
        <v>45700.633113425924</v>
      </c>
      <c r="B460" t="s">
        <v>245</v>
      </c>
      <c r="C460" t="s">
        <v>2</v>
      </c>
      <c r="E460" t="s">
        <v>1364</v>
      </c>
      <c r="F460" t="s">
        <v>1372</v>
      </c>
      <c r="G460">
        <v>-30</v>
      </c>
    </row>
    <row r="461" spans="1:7" x14ac:dyDescent="0.25">
      <c r="A461" s="40">
        <v>45700.633113425924</v>
      </c>
      <c r="B461" t="s">
        <v>245</v>
      </c>
      <c r="C461" t="s">
        <v>3</v>
      </c>
      <c r="E461" t="s">
        <v>1364</v>
      </c>
      <c r="F461" t="s">
        <v>1372</v>
      </c>
      <c r="G461">
        <v>-110</v>
      </c>
    </row>
    <row r="462" spans="1:7" x14ac:dyDescent="0.25">
      <c r="A462" s="40">
        <v>45700.633113425924</v>
      </c>
      <c r="B462" t="s">
        <v>245</v>
      </c>
      <c r="C462" t="s">
        <v>5</v>
      </c>
      <c r="E462" t="s">
        <v>1364</v>
      </c>
      <c r="F462" t="s">
        <v>1372</v>
      </c>
      <c r="G462">
        <v>-40</v>
      </c>
    </row>
    <row r="463" spans="1:7" x14ac:dyDescent="0.25">
      <c r="A463" s="40">
        <v>45700.633113425924</v>
      </c>
      <c r="B463" t="s">
        <v>245</v>
      </c>
      <c r="C463" t="s">
        <v>10</v>
      </c>
      <c r="E463" t="s">
        <v>1364</v>
      </c>
      <c r="F463" t="s">
        <v>1372</v>
      </c>
      <c r="G463">
        <v>-260</v>
      </c>
    </row>
    <row r="464" spans="1:7" x14ac:dyDescent="0.25">
      <c r="A464" s="40">
        <v>45700.633113425924</v>
      </c>
      <c r="B464" t="s">
        <v>245</v>
      </c>
      <c r="C464" t="s">
        <v>26</v>
      </c>
      <c r="E464" t="s">
        <v>1364</v>
      </c>
      <c r="F464" t="s">
        <v>1372</v>
      </c>
      <c r="G464">
        <v>-30</v>
      </c>
    </row>
    <row r="465" spans="1:7" x14ac:dyDescent="0.25">
      <c r="A465" s="40">
        <v>45700.633113425924</v>
      </c>
      <c r="B465" t="s">
        <v>245</v>
      </c>
      <c r="C465" t="s">
        <v>34</v>
      </c>
      <c r="E465" t="s">
        <v>1364</v>
      </c>
      <c r="F465" t="s">
        <v>1372</v>
      </c>
      <c r="G465">
        <v>-50</v>
      </c>
    </row>
    <row r="466" spans="1:7" x14ac:dyDescent="0.25">
      <c r="A466" s="40">
        <v>45700.633113425924</v>
      </c>
      <c r="B466" t="s">
        <v>245</v>
      </c>
      <c r="C466" t="s">
        <v>35</v>
      </c>
      <c r="E466" t="s">
        <v>1364</v>
      </c>
      <c r="F466" t="s">
        <v>1372</v>
      </c>
      <c r="G466">
        <v>-120</v>
      </c>
    </row>
    <row r="467" spans="1:7" x14ac:dyDescent="0.25">
      <c r="A467" s="40">
        <v>45700.633113425924</v>
      </c>
      <c r="B467" t="s">
        <v>245</v>
      </c>
      <c r="C467" t="s">
        <v>37</v>
      </c>
      <c r="E467" t="s">
        <v>1364</v>
      </c>
      <c r="F467" t="s">
        <v>1372</v>
      </c>
      <c r="G467">
        <v>-60</v>
      </c>
    </row>
    <row r="468" spans="1:7" x14ac:dyDescent="0.25">
      <c r="A468" s="40">
        <v>45700.633113425924</v>
      </c>
      <c r="B468" t="s">
        <v>245</v>
      </c>
      <c r="C468" t="s">
        <v>38</v>
      </c>
      <c r="E468" t="s">
        <v>1364</v>
      </c>
      <c r="F468" t="s">
        <v>1372</v>
      </c>
      <c r="G468">
        <v>-380</v>
      </c>
    </row>
    <row r="469" spans="1:7" x14ac:dyDescent="0.25">
      <c r="A469" s="40">
        <v>45700.633113425924</v>
      </c>
      <c r="B469" t="s">
        <v>245</v>
      </c>
      <c r="C469" t="s">
        <v>42</v>
      </c>
      <c r="E469" t="s">
        <v>1364</v>
      </c>
      <c r="F469" t="s">
        <v>1372</v>
      </c>
      <c r="G469">
        <v>-50</v>
      </c>
    </row>
    <row r="470" spans="1:7" x14ac:dyDescent="0.25">
      <c r="A470" s="40">
        <v>45700.633113425924</v>
      </c>
      <c r="B470" t="s">
        <v>245</v>
      </c>
      <c r="C470" t="s">
        <v>43</v>
      </c>
      <c r="E470" t="s">
        <v>1364</v>
      </c>
      <c r="F470" t="s">
        <v>1372</v>
      </c>
      <c r="G470">
        <v>-60</v>
      </c>
    </row>
    <row r="471" spans="1:7" x14ac:dyDescent="0.25">
      <c r="A471" s="40">
        <v>45700.633113425924</v>
      </c>
      <c r="B471" t="s">
        <v>245</v>
      </c>
      <c r="C471" t="s">
        <v>45</v>
      </c>
      <c r="E471" t="s">
        <v>1364</v>
      </c>
      <c r="F471" t="s">
        <v>1372</v>
      </c>
      <c r="G471">
        <v>-30</v>
      </c>
    </row>
    <row r="472" spans="1:7" x14ac:dyDescent="0.25">
      <c r="A472" s="40">
        <v>45700.633113425924</v>
      </c>
      <c r="B472" t="s">
        <v>245</v>
      </c>
      <c r="C472" t="s">
        <v>47</v>
      </c>
      <c r="E472" t="s">
        <v>1364</v>
      </c>
      <c r="F472" t="s">
        <v>1372</v>
      </c>
      <c r="G472">
        <v>-175</v>
      </c>
    </row>
    <row r="473" spans="1:7" x14ac:dyDescent="0.25">
      <c r="A473" s="40">
        <v>45700.633113425924</v>
      </c>
      <c r="B473" t="s">
        <v>245</v>
      </c>
      <c r="C473" t="s">
        <v>50</v>
      </c>
      <c r="E473" t="s">
        <v>1364</v>
      </c>
      <c r="F473" t="s">
        <v>1372</v>
      </c>
      <c r="G473">
        <v>-60</v>
      </c>
    </row>
    <row r="474" spans="1:7" x14ac:dyDescent="0.25">
      <c r="A474" s="40">
        <v>45700.633113425924</v>
      </c>
      <c r="B474" t="s">
        <v>245</v>
      </c>
      <c r="C474" t="s">
        <v>52</v>
      </c>
      <c r="E474" t="s">
        <v>1364</v>
      </c>
      <c r="F474" t="s">
        <v>1372</v>
      </c>
      <c r="G474">
        <v>-30</v>
      </c>
    </row>
    <row r="475" spans="1:7" x14ac:dyDescent="0.25">
      <c r="A475" s="40">
        <v>45700.633113425924</v>
      </c>
      <c r="B475" t="s">
        <v>245</v>
      </c>
      <c r="C475" t="s">
        <v>53</v>
      </c>
      <c r="E475" t="s">
        <v>1364</v>
      </c>
      <c r="F475" t="s">
        <v>1372</v>
      </c>
      <c r="G475">
        <v>-110</v>
      </c>
    </row>
    <row r="476" spans="1:7" x14ac:dyDescent="0.25">
      <c r="A476" s="40">
        <v>45700.633113425924</v>
      </c>
      <c r="B476" t="s">
        <v>245</v>
      </c>
      <c r="C476" t="s">
        <v>56</v>
      </c>
      <c r="E476" t="s">
        <v>1364</v>
      </c>
      <c r="F476" t="s">
        <v>1372</v>
      </c>
      <c r="G476">
        <v>-50</v>
      </c>
    </row>
    <row r="477" spans="1:7" x14ac:dyDescent="0.25">
      <c r="A477" s="40">
        <v>45700.633113425924</v>
      </c>
      <c r="B477" t="s">
        <v>245</v>
      </c>
      <c r="C477" t="s">
        <v>66</v>
      </c>
      <c r="E477" t="s">
        <v>1364</v>
      </c>
      <c r="F477" t="s">
        <v>1372</v>
      </c>
      <c r="G477">
        <v>-135</v>
      </c>
    </row>
    <row r="478" spans="1:7" x14ac:dyDescent="0.25">
      <c r="A478" s="40">
        <v>45700.633113425924</v>
      </c>
      <c r="B478" t="s">
        <v>245</v>
      </c>
      <c r="C478" t="s">
        <v>70</v>
      </c>
      <c r="E478" t="s">
        <v>1364</v>
      </c>
      <c r="F478" t="s">
        <v>1372</v>
      </c>
      <c r="G478">
        <v>-330</v>
      </c>
    </row>
    <row r="479" spans="1:7" x14ac:dyDescent="0.25">
      <c r="A479" s="40">
        <v>45700.633113425924</v>
      </c>
      <c r="B479" t="s">
        <v>245</v>
      </c>
      <c r="C479" t="s">
        <v>94</v>
      </c>
      <c r="E479" t="s">
        <v>1364</v>
      </c>
      <c r="F479" t="s">
        <v>1372</v>
      </c>
      <c r="G479">
        <v>-135</v>
      </c>
    </row>
    <row r="480" spans="1:7" x14ac:dyDescent="0.25">
      <c r="A480" s="40">
        <v>45700.633113425924</v>
      </c>
      <c r="B480" t="s">
        <v>245</v>
      </c>
      <c r="C480" t="s">
        <v>230</v>
      </c>
      <c r="E480" t="s">
        <v>1364</v>
      </c>
      <c r="F480" t="s">
        <v>1372</v>
      </c>
      <c r="G480">
        <v>-90</v>
      </c>
    </row>
    <row r="481" spans="1:7" x14ac:dyDescent="0.25">
      <c r="A481" s="40">
        <v>45701.841967592591</v>
      </c>
      <c r="B481" t="s">
        <v>246</v>
      </c>
      <c r="C481" t="s">
        <v>2</v>
      </c>
      <c r="E481" t="s">
        <v>1364</v>
      </c>
      <c r="F481" t="s">
        <v>1372</v>
      </c>
      <c r="G481">
        <v>-826</v>
      </c>
    </row>
    <row r="482" spans="1:7" x14ac:dyDescent="0.25">
      <c r="A482" s="40">
        <v>45701.841967592591</v>
      </c>
      <c r="B482" t="s">
        <v>246</v>
      </c>
      <c r="C482" t="s">
        <v>3</v>
      </c>
      <c r="E482" t="s">
        <v>1364</v>
      </c>
      <c r="F482" t="s">
        <v>1372</v>
      </c>
      <c r="G482">
        <v>-1214</v>
      </c>
    </row>
    <row r="483" spans="1:7" x14ac:dyDescent="0.25">
      <c r="A483" s="40">
        <v>45701.841967592591</v>
      </c>
      <c r="B483" t="s">
        <v>246</v>
      </c>
      <c r="C483" t="s">
        <v>4</v>
      </c>
      <c r="E483" t="s">
        <v>1364</v>
      </c>
      <c r="F483" t="s">
        <v>1372</v>
      </c>
      <c r="G483">
        <v>-256</v>
      </c>
    </row>
    <row r="484" spans="1:7" x14ac:dyDescent="0.25">
      <c r="A484" s="40">
        <v>45701.841967592591</v>
      </c>
      <c r="B484" t="s">
        <v>246</v>
      </c>
      <c r="C484" t="s">
        <v>6</v>
      </c>
      <c r="E484" t="s">
        <v>1364</v>
      </c>
      <c r="F484" t="s">
        <v>1372</v>
      </c>
      <c r="G484">
        <v>-73</v>
      </c>
    </row>
    <row r="485" spans="1:7" x14ac:dyDescent="0.25">
      <c r="A485" s="40">
        <v>45701.841967592591</v>
      </c>
      <c r="B485" t="s">
        <v>246</v>
      </c>
      <c r="C485" t="s">
        <v>7</v>
      </c>
      <c r="E485" t="s">
        <v>1364</v>
      </c>
      <c r="F485" t="s">
        <v>1372</v>
      </c>
      <c r="G485">
        <v>-2629</v>
      </c>
    </row>
    <row r="486" spans="1:7" x14ac:dyDescent="0.25">
      <c r="A486" s="40">
        <v>45701.841967592591</v>
      </c>
      <c r="B486" t="s">
        <v>246</v>
      </c>
      <c r="C486" t="s">
        <v>9</v>
      </c>
      <c r="E486" t="s">
        <v>1364</v>
      </c>
      <c r="F486" t="s">
        <v>1372</v>
      </c>
      <c r="G486">
        <v>-141</v>
      </c>
    </row>
    <row r="487" spans="1:7" x14ac:dyDescent="0.25">
      <c r="A487" s="40">
        <v>45701.841967592591</v>
      </c>
      <c r="B487" t="s">
        <v>246</v>
      </c>
      <c r="C487" t="s">
        <v>20</v>
      </c>
      <c r="E487" t="s">
        <v>1364</v>
      </c>
      <c r="F487" t="s">
        <v>1372</v>
      </c>
      <c r="G487">
        <v>-1372</v>
      </c>
    </row>
    <row r="488" spans="1:7" x14ac:dyDescent="0.25">
      <c r="A488" s="40">
        <v>45701.841967592591</v>
      </c>
      <c r="B488" t="s">
        <v>246</v>
      </c>
      <c r="C488" t="s">
        <v>27</v>
      </c>
      <c r="E488" t="s">
        <v>1364</v>
      </c>
      <c r="F488" t="s">
        <v>1372</v>
      </c>
      <c r="G488">
        <v>-2585</v>
      </c>
    </row>
    <row r="489" spans="1:7" x14ac:dyDescent="0.25">
      <c r="A489" s="40">
        <v>45701.841967592591</v>
      </c>
      <c r="B489" t="s">
        <v>246</v>
      </c>
      <c r="C489" t="s">
        <v>29</v>
      </c>
      <c r="E489" t="s">
        <v>1364</v>
      </c>
      <c r="F489" t="s">
        <v>1372</v>
      </c>
      <c r="G489">
        <v>-368</v>
      </c>
    </row>
    <row r="490" spans="1:7" x14ac:dyDescent="0.25">
      <c r="A490" s="40">
        <v>45701.841967592591</v>
      </c>
      <c r="B490" t="s">
        <v>246</v>
      </c>
      <c r="C490" t="s">
        <v>32</v>
      </c>
      <c r="E490" t="s">
        <v>1364</v>
      </c>
      <c r="F490" t="s">
        <v>1372</v>
      </c>
      <c r="G490">
        <v>-73</v>
      </c>
    </row>
    <row r="491" spans="1:7" x14ac:dyDescent="0.25">
      <c r="A491" s="40">
        <v>45701.841967592591</v>
      </c>
      <c r="B491" t="s">
        <v>246</v>
      </c>
      <c r="C491" t="s">
        <v>37</v>
      </c>
      <c r="E491" t="s">
        <v>1364</v>
      </c>
      <c r="F491" t="s">
        <v>1372</v>
      </c>
      <c r="G491">
        <v>-74</v>
      </c>
    </row>
    <row r="492" spans="1:7" x14ac:dyDescent="0.25">
      <c r="A492" s="40">
        <v>45701.841967592591</v>
      </c>
      <c r="B492" t="s">
        <v>246</v>
      </c>
      <c r="C492" t="s">
        <v>38</v>
      </c>
      <c r="E492" t="s">
        <v>1364</v>
      </c>
      <c r="F492" t="s">
        <v>1372</v>
      </c>
      <c r="G492">
        <v>-383</v>
      </c>
    </row>
    <row r="493" spans="1:7" x14ac:dyDescent="0.25">
      <c r="A493" s="40">
        <v>45701.841967592591</v>
      </c>
      <c r="B493" t="s">
        <v>246</v>
      </c>
      <c r="C493" t="s">
        <v>39</v>
      </c>
      <c r="E493" t="s">
        <v>1364</v>
      </c>
      <c r="F493" t="s">
        <v>1372</v>
      </c>
      <c r="G493">
        <v>-142</v>
      </c>
    </row>
    <row r="494" spans="1:7" x14ac:dyDescent="0.25">
      <c r="A494" s="40">
        <v>45701.841967592591</v>
      </c>
      <c r="B494" t="s">
        <v>246</v>
      </c>
      <c r="C494" t="s">
        <v>40</v>
      </c>
      <c r="E494" t="s">
        <v>1364</v>
      </c>
      <c r="F494" t="s">
        <v>1372</v>
      </c>
      <c r="G494">
        <v>-141</v>
      </c>
    </row>
    <row r="495" spans="1:7" x14ac:dyDescent="0.25">
      <c r="A495" s="40">
        <v>45701.841967592591</v>
      </c>
      <c r="B495" t="s">
        <v>246</v>
      </c>
      <c r="C495" t="s">
        <v>41</v>
      </c>
      <c r="E495" t="s">
        <v>1364</v>
      </c>
      <c r="F495" t="s">
        <v>1372</v>
      </c>
      <c r="G495">
        <v>-70</v>
      </c>
    </row>
    <row r="496" spans="1:7" x14ac:dyDescent="0.25">
      <c r="A496" s="40">
        <v>45701.841967592591</v>
      </c>
      <c r="B496" t="s">
        <v>246</v>
      </c>
      <c r="C496" t="s">
        <v>42</v>
      </c>
      <c r="E496" t="s">
        <v>1364</v>
      </c>
      <c r="F496" t="s">
        <v>1372</v>
      </c>
      <c r="G496">
        <v>-446</v>
      </c>
    </row>
    <row r="497" spans="1:7" x14ac:dyDescent="0.25">
      <c r="A497" s="40">
        <v>45701.841967592591</v>
      </c>
      <c r="B497" t="s">
        <v>246</v>
      </c>
      <c r="C497" t="s">
        <v>44</v>
      </c>
      <c r="E497" t="s">
        <v>1364</v>
      </c>
      <c r="F497" t="s">
        <v>1372</v>
      </c>
      <c r="G497">
        <v>-421</v>
      </c>
    </row>
    <row r="498" spans="1:7" x14ac:dyDescent="0.25">
      <c r="A498" s="40">
        <v>45701.841967592591</v>
      </c>
      <c r="B498" t="s">
        <v>246</v>
      </c>
      <c r="C498" t="s">
        <v>45</v>
      </c>
      <c r="E498" t="s">
        <v>1364</v>
      </c>
      <c r="F498" t="s">
        <v>1372</v>
      </c>
      <c r="G498">
        <v>-73</v>
      </c>
    </row>
    <row r="499" spans="1:7" x14ac:dyDescent="0.25">
      <c r="A499" s="40">
        <v>45701.841967592591</v>
      </c>
      <c r="B499" t="s">
        <v>246</v>
      </c>
      <c r="C499" t="s">
        <v>47</v>
      </c>
      <c r="E499" t="s">
        <v>1364</v>
      </c>
      <c r="F499" t="s">
        <v>1372</v>
      </c>
      <c r="G499">
        <v>-1499</v>
      </c>
    </row>
    <row r="500" spans="1:7" x14ac:dyDescent="0.25">
      <c r="A500" s="40">
        <v>45701.841967592591</v>
      </c>
      <c r="B500" t="s">
        <v>246</v>
      </c>
      <c r="C500" t="s">
        <v>55</v>
      </c>
      <c r="E500" t="s">
        <v>1364</v>
      </c>
      <c r="F500" t="s">
        <v>1372</v>
      </c>
      <c r="G500">
        <v>-254</v>
      </c>
    </row>
    <row r="501" spans="1:7" x14ac:dyDescent="0.25">
      <c r="A501" s="40">
        <v>45701.841967592591</v>
      </c>
      <c r="B501" t="s">
        <v>246</v>
      </c>
      <c r="C501" t="s">
        <v>56</v>
      </c>
      <c r="E501" t="s">
        <v>1364</v>
      </c>
      <c r="F501" t="s">
        <v>1372</v>
      </c>
      <c r="G501">
        <v>-142</v>
      </c>
    </row>
    <row r="502" spans="1:7" x14ac:dyDescent="0.25">
      <c r="A502" s="40">
        <v>45701.841967592591</v>
      </c>
      <c r="B502" t="s">
        <v>246</v>
      </c>
      <c r="C502" t="s">
        <v>57</v>
      </c>
      <c r="E502" t="s">
        <v>1364</v>
      </c>
      <c r="F502" t="s">
        <v>1372</v>
      </c>
      <c r="G502">
        <v>-73</v>
      </c>
    </row>
    <row r="503" spans="1:7" x14ac:dyDescent="0.25">
      <c r="A503" s="40">
        <v>45701.841967592591</v>
      </c>
      <c r="B503" t="s">
        <v>246</v>
      </c>
      <c r="C503" t="s">
        <v>58</v>
      </c>
      <c r="E503" t="s">
        <v>1364</v>
      </c>
      <c r="F503" t="s">
        <v>1372</v>
      </c>
      <c r="G503">
        <v>-73</v>
      </c>
    </row>
    <row r="504" spans="1:7" x14ac:dyDescent="0.25">
      <c r="A504" s="40">
        <v>45701.841967592591</v>
      </c>
      <c r="B504" t="s">
        <v>246</v>
      </c>
      <c r="C504" t="s">
        <v>60</v>
      </c>
      <c r="E504" t="s">
        <v>1364</v>
      </c>
      <c r="F504" t="s">
        <v>1372</v>
      </c>
      <c r="G504">
        <v>-1440</v>
      </c>
    </row>
    <row r="505" spans="1:7" x14ac:dyDescent="0.25">
      <c r="A505" s="40">
        <v>45701.841967592591</v>
      </c>
      <c r="B505" t="s">
        <v>246</v>
      </c>
      <c r="C505" t="s">
        <v>61</v>
      </c>
      <c r="E505" t="s">
        <v>1364</v>
      </c>
      <c r="F505" t="s">
        <v>1372</v>
      </c>
      <c r="G505">
        <v>-421</v>
      </c>
    </row>
    <row r="506" spans="1:7" x14ac:dyDescent="0.25">
      <c r="A506" s="40">
        <v>45701.841967592591</v>
      </c>
      <c r="B506" t="s">
        <v>246</v>
      </c>
      <c r="C506" t="s">
        <v>63</v>
      </c>
      <c r="E506" t="s">
        <v>1364</v>
      </c>
      <c r="F506" t="s">
        <v>1372</v>
      </c>
      <c r="G506">
        <v>-74</v>
      </c>
    </row>
    <row r="507" spans="1:7" x14ac:dyDescent="0.25">
      <c r="A507" s="40">
        <v>45701.841967592591</v>
      </c>
      <c r="B507" t="s">
        <v>246</v>
      </c>
      <c r="C507" t="s">
        <v>68</v>
      </c>
      <c r="E507" t="s">
        <v>1364</v>
      </c>
      <c r="F507" t="s">
        <v>1372</v>
      </c>
      <c r="G507">
        <v>-474</v>
      </c>
    </row>
    <row r="508" spans="1:7" x14ac:dyDescent="0.25">
      <c r="A508" s="40">
        <v>45701.841967592591</v>
      </c>
      <c r="B508" t="s">
        <v>246</v>
      </c>
      <c r="C508" t="s">
        <v>69</v>
      </c>
      <c r="E508" t="s">
        <v>1364</v>
      </c>
      <c r="F508" t="s">
        <v>1372</v>
      </c>
      <c r="G508">
        <v>-421</v>
      </c>
    </row>
    <row r="509" spans="1:7" x14ac:dyDescent="0.25">
      <c r="A509" s="40">
        <v>45701.841967592591</v>
      </c>
      <c r="B509" t="s">
        <v>246</v>
      </c>
      <c r="C509" t="s">
        <v>75</v>
      </c>
      <c r="E509" t="s">
        <v>1364</v>
      </c>
      <c r="F509" t="s">
        <v>1372</v>
      </c>
      <c r="G509">
        <v>-194</v>
      </c>
    </row>
    <row r="510" spans="1:7" x14ac:dyDescent="0.25">
      <c r="A510" s="40">
        <v>45701.841967592591</v>
      </c>
      <c r="B510" t="s">
        <v>246</v>
      </c>
      <c r="C510" t="s">
        <v>76</v>
      </c>
      <c r="E510" t="s">
        <v>1364</v>
      </c>
      <c r="F510" t="s">
        <v>1372</v>
      </c>
      <c r="G510">
        <v>-206</v>
      </c>
    </row>
    <row r="511" spans="1:7" x14ac:dyDescent="0.25">
      <c r="A511" s="40">
        <v>45701.841967592591</v>
      </c>
      <c r="B511" t="s">
        <v>246</v>
      </c>
      <c r="C511" t="s">
        <v>79</v>
      </c>
      <c r="E511" t="s">
        <v>1364</v>
      </c>
      <c r="F511" t="s">
        <v>1372</v>
      </c>
      <c r="G511">
        <v>-73</v>
      </c>
    </row>
    <row r="512" spans="1:7" x14ac:dyDescent="0.25">
      <c r="A512" s="40">
        <v>45701.841967592591</v>
      </c>
      <c r="B512" t="s">
        <v>246</v>
      </c>
      <c r="C512" t="s">
        <v>81</v>
      </c>
      <c r="E512" t="s">
        <v>1364</v>
      </c>
      <c r="F512" t="s">
        <v>1372</v>
      </c>
      <c r="G512">
        <v>-573</v>
      </c>
    </row>
    <row r="513" spans="1:12" x14ac:dyDescent="0.25">
      <c r="A513" s="40">
        <v>45701.841967592591</v>
      </c>
      <c r="B513" t="s">
        <v>246</v>
      </c>
      <c r="C513" t="s">
        <v>82</v>
      </c>
      <c r="E513" t="s">
        <v>1364</v>
      </c>
      <c r="F513" t="s">
        <v>1372</v>
      </c>
      <c r="G513">
        <v>-421</v>
      </c>
    </row>
    <row r="514" spans="1:12" x14ac:dyDescent="0.25">
      <c r="A514" s="40">
        <v>45701.841967592591</v>
      </c>
      <c r="B514" t="s">
        <v>246</v>
      </c>
      <c r="C514" t="s">
        <v>84</v>
      </c>
      <c r="E514" t="s">
        <v>1364</v>
      </c>
      <c r="F514" t="s">
        <v>1372</v>
      </c>
      <c r="G514">
        <v>-135</v>
      </c>
    </row>
    <row r="515" spans="1:12" x14ac:dyDescent="0.25">
      <c r="A515" s="40">
        <v>45701.841967592591</v>
      </c>
      <c r="B515" t="s">
        <v>246</v>
      </c>
      <c r="C515" t="s">
        <v>89</v>
      </c>
      <c r="E515" t="s">
        <v>1364</v>
      </c>
      <c r="F515" t="s">
        <v>1372</v>
      </c>
      <c r="G515">
        <v>-855</v>
      </c>
    </row>
    <row r="516" spans="1:12" x14ac:dyDescent="0.25">
      <c r="A516" s="40">
        <v>45701.841967592591</v>
      </c>
      <c r="B516" t="s">
        <v>246</v>
      </c>
      <c r="C516" t="s">
        <v>90</v>
      </c>
      <c r="E516" t="s">
        <v>1364</v>
      </c>
      <c r="F516" t="s">
        <v>1372</v>
      </c>
      <c r="G516">
        <v>-197</v>
      </c>
    </row>
    <row r="517" spans="1:12" x14ac:dyDescent="0.25">
      <c r="A517" s="40">
        <v>45701.841967592591</v>
      </c>
      <c r="B517" t="s">
        <v>246</v>
      </c>
      <c r="C517" t="s">
        <v>91</v>
      </c>
      <c r="E517" t="s">
        <v>1364</v>
      </c>
      <c r="F517" t="s">
        <v>1372</v>
      </c>
      <c r="G517">
        <v>-310</v>
      </c>
    </row>
    <row r="518" spans="1:12" x14ac:dyDescent="0.25">
      <c r="A518" s="40">
        <v>45701.841967592591</v>
      </c>
      <c r="B518" t="s">
        <v>246</v>
      </c>
      <c r="C518" t="s">
        <v>92</v>
      </c>
      <c r="E518" t="s">
        <v>1364</v>
      </c>
      <c r="F518" t="s">
        <v>1372</v>
      </c>
      <c r="G518">
        <v>-252</v>
      </c>
    </row>
    <row r="519" spans="1:12" x14ac:dyDescent="0.25">
      <c r="A519" s="40">
        <v>45701.841967592591</v>
      </c>
      <c r="B519" t="s">
        <v>246</v>
      </c>
      <c r="C519" t="s">
        <v>93</v>
      </c>
      <c r="E519" t="s">
        <v>1364</v>
      </c>
      <c r="F519" t="s">
        <v>1372</v>
      </c>
      <c r="G519">
        <v>-73</v>
      </c>
    </row>
    <row r="520" spans="1:12" x14ac:dyDescent="0.25">
      <c r="A520" s="40">
        <v>45701.841967592591</v>
      </c>
      <c r="B520" t="s">
        <v>246</v>
      </c>
      <c r="C520" t="s">
        <v>94</v>
      </c>
      <c r="E520" t="s">
        <v>1364</v>
      </c>
      <c r="F520" t="s">
        <v>1372</v>
      </c>
      <c r="G520">
        <v>-73</v>
      </c>
    </row>
    <row r="521" spans="1:12" x14ac:dyDescent="0.25">
      <c r="A521" s="40">
        <v>45701.841967592591</v>
      </c>
      <c r="B521" t="s">
        <v>246</v>
      </c>
      <c r="C521" t="s">
        <v>95</v>
      </c>
      <c r="E521" t="s">
        <v>1364</v>
      </c>
      <c r="F521" t="s">
        <v>1372</v>
      </c>
      <c r="G521">
        <v>-482</v>
      </c>
    </row>
    <row r="522" spans="1:12" x14ac:dyDescent="0.25">
      <c r="A522" s="40">
        <v>45701.841967592591</v>
      </c>
      <c r="B522" t="s">
        <v>246</v>
      </c>
      <c r="C522" t="s">
        <v>96</v>
      </c>
      <c r="E522" t="s">
        <v>1364</v>
      </c>
      <c r="F522" t="s">
        <v>1372</v>
      </c>
      <c r="G522">
        <v>-602</v>
      </c>
    </row>
    <row r="523" spans="1:12" x14ac:dyDescent="0.25">
      <c r="A523" s="40">
        <v>45701.841967592591</v>
      </c>
      <c r="B523" t="s">
        <v>246</v>
      </c>
      <c r="C523" t="s">
        <v>104</v>
      </c>
      <c r="E523" t="s">
        <v>1364</v>
      </c>
      <c r="F523" t="s">
        <v>1372</v>
      </c>
      <c r="G523">
        <v>-252</v>
      </c>
    </row>
    <row r="524" spans="1:12" x14ac:dyDescent="0.25">
      <c r="A524" s="40">
        <v>45701.841967592591</v>
      </c>
      <c r="B524" t="s">
        <v>246</v>
      </c>
      <c r="C524" t="s">
        <v>229</v>
      </c>
      <c r="E524" t="s">
        <v>1364</v>
      </c>
      <c r="F524" t="s">
        <v>1372</v>
      </c>
      <c r="G524">
        <v>-74</v>
      </c>
    </row>
    <row r="525" spans="1:12" x14ac:dyDescent="0.25">
      <c r="A525" s="40">
        <v>45701.841967592591</v>
      </c>
      <c r="B525" t="s">
        <v>246</v>
      </c>
      <c r="C525" t="s">
        <v>230</v>
      </c>
      <c r="E525" t="s">
        <v>1364</v>
      </c>
      <c r="F525" t="s">
        <v>1372</v>
      </c>
      <c r="G525">
        <v>-830</v>
      </c>
    </row>
    <row r="526" spans="1:12" x14ac:dyDescent="0.25">
      <c r="A526" s="40">
        <v>45709.506342592591</v>
      </c>
      <c r="B526" t="s">
        <v>246</v>
      </c>
      <c r="C526" t="s">
        <v>1</v>
      </c>
      <c r="E526" t="s">
        <v>1364</v>
      </c>
      <c r="F526" t="s">
        <v>695</v>
      </c>
      <c r="G526">
        <v>12000</v>
      </c>
      <c r="I526" t="s">
        <v>696</v>
      </c>
      <c r="L526">
        <v>23.52</v>
      </c>
    </row>
    <row r="527" spans="1:12" x14ac:dyDescent="0.25">
      <c r="A527" s="40">
        <v>45709.506342592591</v>
      </c>
      <c r="B527" t="s">
        <v>246</v>
      </c>
      <c r="C527" t="s">
        <v>10</v>
      </c>
      <c r="E527" t="s">
        <v>1364</v>
      </c>
      <c r="F527" t="s">
        <v>695</v>
      </c>
      <c r="G527">
        <v>5000</v>
      </c>
      <c r="I527" t="s">
        <v>696</v>
      </c>
      <c r="L527">
        <v>157.5</v>
      </c>
    </row>
    <row r="528" spans="1:12" x14ac:dyDescent="0.25">
      <c r="A528" s="40">
        <v>45709.506342592591</v>
      </c>
      <c r="B528" t="s">
        <v>246</v>
      </c>
      <c r="C528" t="s">
        <v>36</v>
      </c>
      <c r="E528" t="s">
        <v>1364</v>
      </c>
      <c r="F528" t="s">
        <v>695</v>
      </c>
      <c r="G528">
        <v>15000</v>
      </c>
      <c r="I528" t="s">
        <v>696</v>
      </c>
      <c r="L528">
        <v>12.6</v>
      </c>
    </row>
    <row r="529" spans="1:12" x14ac:dyDescent="0.25">
      <c r="A529" s="40">
        <v>45709.506342592591</v>
      </c>
      <c r="B529" t="s">
        <v>246</v>
      </c>
      <c r="C529" t="s">
        <v>66</v>
      </c>
      <c r="E529" t="s">
        <v>1364</v>
      </c>
      <c r="F529" t="s">
        <v>695</v>
      </c>
      <c r="G529">
        <v>6000</v>
      </c>
      <c r="I529" t="s">
        <v>696</v>
      </c>
      <c r="L529">
        <v>136.07999999999998</v>
      </c>
    </row>
    <row r="530" spans="1:12" x14ac:dyDescent="0.25">
      <c r="A530" s="40">
        <v>45709.506342592591</v>
      </c>
      <c r="B530" t="s">
        <v>246</v>
      </c>
      <c r="C530" t="s">
        <v>328</v>
      </c>
      <c r="E530" t="s">
        <v>1364</v>
      </c>
      <c r="F530" t="s">
        <v>695</v>
      </c>
      <c r="G530">
        <v>4000</v>
      </c>
      <c r="I530" t="s">
        <v>698</v>
      </c>
      <c r="L530">
        <v>266</v>
      </c>
    </row>
    <row r="531" spans="1:12" x14ac:dyDescent="0.25">
      <c r="A531" s="40">
        <v>45709.506342592591</v>
      </c>
      <c r="B531" t="s">
        <v>246</v>
      </c>
      <c r="C531" t="s">
        <v>420</v>
      </c>
      <c r="E531" t="s">
        <v>1364</v>
      </c>
      <c r="F531" t="s">
        <v>695</v>
      </c>
      <c r="G531">
        <v>5000</v>
      </c>
      <c r="I531" t="s">
        <v>698</v>
      </c>
      <c r="L531">
        <v>58.295999999999999</v>
      </c>
    </row>
    <row r="532" spans="1:12" x14ac:dyDescent="0.25">
      <c r="A532" s="40">
        <v>45709.506342592591</v>
      </c>
      <c r="B532" t="s">
        <v>246</v>
      </c>
      <c r="C532" t="s">
        <v>360</v>
      </c>
      <c r="E532" t="s">
        <v>1364</v>
      </c>
      <c r="F532" t="s">
        <v>695</v>
      </c>
      <c r="G532">
        <v>1000</v>
      </c>
      <c r="I532" t="s">
        <v>700</v>
      </c>
      <c r="L532" s="35">
        <v>1169</v>
      </c>
    </row>
    <row r="533" spans="1:12" x14ac:dyDescent="0.25">
      <c r="A533" s="40">
        <v>45709.506342592591</v>
      </c>
      <c r="B533" t="s">
        <v>246</v>
      </c>
      <c r="C533" t="s">
        <v>693</v>
      </c>
      <c r="E533" t="s">
        <v>1364</v>
      </c>
      <c r="F533" t="s">
        <v>695</v>
      </c>
      <c r="G533">
        <v>1000</v>
      </c>
      <c r="I533" t="s">
        <v>700</v>
      </c>
      <c r="L533" s="35">
        <v>1183</v>
      </c>
    </row>
    <row r="534" spans="1:12" x14ac:dyDescent="0.25">
      <c r="A534" s="40">
        <v>45709.506342592591</v>
      </c>
      <c r="B534" t="s">
        <v>246</v>
      </c>
      <c r="C534" t="s">
        <v>335</v>
      </c>
      <c r="E534" t="s">
        <v>1364</v>
      </c>
      <c r="F534" t="s">
        <v>695</v>
      </c>
      <c r="G534">
        <v>100</v>
      </c>
      <c r="I534" t="s">
        <v>511</v>
      </c>
      <c r="L534">
        <v>17.2</v>
      </c>
    </row>
    <row r="535" spans="1:12" x14ac:dyDescent="0.25">
      <c r="A535" s="40">
        <v>45709.506342592591</v>
      </c>
      <c r="B535" t="s">
        <v>246</v>
      </c>
      <c r="C535" t="s">
        <v>267</v>
      </c>
      <c r="E535" t="s">
        <v>1364</v>
      </c>
      <c r="F535" t="s">
        <v>695</v>
      </c>
      <c r="G535">
        <v>2000</v>
      </c>
      <c r="I535" t="s">
        <v>699</v>
      </c>
      <c r="L535">
        <v>319.2</v>
      </c>
    </row>
    <row r="536" spans="1:12" x14ac:dyDescent="0.25">
      <c r="A536" s="40">
        <v>45709.506342592591</v>
      </c>
      <c r="B536" t="s">
        <v>246</v>
      </c>
      <c r="C536" t="s">
        <v>283</v>
      </c>
      <c r="E536" t="s">
        <v>1364</v>
      </c>
      <c r="F536" t="s">
        <v>695</v>
      </c>
      <c r="G536">
        <v>4000</v>
      </c>
      <c r="I536" t="s">
        <v>696</v>
      </c>
      <c r="L536">
        <v>22.959999999999997</v>
      </c>
    </row>
    <row r="537" spans="1:12" x14ac:dyDescent="0.25">
      <c r="A537" s="40">
        <v>45709.506342592591</v>
      </c>
      <c r="B537" t="s">
        <v>246</v>
      </c>
      <c r="C537" t="s">
        <v>456</v>
      </c>
      <c r="E537" t="s">
        <v>1364</v>
      </c>
      <c r="F537" t="s">
        <v>695</v>
      </c>
      <c r="G537">
        <v>4000</v>
      </c>
      <c r="I537" t="s">
        <v>696</v>
      </c>
      <c r="L537">
        <v>54.319999999999993</v>
      </c>
    </row>
    <row r="538" spans="1:12" x14ac:dyDescent="0.25">
      <c r="A538" s="40">
        <v>45709.506342592591</v>
      </c>
      <c r="B538" t="s">
        <v>246</v>
      </c>
      <c r="C538" t="s">
        <v>441</v>
      </c>
      <c r="E538" t="s">
        <v>1364</v>
      </c>
      <c r="F538" t="s">
        <v>695</v>
      </c>
      <c r="G538">
        <v>4000</v>
      </c>
      <c r="I538" t="s">
        <v>696</v>
      </c>
      <c r="L538">
        <v>42</v>
      </c>
    </row>
    <row r="539" spans="1:12" x14ac:dyDescent="0.25">
      <c r="A539" s="40">
        <v>45709.506342592591</v>
      </c>
      <c r="B539" t="s">
        <v>246</v>
      </c>
      <c r="C539" t="s">
        <v>428</v>
      </c>
      <c r="E539" t="s">
        <v>1364</v>
      </c>
      <c r="F539" t="s">
        <v>695</v>
      </c>
      <c r="G539">
        <v>4000</v>
      </c>
      <c r="I539" t="s">
        <v>696</v>
      </c>
      <c r="L539">
        <v>56</v>
      </c>
    </row>
    <row r="540" spans="1:12" x14ac:dyDescent="0.25">
      <c r="A540" s="40">
        <v>45709.506342592591</v>
      </c>
      <c r="B540" t="s">
        <v>246</v>
      </c>
      <c r="C540" t="s">
        <v>362</v>
      </c>
      <c r="E540" t="s">
        <v>1364</v>
      </c>
      <c r="F540" t="s">
        <v>695</v>
      </c>
      <c r="G540">
        <v>3000</v>
      </c>
      <c r="I540" t="s">
        <v>696</v>
      </c>
      <c r="L540">
        <v>147.83999999999997</v>
      </c>
    </row>
    <row r="541" spans="1:12" x14ac:dyDescent="0.25">
      <c r="A541" s="40">
        <v>45709.506342592591</v>
      </c>
      <c r="B541" t="s">
        <v>246</v>
      </c>
      <c r="C541" t="s">
        <v>414</v>
      </c>
      <c r="E541" t="s">
        <v>1364</v>
      </c>
      <c r="F541" t="s">
        <v>695</v>
      </c>
      <c r="G541">
        <v>5000</v>
      </c>
      <c r="I541" t="s">
        <v>696</v>
      </c>
      <c r="L541">
        <v>4.8999999999999995</v>
      </c>
    </row>
    <row r="542" spans="1:12" x14ac:dyDescent="0.25">
      <c r="A542" s="40">
        <v>45709.506342592591</v>
      </c>
      <c r="B542" t="s">
        <v>246</v>
      </c>
      <c r="C542" t="s">
        <v>258</v>
      </c>
      <c r="E542" t="s">
        <v>1364</v>
      </c>
      <c r="F542" t="s">
        <v>695</v>
      </c>
      <c r="G542">
        <v>4000</v>
      </c>
      <c r="I542" t="s">
        <v>696</v>
      </c>
      <c r="L542">
        <v>25.759999999999998</v>
      </c>
    </row>
    <row r="543" spans="1:12" x14ac:dyDescent="0.25">
      <c r="A543" s="40">
        <v>45709.506342592591</v>
      </c>
      <c r="B543" t="s">
        <v>246</v>
      </c>
      <c r="C543" t="s">
        <v>424</v>
      </c>
      <c r="E543" t="s">
        <v>1364</v>
      </c>
      <c r="F543" t="s">
        <v>695</v>
      </c>
      <c r="G543">
        <v>5000</v>
      </c>
      <c r="I543" t="s">
        <v>696</v>
      </c>
      <c r="L543">
        <v>4.8999999999999995</v>
      </c>
    </row>
    <row r="544" spans="1:12" x14ac:dyDescent="0.25">
      <c r="A544" s="40">
        <v>45709.506342592591</v>
      </c>
      <c r="B544" t="s">
        <v>246</v>
      </c>
      <c r="C544" t="s">
        <v>277</v>
      </c>
      <c r="E544" t="s">
        <v>1364</v>
      </c>
      <c r="F544" t="s">
        <v>695</v>
      </c>
      <c r="G544">
        <v>4000</v>
      </c>
      <c r="I544" t="s">
        <v>696</v>
      </c>
      <c r="L544">
        <v>148.96</v>
      </c>
    </row>
    <row r="545" spans="1:12" x14ac:dyDescent="0.25">
      <c r="A545" s="40">
        <v>45709.506342592591</v>
      </c>
      <c r="B545" t="s">
        <v>246</v>
      </c>
      <c r="C545" t="s">
        <v>260</v>
      </c>
      <c r="E545" t="s">
        <v>1364</v>
      </c>
      <c r="F545" t="s">
        <v>695</v>
      </c>
      <c r="G545">
        <v>2000</v>
      </c>
      <c r="I545" t="s">
        <v>696</v>
      </c>
      <c r="L545">
        <v>40.879999999999995</v>
      </c>
    </row>
    <row r="546" spans="1:12" x14ac:dyDescent="0.25">
      <c r="A546" s="40">
        <v>45709.506342592591</v>
      </c>
      <c r="B546" t="s">
        <v>246</v>
      </c>
      <c r="C546" t="s">
        <v>304</v>
      </c>
      <c r="E546" t="s">
        <v>1364</v>
      </c>
      <c r="F546" t="s">
        <v>695</v>
      </c>
      <c r="G546">
        <v>2000</v>
      </c>
      <c r="I546" t="s">
        <v>696</v>
      </c>
      <c r="L546">
        <v>126.56</v>
      </c>
    </row>
    <row r="547" spans="1:12" x14ac:dyDescent="0.25">
      <c r="A547" s="40">
        <v>45709.506342592591</v>
      </c>
      <c r="B547" t="s">
        <v>246</v>
      </c>
      <c r="C547" t="s">
        <v>273</v>
      </c>
      <c r="E547" t="s">
        <v>1364</v>
      </c>
      <c r="F547" t="s">
        <v>695</v>
      </c>
      <c r="G547">
        <v>4000</v>
      </c>
      <c r="I547" t="s">
        <v>696</v>
      </c>
      <c r="L547">
        <v>9.52</v>
      </c>
    </row>
    <row r="548" spans="1:12" x14ac:dyDescent="0.25">
      <c r="A548" s="40">
        <v>45709.506342592591</v>
      </c>
      <c r="B548" t="s">
        <v>246</v>
      </c>
      <c r="C548" t="s">
        <v>418</v>
      </c>
      <c r="E548" t="s">
        <v>1364</v>
      </c>
      <c r="F548" t="s">
        <v>695</v>
      </c>
      <c r="G548">
        <v>4000</v>
      </c>
      <c r="I548" t="s">
        <v>696</v>
      </c>
      <c r="L548">
        <v>61.04</v>
      </c>
    </row>
    <row r="549" spans="1:12" x14ac:dyDescent="0.25">
      <c r="A549" s="40">
        <v>45709.506342592591</v>
      </c>
      <c r="B549" t="s">
        <v>246</v>
      </c>
      <c r="C549" t="s">
        <v>324</v>
      </c>
      <c r="E549" t="s">
        <v>1364</v>
      </c>
      <c r="F549" t="s">
        <v>695</v>
      </c>
      <c r="G549">
        <v>3000</v>
      </c>
      <c r="I549" t="s">
        <v>696</v>
      </c>
      <c r="L549">
        <v>73.5</v>
      </c>
    </row>
    <row r="550" spans="1:12" x14ac:dyDescent="0.25">
      <c r="A550" s="40">
        <v>45709.506342592591</v>
      </c>
      <c r="B550" t="s">
        <v>246</v>
      </c>
      <c r="C550" t="s">
        <v>426</v>
      </c>
      <c r="E550" t="s">
        <v>1364</v>
      </c>
      <c r="F550" t="s">
        <v>695</v>
      </c>
      <c r="G550">
        <v>5000</v>
      </c>
      <c r="I550" t="s">
        <v>696</v>
      </c>
      <c r="L550">
        <v>106.39999999999999</v>
      </c>
    </row>
    <row r="551" spans="1:12" x14ac:dyDescent="0.25">
      <c r="A551" s="40">
        <v>45709.506342592591</v>
      </c>
      <c r="B551" t="s">
        <v>246</v>
      </c>
      <c r="C551" t="s">
        <v>416</v>
      </c>
      <c r="E551" t="s">
        <v>1364</v>
      </c>
      <c r="F551" t="s">
        <v>695</v>
      </c>
      <c r="G551">
        <v>4000</v>
      </c>
      <c r="I551" t="s">
        <v>696</v>
      </c>
      <c r="L551">
        <v>89.6</v>
      </c>
    </row>
    <row r="552" spans="1:12" x14ac:dyDescent="0.25">
      <c r="A552" s="40">
        <v>45709.506342592591</v>
      </c>
      <c r="B552" t="s">
        <v>246</v>
      </c>
      <c r="C552" t="s">
        <v>462</v>
      </c>
      <c r="E552" t="s">
        <v>1364</v>
      </c>
      <c r="F552" t="s">
        <v>695</v>
      </c>
      <c r="G552">
        <v>4000</v>
      </c>
      <c r="I552" t="s">
        <v>696</v>
      </c>
      <c r="L552">
        <v>38.08</v>
      </c>
    </row>
    <row r="553" spans="1:12" x14ac:dyDescent="0.25">
      <c r="A553" s="40">
        <v>45709.506342592591</v>
      </c>
      <c r="B553" t="s">
        <v>246</v>
      </c>
      <c r="C553" t="s">
        <v>447</v>
      </c>
      <c r="E553" t="s">
        <v>1364</v>
      </c>
      <c r="F553" t="s">
        <v>695</v>
      </c>
      <c r="G553">
        <v>4000</v>
      </c>
      <c r="I553" t="s">
        <v>696</v>
      </c>
      <c r="L553">
        <v>49.28</v>
      </c>
    </row>
    <row r="554" spans="1:12" x14ac:dyDescent="0.25">
      <c r="A554" s="40">
        <v>45709.506342592591</v>
      </c>
      <c r="B554" t="s">
        <v>246</v>
      </c>
      <c r="C554" t="s">
        <v>468</v>
      </c>
      <c r="E554" t="s">
        <v>1364</v>
      </c>
      <c r="F554" t="s">
        <v>695</v>
      </c>
      <c r="G554">
        <v>5000</v>
      </c>
      <c r="I554" t="s">
        <v>696</v>
      </c>
      <c r="L554">
        <v>5.6</v>
      </c>
    </row>
    <row r="555" spans="1:12" x14ac:dyDescent="0.25">
      <c r="A555" s="40">
        <v>45709.506342592591</v>
      </c>
      <c r="B555" t="s">
        <v>246</v>
      </c>
      <c r="C555" t="s">
        <v>322</v>
      </c>
      <c r="E555" t="s">
        <v>1364</v>
      </c>
      <c r="F555" t="s">
        <v>695</v>
      </c>
      <c r="G555">
        <v>3000</v>
      </c>
      <c r="I555" t="s">
        <v>696</v>
      </c>
      <c r="L555">
        <v>272.15999999999997</v>
      </c>
    </row>
    <row r="556" spans="1:12" x14ac:dyDescent="0.25">
      <c r="A556" s="40">
        <v>45709.513171296298</v>
      </c>
      <c r="B556" t="s">
        <v>1123</v>
      </c>
      <c r="C556" t="s">
        <v>1</v>
      </c>
      <c r="E556" t="s">
        <v>1364</v>
      </c>
      <c r="F556" t="s">
        <v>1372</v>
      </c>
      <c r="G556">
        <v>-1700</v>
      </c>
    </row>
    <row r="557" spans="1:12" x14ac:dyDescent="0.25">
      <c r="A557" s="40">
        <v>45709.513171296298</v>
      </c>
      <c r="B557" t="s">
        <v>1123</v>
      </c>
      <c r="C557" t="s">
        <v>7</v>
      </c>
      <c r="E557" t="s">
        <v>1364</v>
      </c>
      <c r="F557" t="s">
        <v>1372</v>
      </c>
      <c r="G557">
        <v>-760</v>
      </c>
    </row>
    <row r="558" spans="1:12" x14ac:dyDescent="0.25">
      <c r="A558" s="40">
        <v>45709.513171296298</v>
      </c>
      <c r="B558" t="s">
        <v>1123</v>
      </c>
      <c r="C558" t="s">
        <v>8</v>
      </c>
      <c r="E558" t="s">
        <v>1364</v>
      </c>
      <c r="F558" t="s">
        <v>1372</v>
      </c>
      <c r="G558">
        <v>-450</v>
      </c>
    </row>
    <row r="559" spans="1:12" x14ac:dyDescent="0.25">
      <c r="A559" s="40">
        <v>45709.513171296298</v>
      </c>
      <c r="B559" t="s">
        <v>1123</v>
      </c>
      <c r="C559" t="s">
        <v>12</v>
      </c>
      <c r="E559" t="s">
        <v>1364</v>
      </c>
      <c r="F559" t="s">
        <v>1372</v>
      </c>
      <c r="G559">
        <v>-500</v>
      </c>
    </row>
    <row r="560" spans="1:12" x14ac:dyDescent="0.25">
      <c r="A560" s="40">
        <v>45709.513171296298</v>
      </c>
      <c r="B560" t="s">
        <v>1123</v>
      </c>
      <c r="C560" t="s">
        <v>13</v>
      </c>
      <c r="E560" t="s">
        <v>1364</v>
      </c>
      <c r="F560" t="s">
        <v>1372</v>
      </c>
      <c r="G560">
        <v>-240</v>
      </c>
    </row>
    <row r="561" spans="1:7" x14ac:dyDescent="0.25">
      <c r="A561" s="40">
        <v>45709.513171296298</v>
      </c>
      <c r="B561" t="s">
        <v>1123</v>
      </c>
      <c r="C561" t="s">
        <v>20</v>
      </c>
      <c r="E561" t="s">
        <v>1364</v>
      </c>
      <c r="F561" t="s">
        <v>1372</v>
      </c>
      <c r="G561">
        <v>-660</v>
      </c>
    </row>
    <row r="562" spans="1:7" x14ac:dyDescent="0.25">
      <c r="A562" s="40">
        <v>45709.513171296298</v>
      </c>
      <c r="B562" t="s">
        <v>1123</v>
      </c>
      <c r="C562" t="s">
        <v>27</v>
      </c>
      <c r="E562" t="s">
        <v>1364</v>
      </c>
      <c r="F562" t="s">
        <v>1372</v>
      </c>
      <c r="G562">
        <v>-1950</v>
      </c>
    </row>
    <row r="563" spans="1:7" x14ac:dyDescent="0.25">
      <c r="A563" s="40">
        <v>45709.513171296298</v>
      </c>
      <c r="B563" t="s">
        <v>1123</v>
      </c>
      <c r="C563" t="s">
        <v>28</v>
      </c>
      <c r="E563" t="s">
        <v>1364</v>
      </c>
      <c r="F563" t="s">
        <v>1372</v>
      </c>
      <c r="G563">
        <v>-135</v>
      </c>
    </row>
    <row r="564" spans="1:7" x14ac:dyDescent="0.25">
      <c r="A564" s="40">
        <v>45709.513171296298</v>
      </c>
      <c r="B564" t="s">
        <v>1123</v>
      </c>
      <c r="C564" t="s">
        <v>44</v>
      </c>
      <c r="E564" t="s">
        <v>1364</v>
      </c>
      <c r="F564" t="s">
        <v>1372</v>
      </c>
      <c r="G564">
        <v>-290</v>
      </c>
    </row>
    <row r="565" spans="1:7" x14ac:dyDescent="0.25">
      <c r="A565" s="40">
        <v>45709.513171296298</v>
      </c>
      <c r="B565" t="s">
        <v>1123</v>
      </c>
      <c r="C565" t="s">
        <v>47</v>
      </c>
      <c r="E565" t="s">
        <v>1364</v>
      </c>
      <c r="F565" t="s">
        <v>1372</v>
      </c>
      <c r="G565">
        <v>-290</v>
      </c>
    </row>
    <row r="566" spans="1:7" x14ac:dyDescent="0.25">
      <c r="A566" s="40">
        <v>45709.513171296298</v>
      </c>
      <c r="B566" t="s">
        <v>1123</v>
      </c>
      <c r="C566" t="s">
        <v>56</v>
      </c>
      <c r="E566" t="s">
        <v>1364</v>
      </c>
      <c r="F566" t="s">
        <v>1372</v>
      </c>
      <c r="G566">
        <v>-135</v>
      </c>
    </row>
    <row r="567" spans="1:7" x14ac:dyDescent="0.25">
      <c r="A567" s="40">
        <v>45709.513171296298</v>
      </c>
      <c r="B567" t="s">
        <v>1123</v>
      </c>
      <c r="C567" t="s">
        <v>58</v>
      </c>
      <c r="E567" t="s">
        <v>1364</v>
      </c>
      <c r="F567" t="s">
        <v>1372</v>
      </c>
      <c r="G567">
        <v>-450</v>
      </c>
    </row>
    <row r="568" spans="1:7" x14ac:dyDescent="0.25">
      <c r="A568" s="40">
        <v>45709.513171296298</v>
      </c>
      <c r="B568" t="s">
        <v>1123</v>
      </c>
      <c r="C568" t="s">
        <v>60</v>
      </c>
      <c r="E568" t="s">
        <v>1364</v>
      </c>
      <c r="F568" t="s">
        <v>1372</v>
      </c>
      <c r="G568">
        <v>-400</v>
      </c>
    </row>
    <row r="569" spans="1:7" x14ac:dyDescent="0.25">
      <c r="A569" s="40">
        <v>45709.513171296298</v>
      </c>
      <c r="B569" t="s">
        <v>1123</v>
      </c>
      <c r="C569" t="s">
        <v>62</v>
      </c>
      <c r="E569" t="s">
        <v>1364</v>
      </c>
      <c r="F569" t="s">
        <v>1372</v>
      </c>
      <c r="G569">
        <v>-70</v>
      </c>
    </row>
    <row r="570" spans="1:7" x14ac:dyDescent="0.25">
      <c r="A570" s="40">
        <v>45709.513171296298</v>
      </c>
      <c r="B570" t="s">
        <v>1123</v>
      </c>
      <c r="C570" t="s">
        <v>63</v>
      </c>
      <c r="E570" t="s">
        <v>1364</v>
      </c>
      <c r="F570" t="s">
        <v>1372</v>
      </c>
      <c r="G570">
        <v>-185</v>
      </c>
    </row>
    <row r="571" spans="1:7" x14ac:dyDescent="0.25">
      <c r="A571" s="40">
        <v>45709.513171296298</v>
      </c>
      <c r="B571" t="s">
        <v>1123</v>
      </c>
      <c r="C571" t="s">
        <v>68</v>
      </c>
      <c r="E571" t="s">
        <v>1364</v>
      </c>
      <c r="F571" t="s">
        <v>1372</v>
      </c>
      <c r="G571">
        <v>-450</v>
      </c>
    </row>
    <row r="572" spans="1:7" x14ac:dyDescent="0.25">
      <c r="A572" s="40">
        <v>45709.513171296298</v>
      </c>
      <c r="B572" t="s">
        <v>1123</v>
      </c>
      <c r="C572" t="s">
        <v>69</v>
      </c>
      <c r="E572" t="s">
        <v>1364</v>
      </c>
      <c r="F572" t="s">
        <v>1372</v>
      </c>
      <c r="G572">
        <v>-500</v>
      </c>
    </row>
    <row r="573" spans="1:7" x14ac:dyDescent="0.25">
      <c r="A573" s="40">
        <v>45709.513171296298</v>
      </c>
      <c r="B573" t="s">
        <v>1123</v>
      </c>
      <c r="C573" t="s">
        <v>70</v>
      </c>
      <c r="E573" t="s">
        <v>1364</v>
      </c>
      <c r="F573" t="s">
        <v>1372</v>
      </c>
      <c r="G573">
        <v>-760</v>
      </c>
    </row>
    <row r="574" spans="1:7" x14ac:dyDescent="0.25">
      <c r="A574" s="40">
        <v>45709.513171296298</v>
      </c>
      <c r="B574" t="s">
        <v>1123</v>
      </c>
      <c r="C574" t="s">
        <v>79</v>
      </c>
      <c r="E574" t="s">
        <v>1364</v>
      </c>
      <c r="F574" t="s">
        <v>1372</v>
      </c>
      <c r="G574">
        <v>-70</v>
      </c>
    </row>
    <row r="575" spans="1:7" x14ac:dyDescent="0.25">
      <c r="A575" s="40">
        <v>45709.513171296298</v>
      </c>
      <c r="B575" t="s">
        <v>1123</v>
      </c>
      <c r="C575" t="s">
        <v>82</v>
      </c>
      <c r="E575" t="s">
        <v>1364</v>
      </c>
      <c r="F575" t="s">
        <v>1372</v>
      </c>
      <c r="G575">
        <v>-290</v>
      </c>
    </row>
    <row r="576" spans="1:7" x14ac:dyDescent="0.25">
      <c r="A576" s="40">
        <v>45709.513171296298</v>
      </c>
      <c r="B576" t="s">
        <v>1123</v>
      </c>
      <c r="C576" t="s">
        <v>89</v>
      </c>
      <c r="E576" t="s">
        <v>1364</v>
      </c>
      <c r="F576" t="s">
        <v>1372</v>
      </c>
      <c r="G576">
        <v>-240</v>
      </c>
    </row>
    <row r="577" spans="1:7" x14ac:dyDescent="0.25">
      <c r="A577" s="40">
        <v>45709.513171296298</v>
      </c>
      <c r="B577" t="s">
        <v>1123</v>
      </c>
      <c r="C577" t="s">
        <v>230</v>
      </c>
      <c r="E577" t="s">
        <v>1364</v>
      </c>
      <c r="F577" t="s">
        <v>1372</v>
      </c>
      <c r="G577">
        <v>-185</v>
      </c>
    </row>
    <row r="578" spans="1:7" x14ac:dyDescent="0.25">
      <c r="A578" s="40">
        <v>45709.513171296298</v>
      </c>
      <c r="B578" t="s">
        <v>1123</v>
      </c>
      <c r="C578" t="s">
        <v>420</v>
      </c>
      <c r="E578" t="s">
        <v>1364</v>
      </c>
      <c r="F578" t="s">
        <v>1372</v>
      </c>
      <c r="G578">
        <v>-135</v>
      </c>
    </row>
    <row r="579" spans="1:7" x14ac:dyDescent="0.25">
      <c r="A579" s="40">
        <v>45709.513171296298</v>
      </c>
      <c r="B579" t="s">
        <v>1123</v>
      </c>
      <c r="C579" t="s">
        <v>693</v>
      </c>
      <c r="E579" t="s">
        <v>1364</v>
      </c>
      <c r="F579" t="s">
        <v>1372</v>
      </c>
      <c r="G579">
        <v>-70</v>
      </c>
    </row>
    <row r="580" spans="1:7" x14ac:dyDescent="0.25">
      <c r="A580" s="40">
        <v>45709.513171296298</v>
      </c>
      <c r="B580" t="s">
        <v>1123</v>
      </c>
      <c r="C580" t="s">
        <v>414</v>
      </c>
      <c r="E580" t="s">
        <v>1364</v>
      </c>
      <c r="F580" t="s">
        <v>1372</v>
      </c>
      <c r="G580">
        <v>-290</v>
      </c>
    </row>
    <row r="581" spans="1:7" x14ac:dyDescent="0.25">
      <c r="A581" s="40">
        <v>45709.513171296298</v>
      </c>
      <c r="B581" t="s">
        <v>1123</v>
      </c>
      <c r="C581" t="s">
        <v>424</v>
      </c>
      <c r="E581" t="s">
        <v>1364</v>
      </c>
      <c r="F581" t="s">
        <v>1372</v>
      </c>
      <c r="G581">
        <v>-135</v>
      </c>
    </row>
    <row r="582" spans="1:7" x14ac:dyDescent="0.25">
      <c r="A582" s="40">
        <v>45712.3359375</v>
      </c>
      <c r="B582" t="s">
        <v>1219</v>
      </c>
      <c r="C582" t="s">
        <v>1</v>
      </c>
      <c r="E582" t="s">
        <v>1364</v>
      </c>
      <c r="F582" t="s">
        <v>1372</v>
      </c>
      <c r="G582">
        <v>-600</v>
      </c>
    </row>
    <row r="583" spans="1:7" x14ac:dyDescent="0.25">
      <c r="A583" s="40">
        <v>45712.3359375</v>
      </c>
      <c r="B583" t="s">
        <v>1219</v>
      </c>
      <c r="C583" t="s">
        <v>14</v>
      </c>
      <c r="E583" t="s">
        <v>1364</v>
      </c>
      <c r="F583" t="s">
        <v>1372</v>
      </c>
      <c r="G583">
        <v>-155</v>
      </c>
    </row>
    <row r="584" spans="1:7" x14ac:dyDescent="0.25">
      <c r="A584" s="40">
        <v>45712.3359375</v>
      </c>
      <c r="B584" t="s">
        <v>1219</v>
      </c>
      <c r="C584" t="s">
        <v>18</v>
      </c>
      <c r="E584" t="s">
        <v>1364</v>
      </c>
      <c r="F584" t="s">
        <v>1372</v>
      </c>
      <c r="G584">
        <v>-90</v>
      </c>
    </row>
    <row r="585" spans="1:7" x14ac:dyDescent="0.25">
      <c r="A585" s="40">
        <v>45712.3359375</v>
      </c>
      <c r="B585" t="s">
        <v>1219</v>
      </c>
      <c r="C585" t="s">
        <v>25</v>
      </c>
      <c r="E585" t="s">
        <v>1364</v>
      </c>
      <c r="F585" t="s">
        <v>1372</v>
      </c>
      <c r="G585">
        <v>-280</v>
      </c>
    </row>
    <row r="586" spans="1:7" x14ac:dyDescent="0.25">
      <c r="A586" s="40">
        <v>45712.3359375</v>
      </c>
      <c r="B586" t="s">
        <v>1219</v>
      </c>
      <c r="C586" t="s">
        <v>27</v>
      </c>
      <c r="E586" t="s">
        <v>1364</v>
      </c>
      <c r="F586" t="s">
        <v>1372</v>
      </c>
      <c r="G586">
        <v>-155</v>
      </c>
    </row>
    <row r="587" spans="1:7" x14ac:dyDescent="0.25">
      <c r="A587" s="40">
        <v>45712.3359375</v>
      </c>
      <c r="B587" t="s">
        <v>1219</v>
      </c>
      <c r="C587" t="s">
        <v>47</v>
      </c>
      <c r="E587" t="s">
        <v>1364</v>
      </c>
      <c r="F587" t="s">
        <v>1372</v>
      </c>
      <c r="G587">
        <v>-280</v>
      </c>
    </row>
    <row r="588" spans="1:7" x14ac:dyDescent="0.25">
      <c r="A588" s="40">
        <v>45712.3359375</v>
      </c>
      <c r="B588" t="s">
        <v>1219</v>
      </c>
      <c r="C588" t="s">
        <v>53</v>
      </c>
      <c r="E588" t="s">
        <v>1364</v>
      </c>
      <c r="F588" t="s">
        <v>1372</v>
      </c>
      <c r="G588">
        <v>-24</v>
      </c>
    </row>
    <row r="589" spans="1:7" x14ac:dyDescent="0.25">
      <c r="A589" s="40">
        <v>45712.3359375</v>
      </c>
      <c r="B589" t="s">
        <v>1219</v>
      </c>
      <c r="C589" t="s">
        <v>54</v>
      </c>
      <c r="E589" t="s">
        <v>1364</v>
      </c>
      <c r="F589" t="s">
        <v>1372</v>
      </c>
      <c r="G589">
        <v>-24</v>
      </c>
    </row>
    <row r="590" spans="1:7" x14ac:dyDescent="0.25">
      <c r="A590" s="40">
        <v>45712.3359375</v>
      </c>
      <c r="B590" t="s">
        <v>1219</v>
      </c>
      <c r="C590" t="s">
        <v>60</v>
      </c>
      <c r="E590" t="s">
        <v>1364</v>
      </c>
      <c r="F590" t="s">
        <v>1372</v>
      </c>
      <c r="G590">
        <v>-22</v>
      </c>
    </row>
    <row r="591" spans="1:7" x14ac:dyDescent="0.25">
      <c r="A591" s="40">
        <v>45712.3359375</v>
      </c>
      <c r="B591" t="s">
        <v>1219</v>
      </c>
      <c r="C591" t="s">
        <v>63</v>
      </c>
      <c r="E591" t="s">
        <v>1364</v>
      </c>
      <c r="F591" t="s">
        <v>1372</v>
      </c>
      <c r="G591">
        <v>-155</v>
      </c>
    </row>
    <row r="592" spans="1:7" x14ac:dyDescent="0.25">
      <c r="A592" s="40">
        <v>45712.3359375</v>
      </c>
      <c r="B592" t="s">
        <v>1219</v>
      </c>
      <c r="C592" t="s">
        <v>67</v>
      </c>
      <c r="E592" t="s">
        <v>1364</v>
      </c>
      <c r="F592" t="s">
        <v>1372</v>
      </c>
      <c r="G592">
        <v>-22</v>
      </c>
    </row>
    <row r="593" spans="1:7" x14ac:dyDescent="0.25">
      <c r="A593" s="40">
        <v>45712.3359375</v>
      </c>
      <c r="B593" t="s">
        <v>1219</v>
      </c>
      <c r="C593" t="s">
        <v>77</v>
      </c>
      <c r="E593" t="s">
        <v>1364</v>
      </c>
      <c r="F593" t="s">
        <v>1372</v>
      </c>
      <c r="G593">
        <v>-54</v>
      </c>
    </row>
    <row r="594" spans="1:7" x14ac:dyDescent="0.25">
      <c r="A594" s="40">
        <v>45712.3359375</v>
      </c>
      <c r="B594" t="s">
        <v>1219</v>
      </c>
      <c r="C594" t="s">
        <v>81</v>
      </c>
      <c r="E594" t="s">
        <v>1364</v>
      </c>
      <c r="F594" t="s">
        <v>1372</v>
      </c>
      <c r="G594">
        <v>-40</v>
      </c>
    </row>
    <row r="595" spans="1:7" x14ac:dyDescent="0.25">
      <c r="A595" s="40">
        <v>45712.3359375</v>
      </c>
      <c r="B595" t="s">
        <v>1219</v>
      </c>
      <c r="C595" t="s">
        <v>82</v>
      </c>
      <c r="E595" t="s">
        <v>1364</v>
      </c>
      <c r="F595" t="s">
        <v>1372</v>
      </c>
      <c r="G595">
        <v>-22</v>
      </c>
    </row>
    <row r="596" spans="1:7" x14ac:dyDescent="0.25">
      <c r="A596" s="40">
        <v>45712.3359375</v>
      </c>
      <c r="B596" t="s">
        <v>1219</v>
      </c>
      <c r="C596" t="s">
        <v>84</v>
      </c>
      <c r="E596" t="s">
        <v>1364</v>
      </c>
      <c r="F596" t="s">
        <v>1372</v>
      </c>
      <c r="G596">
        <v>-28</v>
      </c>
    </row>
    <row r="597" spans="1:7" x14ac:dyDescent="0.25">
      <c r="A597" s="40">
        <v>45712.3359375</v>
      </c>
      <c r="B597" t="s">
        <v>1219</v>
      </c>
      <c r="C597" t="s">
        <v>97</v>
      </c>
      <c r="E597" t="s">
        <v>1364</v>
      </c>
      <c r="F597" t="s">
        <v>1372</v>
      </c>
      <c r="G597">
        <v>-38</v>
      </c>
    </row>
    <row r="598" spans="1:7" x14ac:dyDescent="0.25">
      <c r="A598" s="40">
        <v>45712.3359375</v>
      </c>
      <c r="B598" t="s">
        <v>1219</v>
      </c>
      <c r="C598" t="s">
        <v>99</v>
      </c>
      <c r="E598" t="s">
        <v>1364</v>
      </c>
      <c r="F598" t="s">
        <v>1372</v>
      </c>
      <c r="G598">
        <v>-22</v>
      </c>
    </row>
    <row r="599" spans="1:7" x14ac:dyDescent="0.25">
      <c r="A599" s="40">
        <v>45712.3359375</v>
      </c>
      <c r="B599" t="s">
        <v>1219</v>
      </c>
      <c r="C599" t="s">
        <v>283</v>
      </c>
      <c r="E599" t="s">
        <v>1364</v>
      </c>
      <c r="F599" t="s">
        <v>1372</v>
      </c>
      <c r="G599">
        <v>-28</v>
      </c>
    </row>
    <row r="600" spans="1:7" x14ac:dyDescent="0.25">
      <c r="A600" s="40">
        <v>45712.3359375</v>
      </c>
      <c r="B600" t="s">
        <v>1219</v>
      </c>
      <c r="C600" t="s">
        <v>362</v>
      </c>
      <c r="E600" t="s">
        <v>1364</v>
      </c>
      <c r="F600" t="s">
        <v>1372</v>
      </c>
      <c r="G600">
        <v>-26</v>
      </c>
    </row>
    <row r="601" spans="1:7" x14ac:dyDescent="0.25">
      <c r="A601" s="40">
        <v>45713.520381944443</v>
      </c>
      <c r="B601" t="s">
        <v>1271</v>
      </c>
      <c r="C601" t="s">
        <v>1</v>
      </c>
      <c r="E601" t="s">
        <v>1364</v>
      </c>
      <c r="F601" t="s">
        <v>1372</v>
      </c>
      <c r="G601">
        <v>-6700</v>
      </c>
    </row>
    <row r="602" spans="1:7" x14ac:dyDescent="0.25">
      <c r="A602" s="40">
        <v>45713.520381944443</v>
      </c>
      <c r="B602" t="s">
        <v>1271</v>
      </c>
      <c r="C602" t="s">
        <v>2</v>
      </c>
      <c r="E602" t="s">
        <v>1364</v>
      </c>
      <c r="F602" t="s">
        <v>1372</v>
      </c>
      <c r="G602">
        <v>-135</v>
      </c>
    </row>
    <row r="603" spans="1:7" x14ac:dyDescent="0.25">
      <c r="A603" s="40">
        <v>45713.520381944443</v>
      </c>
      <c r="B603" t="s">
        <v>1271</v>
      </c>
      <c r="C603" t="s">
        <v>3</v>
      </c>
      <c r="E603" t="s">
        <v>1364</v>
      </c>
      <c r="F603" t="s">
        <v>1372</v>
      </c>
      <c r="G603">
        <v>-560</v>
      </c>
    </row>
    <row r="604" spans="1:7" x14ac:dyDescent="0.25">
      <c r="A604" s="40">
        <v>45713.520381944443</v>
      </c>
      <c r="B604" t="s">
        <v>1271</v>
      </c>
      <c r="C604" t="s">
        <v>5</v>
      </c>
      <c r="E604" t="s">
        <v>1364</v>
      </c>
      <c r="F604" t="s">
        <v>1372</v>
      </c>
      <c r="G604">
        <v>-240</v>
      </c>
    </row>
    <row r="605" spans="1:7" x14ac:dyDescent="0.25">
      <c r="A605" s="40">
        <v>45713.520381944443</v>
      </c>
      <c r="B605" t="s">
        <v>1271</v>
      </c>
      <c r="C605" t="s">
        <v>6</v>
      </c>
      <c r="E605" t="s">
        <v>1364</v>
      </c>
      <c r="F605" t="s">
        <v>1372</v>
      </c>
      <c r="G605">
        <v>-560</v>
      </c>
    </row>
    <row r="606" spans="1:7" x14ac:dyDescent="0.25">
      <c r="A606" s="40">
        <v>45713.520381944443</v>
      </c>
      <c r="B606" t="s">
        <v>1271</v>
      </c>
      <c r="C606" t="s">
        <v>7</v>
      </c>
      <c r="E606" t="s">
        <v>1364</v>
      </c>
      <c r="F606" t="s">
        <v>1372</v>
      </c>
      <c r="G606">
        <v>-2000</v>
      </c>
    </row>
    <row r="607" spans="1:7" x14ac:dyDescent="0.25">
      <c r="A607" s="40">
        <v>45713.520381944443</v>
      </c>
      <c r="B607" t="s">
        <v>1271</v>
      </c>
      <c r="C607" t="s">
        <v>9</v>
      </c>
      <c r="E607" t="s">
        <v>1364</v>
      </c>
      <c r="F607" t="s">
        <v>1372</v>
      </c>
      <c r="G607">
        <v>-240</v>
      </c>
    </row>
    <row r="608" spans="1:7" x14ac:dyDescent="0.25">
      <c r="A608" s="40">
        <v>45713.520381944443</v>
      </c>
      <c r="B608" t="s">
        <v>1271</v>
      </c>
      <c r="C608" t="s">
        <v>10</v>
      </c>
      <c r="E608" t="s">
        <v>1364</v>
      </c>
      <c r="F608" t="s">
        <v>1372</v>
      </c>
      <c r="G608">
        <v>-2400</v>
      </c>
    </row>
    <row r="609" spans="1:7" x14ac:dyDescent="0.25">
      <c r="A609" s="40">
        <v>45713.520381944443</v>
      </c>
      <c r="B609" t="s">
        <v>1271</v>
      </c>
      <c r="C609" t="s">
        <v>26</v>
      </c>
      <c r="E609" t="s">
        <v>1364</v>
      </c>
      <c r="F609" t="s">
        <v>1372</v>
      </c>
      <c r="G609">
        <v>-135</v>
      </c>
    </row>
    <row r="610" spans="1:7" x14ac:dyDescent="0.25">
      <c r="A610" s="40">
        <v>45713.520381944443</v>
      </c>
      <c r="B610" t="s">
        <v>1271</v>
      </c>
      <c r="C610" t="s">
        <v>33</v>
      </c>
      <c r="E610" t="s">
        <v>1364</v>
      </c>
      <c r="F610" t="s">
        <v>1372</v>
      </c>
      <c r="G610">
        <v>-135</v>
      </c>
    </row>
    <row r="611" spans="1:7" x14ac:dyDescent="0.25">
      <c r="A611" s="40">
        <v>45713.520381944443</v>
      </c>
      <c r="B611" t="s">
        <v>1271</v>
      </c>
      <c r="C611" t="s">
        <v>34</v>
      </c>
      <c r="E611" t="s">
        <v>1364</v>
      </c>
      <c r="F611" t="s">
        <v>1372</v>
      </c>
      <c r="G611">
        <v>-350</v>
      </c>
    </row>
    <row r="612" spans="1:7" x14ac:dyDescent="0.25">
      <c r="A612" s="40">
        <v>45713.520381944443</v>
      </c>
      <c r="B612" t="s">
        <v>1271</v>
      </c>
      <c r="C612" t="s">
        <v>35</v>
      </c>
      <c r="E612" t="s">
        <v>1364</v>
      </c>
      <c r="F612" t="s">
        <v>1372</v>
      </c>
      <c r="G612">
        <v>-980</v>
      </c>
    </row>
    <row r="613" spans="1:7" x14ac:dyDescent="0.25">
      <c r="A613" s="40">
        <v>45713.520381944443</v>
      </c>
      <c r="B613" t="s">
        <v>1271</v>
      </c>
      <c r="C613" t="s">
        <v>36</v>
      </c>
      <c r="E613" t="s">
        <v>1364</v>
      </c>
      <c r="F613" t="s">
        <v>1372</v>
      </c>
      <c r="G613">
        <v>-1350</v>
      </c>
    </row>
    <row r="614" spans="1:7" x14ac:dyDescent="0.25">
      <c r="A614" s="40">
        <v>45713.520381944443</v>
      </c>
      <c r="B614" t="s">
        <v>1271</v>
      </c>
      <c r="C614" t="s">
        <v>37</v>
      </c>
      <c r="E614" t="s">
        <v>1364</v>
      </c>
      <c r="F614" t="s">
        <v>1372</v>
      </c>
      <c r="G614">
        <v>-240</v>
      </c>
    </row>
    <row r="615" spans="1:7" x14ac:dyDescent="0.25">
      <c r="A615" s="40">
        <v>45713.520381944443</v>
      </c>
      <c r="B615" t="s">
        <v>1271</v>
      </c>
      <c r="C615" t="s">
        <v>41</v>
      </c>
      <c r="E615" t="s">
        <v>1364</v>
      </c>
      <c r="F615" t="s">
        <v>1372</v>
      </c>
      <c r="G615">
        <v>-135</v>
      </c>
    </row>
    <row r="616" spans="1:7" x14ac:dyDescent="0.25">
      <c r="A616" s="40">
        <v>45713.520381944443</v>
      </c>
      <c r="B616" t="s">
        <v>1271</v>
      </c>
      <c r="C616" t="s">
        <v>42</v>
      </c>
      <c r="E616" t="s">
        <v>1364</v>
      </c>
      <c r="F616" t="s">
        <v>1372</v>
      </c>
      <c r="G616">
        <v>-450</v>
      </c>
    </row>
    <row r="617" spans="1:7" x14ac:dyDescent="0.25">
      <c r="A617" s="40">
        <v>45713.520381944443</v>
      </c>
      <c r="B617" t="s">
        <v>1271</v>
      </c>
      <c r="C617" t="s">
        <v>43</v>
      </c>
      <c r="E617" t="s">
        <v>1364</v>
      </c>
      <c r="F617" t="s">
        <v>1372</v>
      </c>
      <c r="G617">
        <v>-240</v>
      </c>
    </row>
    <row r="618" spans="1:7" x14ac:dyDescent="0.25">
      <c r="A618" s="40">
        <v>45713.520381944443</v>
      </c>
      <c r="B618" t="s">
        <v>1271</v>
      </c>
      <c r="C618" t="s">
        <v>44</v>
      </c>
      <c r="E618" t="s">
        <v>1364</v>
      </c>
      <c r="F618" t="s">
        <v>1372</v>
      </c>
      <c r="G618">
        <v>-400</v>
      </c>
    </row>
    <row r="619" spans="1:7" x14ac:dyDescent="0.25">
      <c r="A619" s="40">
        <v>45713.520381944443</v>
      </c>
      <c r="B619" t="s">
        <v>1271</v>
      </c>
      <c r="C619" t="s">
        <v>45</v>
      </c>
      <c r="E619" t="s">
        <v>1364</v>
      </c>
      <c r="F619" t="s">
        <v>1372</v>
      </c>
      <c r="G619">
        <v>-135</v>
      </c>
    </row>
    <row r="620" spans="1:7" x14ac:dyDescent="0.25">
      <c r="A620" s="40">
        <v>45713.520381944443</v>
      </c>
      <c r="B620" t="s">
        <v>1271</v>
      </c>
      <c r="C620" t="s">
        <v>46</v>
      </c>
      <c r="E620" t="s">
        <v>1364</v>
      </c>
      <c r="F620" t="s">
        <v>1372</v>
      </c>
      <c r="G620">
        <v>-135</v>
      </c>
    </row>
    <row r="621" spans="1:7" x14ac:dyDescent="0.25">
      <c r="A621" s="40">
        <v>45713.520381944443</v>
      </c>
      <c r="B621" t="s">
        <v>1271</v>
      </c>
      <c r="C621" t="s">
        <v>47</v>
      </c>
      <c r="E621" t="s">
        <v>1364</v>
      </c>
      <c r="F621" t="s">
        <v>1372</v>
      </c>
      <c r="G621">
        <v>-1500</v>
      </c>
    </row>
    <row r="622" spans="1:7" x14ac:dyDescent="0.25">
      <c r="A622" s="40">
        <v>45713.520381944443</v>
      </c>
      <c r="B622" t="s">
        <v>1271</v>
      </c>
      <c r="C622" t="s">
        <v>50</v>
      </c>
      <c r="E622" t="s">
        <v>1364</v>
      </c>
      <c r="F622" t="s">
        <v>1372</v>
      </c>
      <c r="G622">
        <v>-450</v>
      </c>
    </row>
    <row r="623" spans="1:7" x14ac:dyDescent="0.25">
      <c r="A623" s="40">
        <v>45713.520381944443</v>
      </c>
      <c r="B623" t="s">
        <v>1271</v>
      </c>
      <c r="C623" t="s">
        <v>51</v>
      </c>
      <c r="E623" t="s">
        <v>1364</v>
      </c>
      <c r="F623" t="s">
        <v>1372</v>
      </c>
      <c r="G623">
        <v>-660</v>
      </c>
    </row>
    <row r="624" spans="1:7" x14ac:dyDescent="0.25">
      <c r="A624" s="40">
        <v>45713.520381944443</v>
      </c>
      <c r="B624" t="s">
        <v>1271</v>
      </c>
      <c r="C624" t="s">
        <v>52</v>
      </c>
      <c r="E624" t="s">
        <v>1364</v>
      </c>
      <c r="F624" t="s">
        <v>1372</v>
      </c>
      <c r="G624">
        <v>-135</v>
      </c>
    </row>
    <row r="625" spans="1:7" x14ac:dyDescent="0.25">
      <c r="A625" s="40">
        <v>45713.520381944443</v>
      </c>
      <c r="B625" t="s">
        <v>1271</v>
      </c>
      <c r="C625" t="s">
        <v>53</v>
      </c>
      <c r="E625" t="s">
        <v>1364</v>
      </c>
      <c r="F625" t="s">
        <v>1372</v>
      </c>
      <c r="G625">
        <v>-880</v>
      </c>
    </row>
    <row r="626" spans="1:7" x14ac:dyDescent="0.25">
      <c r="A626" s="40">
        <v>45713.520381944443</v>
      </c>
      <c r="B626" t="s">
        <v>1271</v>
      </c>
      <c r="C626" t="s">
        <v>54</v>
      </c>
      <c r="E626" t="s">
        <v>1364</v>
      </c>
      <c r="F626" t="s">
        <v>1372</v>
      </c>
      <c r="G626">
        <v>-560</v>
      </c>
    </row>
    <row r="627" spans="1:7" x14ac:dyDescent="0.25">
      <c r="A627" s="40">
        <v>45713.520381944443</v>
      </c>
      <c r="B627" t="s">
        <v>1271</v>
      </c>
      <c r="C627" t="s">
        <v>55</v>
      </c>
      <c r="E627" t="s">
        <v>1364</v>
      </c>
      <c r="F627" t="s">
        <v>1372</v>
      </c>
      <c r="G627">
        <v>-240</v>
      </c>
    </row>
    <row r="628" spans="1:7" x14ac:dyDescent="0.25">
      <c r="A628" s="40">
        <v>45713.520381944443</v>
      </c>
      <c r="B628" t="s">
        <v>1271</v>
      </c>
      <c r="C628" t="s">
        <v>56</v>
      </c>
      <c r="E628" t="s">
        <v>1364</v>
      </c>
      <c r="F628" t="s">
        <v>1372</v>
      </c>
      <c r="G628">
        <v>-350</v>
      </c>
    </row>
    <row r="629" spans="1:7" x14ac:dyDescent="0.25">
      <c r="A629" s="40">
        <v>45713.520381944443</v>
      </c>
      <c r="B629" t="s">
        <v>1271</v>
      </c>
      <c r="C629" t="s">
        <v>58</v>
      </c>
      <c r="E629" t="s">
        <v>1364</v>
      </c>
      <c r="F629" t="s">
        <v>1372</v>
      </c>
      <c r="G629">
        <v>-450</v>
      </c>
    </row>
    <row r="630" spans="1:7" x14ac:dyDescent="0.25">
      <c r="A630" s="40">
        <v>45713.520381944443</v>
      </c>
      <c r="B630" t="s">
        <v>1271</v>
      </c>
      <c r="C630" t="s">
        <v>59</v>
      </c>
      <c r="E630" t="s">
        <v>1364</v>
      </c>
      <c r="F630" t="s">
        <v>1372</v>
      </c>
      <c r="G630">
        <v>-70</v>
      </c>
    </row>
    <row r="631" spans="1:7" x14ac:dyDescent="0.25">
      <c r="A631" s="40">
        <v>45713.520381944443</v>
      </c>
      <c r="B631" t="s">
        <v>1271</v>
      </c>
      <c r="C631" t="s">
        <v>61</v>
      </c>
      <c r="E631" t="s">
        <v>1364</v>
      </c>
      <c r="F631" t="s">
        <v>1372</v>
      </c>
      <c r="G631">
        <v>-1700</v>
      </c>
    </row>
    <row r="632" spans="1:7" x14ac:dyDescent="0.25">
      <c r="A632" s="40">
        <v>45713.520381944443</v>
      </c>
      <c r="B632" t="s">
        <v>1271</v>
      </c>
      <c r="C632" t="s">
        <v>62</v>
      </c>
      <c r="E632" t="s">
        <v>1364</v>
      </c>
      <c r="F632" t="s">
        <v>1372</v>
      </c>
      <c r="G632">
        <v>-135</v>
      </c>
    </row>
    <row r="633" spans="1:7" x14ac:dyDescent="0.25">
      <c r="A633" s="40">
        <v>45713.520381944443</v>
      </c>
      <c r="B633" t="s">
        <v>1271</v>
      </c>
      <c r="C633" t="s">
        <v>63</v>
      </c>
      <c r="E633" t="s">
        <v>1364</v>
      </c>
      <c r="F633" t="s">
        <v>1372</v>
      </c>
      <c r="G633">
        <v>-350</v>
      </c>
    </row>
    <row r="634" spans="1:7" x14ac:dyDescent="0.25">
      <c r="A634" s="40">
        <v>45713.520381944443</v>
      </c>
      <c r="B634" t="s">
        <v>1271</v>
      </c>
      <c r="C634" t="s">
        <v>64</v>
      </c>
      <c r="E634" t="s">
        <v>1364</v>
      </c>
      <c r="F634" t="s">
        <v>1372</v>
      </c>
      <c r="G634">
        <v>-240</v>
      </c>
    </row>
    <row r="635" spans="1:7" x14ac:dyDescent="0.25">
      <c r="A635" s="40">
        <v>45713.520381944443</v>
      </c>
      <c r="B635" t="s">
        <v>1271</v>
      </c>
      <c r="C635" t="s">
        <v>65</v>
      </c>
      <c r="E635" t="s">
        <v>1364</v>
      </c>
      <c r="F635" t="s">
        <v>1372</v>
      </c>
      <c r="G635">
        <v>-135</v>
      </c>
    </row>
    <row r="636" spans="1:7" x14ac:dyDescent="0.25">
      <c r="A636" s="40">
        <v>45713.520381944443</v>
      </c>
      <c r="B636" t="s">
        <v>1271</v>
      </c>
      <c r="C636" t="s">
        <v>66</v>
      </c>
      <c r="E636" t="s">
        <v>1364</v>
      </c>
      <c r="F636" t="s">
        <v>1372</v>
      </c>
      <c r="G636">
        <v>-1100</v>
      </c>
    </row>
    <row r="637" spans="1:7" x14ac:dyDescent="0.25">
      <c r="A637" s="40">
        <v>45713.520381944443</v>
      </c>
      <c r="B637" t="s">
        <v>1271</v>
      </c>
      <c r="C637" t="s">
        <v>68</v>
      </c>
      <c r="E637" t="s">
        <v>1364</v>
      </c>
      <c r="F637" t="s">
        <v>1372</v>
      </c>
      <c r="G637">
        <v>-610</v>
      </c>
    </row>
    <row r="638" spans="1:7" x14ac:dyDescent="0.25">
      <c r="A638" s="40">
        <v>45713.520381944443</v>
      </c>
      <c r="B638" t="s">
        <v>1271</v>
      </c>
      <c r="C638" t="s">
        <v>69</v>
      </c>
      <c r="E638" t="s">
        <v>1364</v>
      </c>
      <c r="F638" t="s">
        <v>1372</v>
      </c>
      <c r="G638">
        <v>-610</v>
      </c>
    </row>
    <row r="639" spans="1:7" x14ac:dyDescent="0.25">
      <c r="A639" s="40">
        <v>45713.520381944443</v>
      </c>
      <c r="B639" t="s">
        <v>1271</v>
      </c>
      <c r="C639" t="s">
        <v>70</v>
      </c>
      <c r="E639" t="s">
        <v>1364</v>
      </c>
      <c r="F639" t="s">
        <v>1372</v>
      </c>
      <c r="G639">
        <v>-3450</v>
      </c>
    </row>
    <row r="640" spans="1:7" x14ac:dyDescent="0.25">
      <c r="A640" s="40">
        <v>45713.520381944443</v>
      </c>
      <c r="B640" t="s">
        <v>1271</v>
      </c>
      <c r="C640" t="s">
        <v>94</v>
      </c>
      <c r="E640" t="s">
        <v>1364</v>
      </c>
      <c r="F640" t="s">
        <v>1372</v>
      </c>
      <c r="G640">
        <v>-1100</v>
      </c>
    </row>
    <row r="641" spans="1:7" x14ac:dyDescent="0.25">
      <c r="A641" s="40">
        <v>45713.520381944443</v>
      </c>
      <c r="B641" t="s">
        <v>1271</v>
      </c>
      <c r="C641" t="s">
        <v>229</v>
      </c>
      <c r="E641" t="s">
        <v>1364</v>
      </c>
      <c r="F641" t="s">
        <v>1372</v>
      </c>
      <c r="G641">
        <v>-450</v>
      </c>
    </row>
    <row r="642" spans="1:7" x14ac:dyDescent="0.25">
      <c r="A642" s="40">
        <v>45713.520381944443</v>
      </c>
      <c r="B642" t="s">
        <v>1271</v>
      </c>
      <c r="C642" t="s">
        <v>230</v>
      </c>
      <c r="E642" t="s">
        <v>1364</v>
      </c>
      <c r="F642" t="s">
        <v>1372</v>
      </c>
      <c r="G642">
        <v>-350</v>
      </c>
    </row>
    <row r="643" spans="1:7" x14ac:dyDescent="0.25">
      <c r="A643" s="40">
        <v>45713.520381944443</v>
      </c>
      <c r="B643" t="s">
        <v>1271</v>
      </c>
      <c r="C643" t="s">
        <v>328</v>
      </c>
      <c r="E643" t="s">
        <v>1364</v>
      </c>
      <c r="F643" t="s">
        <v>1372</v>
      </c>
      <c r="G643">
        <v>-135</v>
      </c>
    </row>
    <row r="644" spans="1:7" x14ac:dyDescent="0.25">
      <c r="A644" s="40">
        <v>45713.520381944443</v>
      </c>
      <c r="B644" t="s">
        <v>1271</v>
      </c>
      <c r="C644" t="s">
        <v>693</v>
      </c>
      <c r="E644" t="s">
        <v>1364</v>
      </c>
      <c r="F644" t="s">
        <v>1372</v>
      </c>
      <c r="G644">
        <v>-135</v>
      </c>
    </row>
    <row r="645" spans="1:7" x14ac:dyDescent="0.25">
      <c r="A645" s="40">
        <v>45713.520381944443</v>
      </c>
      <c r="B645" t="s">
        <v>1271</v>
      </c>
      <c r="C645" t="s">
        <v>267</v>
      </c>
      <c r="E645" t="s">
        <v>1364</v>
      </c>
      <c r="F645" t="s">
        <v>1372</v>
      </c>
      <c r="G645">
        <v>-240</v>
      </c>
    </row>
    <row r="646" spans="1:7" x14ac:dyDescent="0.25">
      <c r="A646" s="40">
        <v>45713.520381944443</v>
      </c>
      <c r="B646" t="s">
        <v>1271</v>
      </c>
      <c r="C646" t="s">
        <v>258</v>
      </c>
      <c r="E646" t="s">
        <v>1364</v>
      </c>
      <c r="F646" t="s">
        <v>1372</v>
      </c>
      <c r="G646">
        <v>-660</v>
      </c>
    </row>
    <row r="647" spans="1:7" x14ac:dyDescent="0.25">
      <c r="A647" s="40">
        <v>45713.520381944443</v>
      </c>
      <c r="B647" t="s">
        <v>1271</v>
      </c>
      <c r="C647" t="s">
        <v>277</v>
      </c>
      <c r="E647" t="s">
        <v>1364</v>
      </c>
      <c r="F647" t="s">
        <v>1372</v>
      </c>
      <c r="G647">
        <v>-240</v>
      </c>
    </row>
    <row r="648" spans="1:7" x14ac:dyDescent="0.25">
      <c r="A648" s="40">
        <v>45713.520381944443</v>
      </c>
      <c r="B648" t="s">
        <v>1271</v>
      </c>
      <c r="C648" t="s">
        <v>260</v>
      </c>
      <c r="E648" t="s">
        <v>1364</v>
      </c>
      <c r="F648" t="s">
        <v>1372</v>
      </c>
      <c r="G648">
        <v>-760</v>
      </c>
    </row>
    <row r="649" spans="1:7" x14ac:dyDescent="0.25">
      <c r="A649" s="40">
        <v>45713.520381944443</v>
      </c>
      <c r="B649" t="s">
        <v>1271</v>
      </c>
      <c r="C649" t="s">
        <v>324</v>
      </c>
      <c r="E649" t="s">
        <v>1364</v>
      </c>
      <c r="F649" t="s">
        <v>1372</v>
      </c>
      <c r="G649">
        <v>-450</v>
      </c>
    </row>
    <row r="650" spans="1:7" x14ac:dyDescent="0.25">
      <c r="A650" s="40">
        <v>45713.520381944443</v>
      </c>
      <c r="B650" t="s">
        <v>1271</v>
      </c>
      <c r="C650" t="s">
        <v>462</v>
      </c>
      <c r="E650" t="s">
        <v>1364</v>
      </c>
      <c r="F650" t="s">
        <v>1372</v>
      </c>
      <c r="G650">
        <v>-240</v>
      </c>
    </row>
    <row r="651" spans="1:7" x14ac:dyDescent="0.25">
      <c r="A651" s="40">
        <v>45713.520381944443</v>
      </c>
      <c r="B651" t="s">
        <v>1271</v>
      </c>
      <c r="C651" t="s">
        <v>322</v>
      </c>
      <c r="E651" t="s">
        <v>1364</v>
      </c>
      <c r="F651" t="s">
        <v>1372</v>
      </c>
      <c r="G651">
        <v>-760</v>
      </c>
    </row>
    <row r="652" spans="1:7" x14ac:dyDescent="0.25">
      <c r="A652" s="40">
        <v>45715.53565972222</v>
      </c>
      <c r="B652" t="s">
        <v>246</v>
      </c>
      <c r="C652" t="s">
        <v>1</v>
      </c>
      <c r="E652" t="s">
        <v>1364</v>
      </c>
      <c r="F652" t="s">
        <v>1372</v>
      </c>
      <c r="G652">
        <v>-7720</v>
      </c>
    </row>
    <row r="653" spans="1:7" x14ac:dyDescent="0.25">
      <c r="A653" s="40">
        <v>45715.53565972222</v>
      </c>
      <c r="B653" t="s">
        <v>246</v>
      </c>
      <c r="C653" t="s">
        <v>10</v>
      </c>
      <c r="E653" t="s">
        <v>1364</v>
      </c>
      <c r="F653" t="s">
        <v>1372</v>
      </c>
      <c r="G653">
        <v>-805</v>
      </c>
    </row>
    <row r="654" spans="1:7" x14ac:dyDescent="0.25">
      <c r="A654" s="40">
        <v>45715.53565972222</v>
      </c>
      <c r="B654" t="s">
        <v>246</v>
      </c>
      <c r="C654" t="s">
        <v>36</v>
      </c>
      <c r="E654" t="s">
        <v>1364</v>
      </c>
      <c r="F654" t="s">
        <v>1372</v>
      </c>
      <c r="G654">
        <v>-780</v>
      </c>
    </row>
    <row r="655" spans="1:7" x14ac:dyDescent="0.25">
      <c r="A655" s="40">
        <v>45715.53565972222</v>
      </c>
      <c r="B655" t="s">
        <v>246</v>
      </c>
      <c r="C655" t="s">
        <v>66</v>
      </c>
      <c r="E655" t="s">
        <v>1364</v>
      </c>
      <c r="F655" t="s">
        <v>1372</v>
      </c>
      <c r="G655">
        <v>-141</v>
      </c>
    </row>
    <row r="656" spans="1:7" x14ac:dyDescent="0.25">
      <c r="A656" s="40">
        <v>45715.53565972222</v>
      </c>
      <c r="B656" t="s">
        <v>246</v>
      </c>
      <c r="C656" t="s">
        <v>328</v>
      </c>
      <c r="E656" t="s">
        <v>1364</v>
      </c>
      <c r="F656" t="s">
        <v>1372</v>
      </c>
      <c r="G656">
        <v>-73</v>
      </c>
    </row>
    <row r="657" spans="1:7" x14ac:dyDescent="0.25">
      <c r="A657" s="40">
        <v>45715.53565972222</v>
      </c>
      <c r="B657" t="s">
        <v>246</v>
      </c>
      <c r="C657" t="s">
        <v>420</v>
      </c>
      <c r="E657" t="s">
        <v>1364</v>
      </c>
      <c r="F657" t="s">
        <v>1372</v>
      </c>
      <c r="G657">
        <v>-474</v>
      </c>
    </row>
    <row r="658" spans="1:7" x14ac:dyDescent="0.25">
      <c r="A658" s="40">
        <v>45715.53565972222</v>
      </c>
      <c r="B658" t="s">
        <v>246</v>
      </c>
      <c r="C658" t="s">
        <v>360</v>
      </c>
      <c r="E658" t="s">
        <v>1364</v>
      </c>
      <c r="F658" t="s">
        <v>1372</v>
      </c>
      <c r="G658">
        <v>-73</v>
      </c>
    </row>
    <row r="659" spans="1:7" x14ac:dyDescent="0.25">
      <c r="A659" s="40">
        <v>45715.53565972222</v>
      </c>
      <c r="B659" t="s">
        <v>246</v>
      </c>
      <c r="C659" t="s">
        <v>693</v>
      </c>
      <c r="E659" t="s">
        <v>1364</v>
      </c>
      <c r="F659" t="s">
        <v>1372</v>
      </c>
      <c r="G659">
        <v>-74</v>
      </c>
    </row>
    <row r="660" spans="1:7" x14ac:dyDescent="0.25">
      <c r="A660" s="40">
        <v>45715.53565972222</v>
      </c>
      <c r="B660" t="s">
        <v>246</v>
      </c>
      <c r="C660" t="s">
        <v>335</v>
      </c>
      <c r="E660" t="s">
        <v>1364</v>
      </c>
      <c r="F660" t="s">
        <v>1372</v>
      </c>
      <c r="G660">
        <v>-73</v>
      </c>
    </row>
    <row r="661" spans="1:7" x14ac:dyDescent="0.25">
      <c r="A661" s="40">
        <v>45715.53565972222</v>
      </c>
      <c r="B661" t="s">
        <v>246</v>
      </c>
      <c r="C661" t="s">
        <v>267</v>
      </c>
      <c r="E661" t="s">
        <v>1364</v>
      </c>
      <c r="F661" t="s">
        <v>1372</v>
      </c>
      <c r="G661">
        <v>-256</v>
      </c>
    </row>
    <row r="662" spans="1:7" x14ac:dyDescent="0.25">
      <c r="A662" s="40">
        <v>45715.53565972222</v>
      </c>
      <c r="B662" t="s">
        <v>246</v>
      </c>
      <c r="C662" t="s">
        <v>283</v>
      </c>
      <c r="E662" t="s">
        <v>1364</v>
      </c>
      <c r="F662" t="s">
        <v>1372</v>
      </c>
      <c r="G662">
        <v>-206</v>
      </c>
    </row>
    <row r="663" spans="1:7" x14ac:dyDescent="0.25">
      <c r="A663" s="40">
        <v>45715.53565972222</v>
      </c>
      <c r="B663" t="s">
        <v>246</v>
      </c>
      <c r="C663" t="s">
        <v>456</v>
      </c>
      <c r="E663" t="s">
        <v>1364</v>
      </c>
      <c r="F663" t="s">
        <v>1372</v>
      </c>
      <c r="G663">
        <v>-421</v>
      </c>
    </row>
    <row r="664" spans="1:7" x14ac:dyDescent="0.25">
      <c r="A664" s="40">
        <v>45715.53565972222</v>
      </c>
      <c r="B664" t="s">
        <v>246</v>
      </c>
      <c r="C664" t="s">
        <v>441</v>
      </c>
      <c r="E664" t="s">
        <v>1364</v>
      </c>
      <c r="F664" t="s">
        <v>1372</v>
      </c>
      <c r="G664">
        <v>-749</v>
      </c>
    </row>
    <row r="665" spans="1:7" x14ac:dyDescent="0.25">
      <c r="A665" s="40">
        <v>45715.53565972222</v>
      </c>
      <c r="B665" t="s">
        <v>246</v>
      </c>
      <c r="C665" t="s">
        <v>428</v>
      </c>
      <c r="E665" t="s">
        <v>1364</v>
      </c>
      <c r="F665" t="s">
        <v>1372</v>
      </c>
      <c r="G665">
        <v>-392</v>
      </c>
    </row>
    <row r="666" spans="1:7" x14ac:dyDescent="0.25">
      <c r="A666" s="40">
        <v>45715.53565972222</v>
      </c>
      <c r="B666" t="s">
        <v>246</v>
      </c>
      <c r="C666" t="s">
        <v>362</v>
      </c>
      <c r="E666" t="s">
        <v>1364</v>
      </c>
      <c r="F666" t="s">
        <v>1372</v>
      </c>
      <c r="G666">
        <v>-268</v>
      </c>
    </row>
    <row r="667" spans="1:7" x14ac:dyDescent="0.25">
      <c r="A667" s="40">
        <v>45715.53565972222</v>
      </c>
      <c r="B667" t="s">
        <v>246</v>
      </c>
      <c r="C667" t="s">
        <v>414</v>
      </c>
      <c r="E667" t="s">
        <v>1364</v>
      </c>
      <c r="F667" t="s">
        <v>1372</v>
      </c>
      <c r="G667">
        <v>-143</v>
      </c>
    </row>
    <row r="668" spans="1:7" x14ac:dyDescent="0.25">
      <c r="A668" s="40">
        <v>45715.53565972222</v>
      </c>
      <c r="B668" t="s">
        <v>246</v>
      </c>
      <c r="C668" t="s">
        <v>258</v>
      </c>
      <c r="E668" t="s">
        <v>1364</v>
      </c>
      <c r="F668" t="s">
        <v>1372</v>
      </c>
      <c r="G668">
        <v>-141</v>
      </c>
    </row>
    <row r="669" spans="1:7" x14ac:dyDescent="0.25">
      <c r="A669" s="40">
        <v>45715.53565972222</v>
      </c>
      <c r="B669" t="s">
        <v>246</v>
      </c>
      <c r="C669" t="s">
        <v>424</v>
      </c>
      <c r="E669" t="s">
        <v>1364</v>
      </c>
      <c r="F669" t="s">
        <v>1372</v>
      </c>
      <c r="G669">
        <v>-77</v>
      </c>
    </row>
    <row r="670" spans="1:7" x14ac:dyDescent="0.25">
      <c r="A670" s="40">
        <v>45715.53565972222</v>
      </c>
      <c r="B670" t="s">
        <v>246</v>
      </c>
      <c r="C670" t="s">
        <v>277</v>
      </c>
      <c r="E670" t="s">
        <v>1364</v>
      </c>
      <c r="F670" t="s">
        <v>1372</v>
      </c>
      <c r="G670">
        <v>-141</v>
      </c>
    </row>
    <row r="671" spans="1:7" x14ac:dyDescent="0.25">
      <c r="A671" s="40">
        <v>45715.53565972222</v>
      </c>
      <c r="B671" t="s">
        <v>246</v>
      </c>
      <c r="C671" t="s">
        <v>260</v>
      </c>
      <c r="E671" t="s">
        <v>1364</v>
      </c>
      <c r="F671" t="s">
        <v>1372</v>
      </c>
      <c r="G671">
        <v>-252</v>
      </c>
    </row>
    <row r="672" spans="1:7" x14ac:dyDescent="0.25">
      <c r="A672" s="40">
        <v>45715.53565972222</v>
      </c>
      <c r="B672" t="s">
        <v>246</v>
      </c>
      <c r="C672" t="s">
        <v>304</v>
      </c>
      <c r="E672" t="s">
        <v>1364</v>
      </c>
      <c r="F672" t="s">
        <v>1372</v>
      </c>
      <c r="G672">
        <v>-749</v>
      </c>
    </row>
    <row r="673" spans="1:12" x14ac:dyDescent="0.25">
      <c r="A673" s="40">
        <v>45715.53565972222</v>
      </c>
      <c r="B673" t="s">
        <v>246</v>
      </c>
      <c r="C673" t="s">
        <v>273</v>
      </c>
      <c r="E673" t="s">
        <v>1364</v>
      </c>
      <c r="F673" t="s">
        <v>1372</v>
      </c>
      <c r="G673">
        <v>-77</v>
      </c>
    </row>
    <row r="674" spans="1:12" x14ac:dyDescent="0.25">
      <c r="A674" s="40">
        <v>45715.53565972222</v>
      </c>
      <c r="B674" t="s">
        <v>246</v>
      </c>
      <c r="C674" t="s">
        <v>418</v>
      </c>
      <c r="E674" t="s">
        <v>1364</v>
      </c>
      <c r="F674" t="s">
        <v>1372</v>
      </c>
      <c r="G674">
        <v>-73</v>
      </c>
    </row>
    <row r="675" spans="1:12" x14ac:dyDescent="0.25">
      <c r="A675" s="40">
        <v>45715.53565972222</v>
      </c>
      <c r="B675" t="s">
        <v>246</v>
      </c>
      <c r="C675" t="s">
        <v>324</v>
      </c>
      <c r="E675" t="s">
        <v>1364</v>
      </c>
      <c r="F675" t="s">
        <v>1372</v>
      </c>
      <c r="G675">
        <v>-305</v>
      </c>
    </row>
    <row r="676" spans="1:12" x14ac:dyDescent="0.25">
      <c r="A676" s="40">
        <v>45715.53565972222</v>
      </c>
      <c r="B676" t="s">
        <v>246</v>
      </c>
      <c r="C676" t="s">
        <v>426</v>
      </c>
      <c r="E676" t="s">
        <v>1364</v>
      </c>
      <c r="F676" t="s">
        <v>1372</v>
      </c>
      <c r="G676">
        <v>-141</v>
      </c>
    </row>
    <row r="677" spans="1:12" x14ac:dyDescent="0.25">
      <c r="A677" s="40">
        <v>45715.53565972222</v>
      </c>
      <c r="B677" t="s">
        <v>246</v>
      </c>
      <c r="C677" t="s">
        <v>416</v>
      </c>
      <c r="E677" t="s">
        <v>1364</v>
      </c>
      <c r="F677" t="s">
        <v>1372</v>
      </c>
      <c r="G677">
        <v>-392</v>
      </c>
    </row>
    <row r="678" spans="1:12" x14ac:dyDescent="0.25">
      <c r="A678" s="40">
        <v>45715.53565972222</v>
      </c>
      <c r="B678" t="s">
        <v>246</v>
      </c>
      <c r="C678" t="s">
        <v>462</v>
      </c>
      <c r="E678" t="s">
        <v>1364</v>
      </c>
      <c r="F678" t="s">
        <v>1372</v>
      </c>
      <c r="G678">
        <v>-206</v>
      </c>
    </row>
    <row r="679" spans="1:12" x14ac:dyDescent="0.25">
      <c r="A679" s="40">
        <v>45715.53565972222</v>
      </c>
      <c r="B679" t="s">
        <v>246</v>
      </c>
      <c r="C679" t="s">
        <v>447</v>
      </c>
      <c r="E679" t="s">
        <v>1364</v>
      </c>
      <c r="F679" t="s">
        <v>1372</v>
      </c>
      <c r="G679">
        <v>-73</v>
      </c>
    </row>
    <row r="680" spans="1:12" x14ac:dyDescent="0.25">
      <c r="A680" s="40">
        <v>45715.53565972222</v>
      </c>
      <c r="B680" t="s">
        <v>246</v>
      </c>
      <c r="C680" t="s">
        <v>468</v>
      </c>
      <c r="E680" t="s">
        <v>1364</v>
      </c>
      <c r="F680" t="s">
        <v>1372</v>
      </c>
      <c r="G680">
        <v>-73</v>
      </c>
    </row>
    <row r="681" spans="1:12" x14ac:dyDescent="0.25">
      <c r="A681" s="40">
        <v>45715.53565972222</v>
      </c>
      <c r="B681" t="s">
        <v>246</v>
      </c>
      <c r="C681" t="s">
        <v>322</v>
      </c>
      <c r="E681" t="s">
        <v>1364</v>
      </c>
      <c r="F681" t="s">
        <v>1372</v>
      </c>
      <c r="G681">
        <v>-141</v>
      </c>
    </row>
    <row r="682" spans="1:12" x14ac:dyDescent="0.25">
      <c r="A682" s="40">
        <v>45715.539652777778</v>
      </c>
      <c r="B682" t="s">
        <v>1123</v>
      </c>
      <c r="C682" t="s">
        <v>63</v>
      </c>
      <c r="E682" t="s">
        <v>1364</v>
      </c>
      <c r="F682" t="s">
        <v>695</v>
      </c>
      <c r="G682">
        <v>3000</v>
      </c>
      <c r="I682" t="s">
        <v>696</v>
      </c>
      <c r="L682">
        <v>70.98</v>
      </c>
    </row>
    <row r="683" spans="1:12" x14ac:dyDescent="0.25">
      <c r="A683" s="40">
        <v>45715.539652777778</v>
      </c>
      <c r="B683" t="s">
        <v>1123</v>
      </c>
      <c r="C683" t="s">
        <v>281</v>
      </c>
      <c r="E683" t="s">
        <v>1364</v>
      </c>
      <c r="F683" t="s">
        <v>695</v>
      </c>
      <c r="G683">
        <v>3000</v>
      </c>
      <c r="I683" t="s">
        <v>696</v>
      </c>
      <c r="L683">
        <v>72.239999999999995</v>
      </c>
    </row>
    <row r="684" spans="1:12" x14ac:dyDescent="0.25">
      <c r="A684" s="40">
        <v>45715.539652777778</v>
      </c>
      <c r="B684" t="s">
        <v>1123</v>
      </c>
      <c r="C684" t="s">
        <v>296</v>
      </c>
      <c r="E684" t="s">
        <v>1364</v>
      </c>
      <c r="F684" t="s">
        <v>695</v>
      </c>
      <c r="G684">
        <v>1000</v>
      </c>
      <c r="I684" t="s">
        <v>696</v>
      </c>
      <c r="L684">
        <v>156.51999999999998</v>
      </c>
    </row>
    <row r="685" spans="1:12" x14ac:dyDescent="0.25">
      <c r="A685" s="40">
        <v>45715.539652777778</v>
      </c>
      <c r="B685" t="s">
        <v>1123</v>
      </c>
      <c r="C685" t="s">
        <v>330</v>
      </c>
      <c r="E685" t="s">
        <v>1364</v>
      </c>
      <c r="F685" t="s">
        <v>695</v>
      </c>
      <c r="G685">
        <v>3000</v>
      </c>
      <c r="I685" t="s">
        <v>696</v>
      </c>
      <c r="L685">
        <v>75.179999999999993</v>
      </c>
    </row>
    <row r="686" spans="1:12" x14ac:dyDescent="0.25">
      <c r="A686" s="40">
        <v>45715.539652777778</v>
      </c>
      <c r="B686" t="s">
        <v>1123</v>
      </c>
      <c r="C686" t="s">
        <v>370</v>
      </c>
      <c r="E686" t="s">
        <v>1364</v>
      </c>
      <c r="F686" t="s">
        <v>695</v>
      </c>
      <c r="G686">
        <v>4000</v>
      </c>
      <c r="I686" t="s">
        <v>696</v>
      </c>
      <c r="L686">
        <v>24.08</v>
      </c>
    </row>
    <row r="687" spans="1:12" x14ac:dyDescent="0.25">
      <c r="A687" s="40">
        <v>45715.539652777778</v>
      </c>
      <c r="B687" t="s">
        <v>1123</v>
      </c>
      <c r="C687" t="s">
        <v>445</v>
      </c>
      <c r="E687" t="s">
        <v>1364</v>
      </c>
      <c r="F687" t="s">
        <v>695</v>
      </c>
      <c r="G687">
        <v>5000</v>
      </c>
      <c r="I687" t="s">
        <v>696</v>
      </c>
      <c r="L687">
        <v>5.6</v>
      </c>
    </row>
    <row r="688" spans="1:12" x14ac:dyDescent="0.25">
      <c r="A688" s="40">
        <v>45715.539652777778</v>
      </c>
      <c r="B688" t="s">
        <v>1123</v>
      </c>
      <c r="C688" t="s">
        <v>464</v>
      </c>
      <c r="E688" t="s">
        <v>1364</v>
      </c>
      <c r="F688" t="s">
        <v>695</v>
      </c>
      <c r="G688">
        <v>5000</v>
      </c>
      <c r="I688" t="s">
        <v>696</v>
      </c>
      <c r="L688">
        <v>5.6</v>
      </c>
    </row>
    <row r="689" spans="1:12" x14ac:dyDescent="0.25">
      <c r="A689" s="40">
        <v>45715.539652777778</v>
      </c>
      <c r="B689" t="s">
        <v>1123</v>
      </c>
      <c r="C689" t="s">
        <v>477</v>
      </c>
      <c r="E689" t="s">
        <v>1364</v>
      </c>
      <c r="F689" t="s">
        <v>695</v>
      </c>
      <c r="G689">
        <v>5000</v>
      </c>
      <c r="I689" t="s">
        <v>696</v>
      </c>
      <c r="L689">
        <v>4.8999999999999995</v>
      </c>
    </row>
    <row r="690" spans="1:12" x14ac:dyDescent="0.25">
      <c r="A690" s="40">
        <v>45715.539652777778</v>
      </c>
      <c r="B690" t="s">
        <v>1123</v>
      </c>
      <c r="C690" t="s">
        <v>1351</v>
      </c>
      <c r="E690" t="s">
        <v>1365</v>
      </c>
      <c r="F690" t="s">
        <v>695</v>
      </c>
      <c r="G690">
        <v>100</v>
      </c>
      <c r="I690" t="s">
        <v>1410</v>
      </c>
      <c r="L690" s="35">
        <v>1482</v>
      </c>
    </row>
    <row r="691" spans="1:12" x14ac:dyDescent="0.25">
      <c r="A691" s="40">
        <v>45715.542453703703</v>
      </c>
      <c r="B691" t="s">
        <v>1123</v>
      </c>
      <c r="C691" t="s">
        <v>281</v>
      </c>
      <c r="E691" t="s">
        <v>1364</v>
      </c>
      <c r="F691" t="s">
        <v>1372</v>
      </c>
      <c r="G691">
        <v>-135</v>
      </c>
    </row>
    <row r="692" spans="1:12" x14ac:dyDescent="0.25">
      <c r="A692" s="40">
        <v>45715.542453703703</v>
      </c>
      <c r="B692" t="s">
        <v>1123</v>
      </c>
      <c r="C692" t="s">
        <v>296</v>
      </c>
      <c r="E692" t="s">
        <v>1364</v>
      </c>
      <c r="F692" t="s">
        <v>1372</v>
      </c>
      <c r="G692">
        <v>-350</v>
      </c>
    </row>
    <row r="693" spans="1:12" x14ac:dyDescent="0.25">
      <c r="A693" s="40">
        <v>45715.542453703703</v>
      </c>
      <c r="B693" t="s">
        <v>1123</v>
      </c>
      <c r="C693" t="s">
        <v>330</v>
      </c>
      <c r="E693" t="s">
        <v>1364</v>
      </c>
      <c r="F693" t="s">
        <v>1372</v>
      </c>
      <c r="G693">
        <v>-400</v>
      </c>
    </row>
    <row r="694" spans="1:12" x14ac:dyDescent="0.25">
      <c r="A694" s="40">
        <v>45715.542453703703</v>
      </c>
      <c r="B694" t="s">
        <v>1123</v>
      </c>
      <c r="C694" t="s">
        <v>370</v>
      </c>
      <c r="E694" t="s">
        <v>1364</v>
      </c>
      <c r="F694" t="s">
        <v>1372</v>
      </c>
      <c r="G694">
        <v>-70</v>
      </c>
    </row>
    <row r="695" spans="1:12" x14ac:dyDescent="0.25">
      <c r="A695" s="40">
        <v>45715.542453703703</v>
      </c>
      <c r="B695" t="s">
        <v>1123</v>
      </c>
      <c r="C695" t="s">
        <v>445</v>
      </c>
      <c r="E695" t="s">
        <v>1364</v>
      </c>
      <c r="F695" t="s">
        <v>1372</v>
      </c>
      <c r="G695">
        <v>-135</v>
      </c>
    </row>
    <row r="696" spans="1:12" x14ac:dyDescent="0.25">
      <c r="A696" s="40">
        <v>45715.542453703703</v>
      </c>
      <c r="B696" t="s">
        <v>1123</v>
      </c>
      <c r="C696" t="s">
        <v>464</v>
      </c>
      <c r="E696" t="s">
        <v>1364</v>
      </c>
      <c r="F696" t="s">
        <v>1372</v>
      </c>
      <c r="G696">
        <v>-135</v>
      </c>
    </row>
    <row r="697" spans="1:12" x14ac:dyDescent="0.25">
      <c r="A697" s="40">
        <v>45715.542453703703</v>
      </c>
      <c r="B697" t="s">
        <v>1123</v>
      </c>
      <c r="C697" t="s">
        <v>477</v>
      </c>
      <c r="E697" t="s">
        <v>1364</v>
      </c>
      <c r="F697" t="s">
        <v>1372</v>
      </c>
      <c r="G697">
        <v>-70</v>
      </c>
    </row>
    <row r="698" spans="1:12" x14ac:dyDescent="0.25">
      <c r="A698" s="40">
        <v>45715.542453703703</v>
      </c>
      <c r="B698" t="s">
        <v>1123</v>
      </c>
      <c r="C698" t="s">
        <v>1351</v>
      </c>
      <c r="E698" t="s">
        <v>1365</v>
      </c>
      <c r="F698" t="s">
        <v>1372</v>
      </c>
      <c r="G698">
        <v>-50</v>
      </c>
    </row>
    <row r="699" spans="1:12" x14ac:dyDescent="0.25">
      <c r="A699" s="40">
        <v>45715.548784722225</v>
      </c>
      <c r="B699" t="s">
        <v>1321</v>
      </c>
      <c r="C699" t="s">
        <v>326</v>
      </c>
      <c r="E699" t="s">
        <v>1364</v>
      </c>
      <c r="F699" t="s">
        <v>695</v>
      </c>
      <c r="G699">
        <v>3000</v>
      </c>
      <c r="I699" t="s">
        <v>696</v>
      </c>
      <c r="L699">
        <v>1085.6999999999998</v>
      </c>
    </row>
    <row r="700" spans="1:12" x14ac:dyDescent="0.25">
      <c r="A700" s="40">
        <v>45715.548784722225</v>
      </c>
      <c r="B700" t="s">
        <v>1321</v>
      </c>
      <c r="C700" t="s">
        <v>339</v>
      </c>
      <c r="E700" t="s">
        <v>1364</v>
      </c>
      <c r="F700" t="s">
        <v>695</v>
      </c>
      <c r="G700">
        <v>3000</v>
      </c>
      <c r="I700" t="s">
        <v>1316</v>
      </c>
      <c r="L700">
        <v>534</v>
      </c>
    </row>
    <row r="701" spans="1:12" x14ac:dyDescent="0.25">
      <c r="A701" s="40">
        <v>45715.548784722225</v>
      </c>
      <c r="B701" t="s">
        <v>1321</v>
      </c>
      <c r="C701" t="s">
        <v>368</v>
      </c>
      <c r="E701" t="s">
        <v>1364</v>
      </c>
      <c r="F701" t="s">
        <v>695</v>
      </c>
      <c r="G701">
        <v>3000</v>
      </c>
      <c r="I701" t="s">
        <v>699</v>
      </c>
      <c r="L701">
        <v>211.26</v>
      </c>
    </row>
    <row r="702" spans="1:12" x14ac:dyDescent="0.25">
      <c r="A702" s="40">
        <v>45715.548784722225</v>
      </c>
      <c r="B702" t="s">
        <v>1321</v>
      </c>
      <c r="C702" t="s">
        <v>300</v>
      </c>
      <c r="E702" t="s">
        <v>1364</v>
      </c>
      <c r="F702" t="s">
        <v>695</v>
      </c>
      <c r="G702">
        <v>2000</v>
      </c>
      <c r="I702" t="s">
        <v>696</v>
      </c>
      <c r="L702">
        <v>287.56</v>
      </c>
    </row>
    <row r="703" spans="1:12" x14ac:dyDescent="0.25">
      <c r="A703" s="40">
        <v>45715.548784722225</v>
      </c>
      <c r="B703" t="s">
        <v>1321</v>
      </c>
      <c r="C703" t="s">
        <v>366</v>
      </c>
      <c r="E703" t="s">
        <v>1364</v>
      </c>
      <c r="F703" t="s">
        <v>695</v>
      </c>
      <c r="G703">
        <v>4000</v>
      </c>
      <c r="I703" t="s">
        <v>699</v>
      </c>
      <c r="L703">
        <v>103.03999999999999</v>
      </c>
    </row>
    <row r="704" spans="1:12" x14ac:dyDescent="0.25">
      <c r="A704" s="40">
        <v>45715.548784722225</v>
      </c>
      <c r="B704" t="s">
        <v>1321</v>
      </c>
      <c r="C704" t="s">
        <v>466</v>
      </c>
      <c r="E704" t="s">
        <v>1364</v>
      </c>
      <c r="F704" t="s">
        <v>695</v>
      </c>
      <c r="G704">
        <v>4000</v>
      </c>
      <c r="I704" t="s">
        <v>696</v>
      </c>
      <c r="L704">
        <v>58.8</v>
      </c>
    </row>
    <row r="705" spans="1:12" x14ac:dyDescent="0.25">
      <c r="A705" s="40">
        <v>45715.548784722225</v>
      </c>
      <c r="B705" t="s">
        <v>1321</v>
      </c>
      <c r="C705" t="s">
        <v>337</v>
      </c>
      <c r="E705" t="s">
        <v>1364</v>
      </c>
      <c r="F705" t="s">
        <v>695</v>
      </c>
      <c r="G705">
        <v>5000</v>
      </c>
      <c r="I705" t="s">
        <v>698</v>
      </c>
      <c r="L705">
        <v>252.76999999999995</v>
      </c>
    </row>
    <row r="706" spans="1:12" x14ac:dyDescent="0.25">
      <c r="A706" s="40">
        <v>45715.548784722225</v>
      </c>
      <c r="B706" t="s">
        <v>1321</v>
      </c>
      <c r="C706" t="s">
        <v>262</v>
      </c>
      <c r="E706" t="s">
        <v>1364</v>
      </c>
      <c r="F706" t="s">
        <v>695</v>
      </c>
      <c r="G706">
        <v>3000</v>
      </c>
      <c r="I706" t="s">
        <v>696</v>
      </c>
      <c r="L706">
        <v>270.89999999999998</v>
      </c>
    </row>
    <row r="707" spans="1:12" x14ac:dyDescent="0.25">
      <c r="A707" s="40">
        <v>45715.548784722225</v>
      </c>
      <c r="B707" t="s">
        <v>1321</v>
      </c>
      <c r="C707" t="s">
        <v>308</v>
      </c>
      <c r="E707" t="s">
        <v>1364</v>
      </c>
      <c r="F707" t="s">
        <v>695</v>
      </c>
      <c r="G707">
        <v>500</v>
      </c>
      <c r="I707" t="s">
        <v>699</v>
      </c>
      <c r="L707">
        <v>195.29999999999998</v>
      </c>
    </row>
    <row r="708" spans="1:12" x14ac:dyDescent="0.25">
      <c r="A708" s="40">
        <v>45715.548784722225</v>
      </c>
      <c r="B708" t="s">
        <v>1321</v>
      </c>
      <c r="C708" t="s">
        <v>454</v>
      </c>
      <c r="E708" t="s">
        <v>1364</v>
      </c>
      <c r="F708" t="s">
        <v>695</v>
      </c>
      <c r="G708">
        <v>4000</v>
      </c>
      <c r="I708" t="s">
        <v>698</v>
      </c>
      <c r="L708">
        <v>41.887999999999998</v>
      </c>
    </row>
    <row r="709" spans="1:12" x14ac:dyDescent="0.25">
      <c r="A709" s="40">
        <v>45715.548784722225</v>
      </c>
      <c r="B709" t="s">
        <v>1321</v>
      </c>
      <c r="C709" t="s">
        <v>479</v>
      </c>
      <c r="E709" t="s">
        <v>1364</v>
      </c>
      <c r="F709" t="s">
        <v>695</v>
      </c>
      <c r="G709">
        <v>4000</v>
      </c>
      <c r="I709" t="s">
        <v>696</v>
      </c>
      <c r="L709">
        <v>45.919999999999995</v>
      </c>
    </row>
    <row r="710" spans="1:12" x14ac:dyDescent="0.25">
      <c r="A710" s="40">
        <v>45715.548784722225</v>
      </c>
      <c r="B710" t="s">
        <v>1321</v>
      </c>
      <c r="C710" t="s">
        <v>269</v>
      </c>
      <c r="E710" t="s">
        <v>1364</v>
      </c>
      <c r="F710" t="s">
        <v>695</v>
      </c>
      <c r="G710">
        <v>2000</v>
      </c>
      <c r="I710" t="s">
        <v>696</v>
      </c>
      <c r="L710">
        <v>166.6</v>
      </c>
    </row>
    <row r="711" spans="1:12" x14ac:dyDescent="0.25">
      <c r="A711" s="40">
        <v>45715.548784722225</v>
      </c>
      <c r="B711" t="s">
        <v>1321</v>
      </c>
      <c r="C711" t="s">
        <v>364</v>
      </c>
      <c r="E711" t="s">
        <v>1364</v>
      </c>
      <c r="F711" t="s">
        <v>695</v>
      </c>
      <c r="G711">
        <v>3000</v>
      </c>
      <c r="I711" t="s">
        <v>700</v>
      </c>
      <c r="L711">
        <v>93</v>
      </c>
    </row>
    <row r="712" spans="1:12" x14ac:dyDescent="0.25">
      <c r="A712" s="40">
        <v>45715.548784722225</v>
      </c>
      <c r="B712" t="s">
        <v>1321</v>
      </c>
      <c r="C712" t="s">
        <v>437</v>
      </c>
      <c r="E712" t="s">
        <v>1364</v>
      </c>
      <c r="F712" t="s">
        <v>695</v>
      </c>
      <c r="G712">
        <v>4000</v>
      </c>
      <c r="I712" t="s">
        <v>698</v>
      </c>
      <c r="L712">
        <v>26.096</v>
      </c>
    </row>
    <row r="713" spans="1:12" x14ac:dyDescent="0.25">
      <c r="A713" s="40">
        <v>45715.548784722225</v>
      </c>
      <c r="B713" t="s">
        <v>1321</v>
      </c>
      <c r="C713" t="s">
        <v>412</v>
      </c>
      <c r="E713" t="s">
        <v>1364</v>
      </c>
      <c r="F713" t="s">
        <v>695</v>
      </c>
      <c r="G713">
        <v>4000</v>
      </c>
      <c r="I713" t="s">
        <v>698</v>
      </c>
      <c r="L713">
        <v>41.887999999999998</v>
      </c>
    </row>
    <row r="714" spans="1:12" x14ac:dyDescent="0.25">
      <c r="A714" s="40">
        <v>45715.548784722225</v>
      </c>
      <c r="B714" t="s">
        <v>1321</v>
      </c>
      <c r="C714" t="s">
        <v>470</v>
      </c>
      <c r="E714" t="s">
        <v>1364</v>
      </c>
      <c r="F714" t="s">
        <v>695</v>
      </c>
      <c r="G714">
        <v>4000</v>
      </c>
      <c r="I714" t="s">
        <v>698</v>
      </c>
      <c r="L714">
        <v>41.887999999999998</v>
      </c>
    </row>
    <row r="715" spans="1:12" x14ac:dyDescent="0.25">
      <c r="A715" s="40">
        <v>45715.548784722225</v>
      </c>
      <c r="B715" t="s">
        <v>1321</v>
      </c>
      <c r="C715" t="s">
        <v>341</v>
      </c>
      <c r="E715" t="s">
        <v>1364</v>
      </c>
      <c r="F715" t="s">
        <v>695</v>
      </c>
      <c r="G715">
        <v>3000</v>
      </c>
      <c r="I715" t="s">
        <v>698</v>
      </c>
      <c r="L715">
        <v>96.6</v>
      </c>
    </row>
    <row r="716" spans="1:12" x14ac:dyDescent="0.25">
      <c r="A716" s="40">
        <v>45715.548784722225</v>
      </c>
      <c r="B716" t="s">
        <v>1321</v>
      </c>
      <c r="C716" t="s">
        <v>279</v>
      </c>
      <c r="E716" t="s">
        <v>1364</v>
      </c>
      <c r="F716" t="s">
        <v>695</v>
      </c>
      <c r="G716">
        <v>4000</v>
      </c>
      <c r="I716" t="s">
        <v>696</v>
      </c>
      <c r="L716">
        <v>29.679999999999996</v>
      </c>
    </row>
    <row r="717" spans="1:12" x14ac:dyDescent="0.25">
      <c r="A717" s="40">
        <v>45715.548784722225</v>
      </c>
      <c r="B717" t="s">
        <v>1321</v>
      </c>
      <c r="C717" t="s">
        <v>302</v>
      </c>
      <c r="E717" t="s">
        <v>1364</v>
      </c>
      <c r="F717" t="s">
        <v>695</v>
      </c>
      <c r="G717">
        <v>3000</v>
      </c>
      <c r="I717" t="s">
        <v>696</v>
      </c>
      <c r="L717">
        <v>43.68</v>
      </c>
    </row>
    <row r="718" spans="1:12" x14ac:dyDescent="0.25">
      <c r="A718" s="40">
        <v>45715.548784722225</v>
      </c>
      <c r="B718" t="s">
        <v>1321</v>
      </c>
      <c r="C718" t="s">
        <v>275</v>
      </c>
      <c r="E718" t="s">
        <v>1364</v>
      </c>
      <c r="F718" t="s">
        <v>695</v>
      </c>
      <c r="G718">
        <v>3000</v>
      </c>
      <c r="I718" t="s">
        <v>696</v>
      </c>
      <c r="L718">
        <v>274.67999999999995</v>
      </c>
    </row>
    <row r="719" spans="1:12" x14ac:dyDescent="0.25">
      <c r="A719" s="40">
        <v>45715.548784722225</v>
      </c>
      <c r="B719" t="s">
        <v>1321</v>
      </c>
      <c r="C719" t="s">
        <v>298</v>
      </c>
      <c r="E719" t="s">
        <v>1364</v>
      </c>
      <c r="F719" t="s">
        <v>695</v>
      </c>
      <c r="G719">
        <v>2000</v>
      </c>
      <c r="I719" t="s">
        <v>696</v>
      </c>
      <c r="L719">
        <v>185.64</v>
      </c>
    </row>
    <row r="720" spans="1:12" x14ac:dyDescent="0.25">
      <c r="A720" s="40">
        <v>45715.548784722225</v>
      </c>
      <c r="B720" t="s">
        <v>1321</v>
      </c>
      <c r="C720" t="s">
        <v>343</v>
      </c>
      <c r="E720" t="s">
        <v>1364</v>
      </c>
      <c r="F720" t="s">
        <v>695</v>
      </c>
      <c r="G720">
        <v>3000</v>
      </c>
      <c r="I720" t="s">
        <v>698</v>
      </c>
      <c r="L720">
        <v>59.052000000000007</v>
      </c>
    </row>
    <row r="721" spans="1:12" x14ac:dyDescent="0.25">
      <c r="A721" s="40">
        <v>45715.548784722225</v>
      </c>
      <c r="B721" t="s">
        <v>1321</v>
      </c>
      <c r="C721" t="s">
        <v>290</v>
      </c>
      <c r="E721" t="s">
        <v>1364</v>
      </c>
      <c r="F721" t="s">
        <v>695</v>
      </c>
      <c r="G721">
        <v>4000</v>
      </c>
      <c r="I721" t="s">
        <v>696</v>
      </c>
      <c r="L721">
        <v>89.6</v>
      </c>
    </row>
    <row r="722" spans="1:12" x14ac:dyDescent="0.25">
      <c r="A722" s="40">
        <v>45715.548784722225</v>
      </c>
      <c r="B722" t="s">
        <v>1321</v>
      </c>
      <c r="C722" t="s">
        <v>294</v>
      </c>
      <c r="E722" t="s">
        <v>1364</v>
      </c>
      <c r="F722" t="s">
        <v>695</v>
      </c>
      <c r="G722">
        <v>3000</v>
      </c>
      <c r="I722" t="s">
        <v>696</v>
      </c>
      <c r="L722">
        <v>69.719999999999985</v>
      </c>
    </row>
    <row r="723" spans="1:12" x14ac:dyDescent="0.25">
      <c r="A723" s="40">
        <v>45715.548784722225</v>
      </c>
      <c r="B723" t="s">
        <v>1321</v>
      </c>
      <c r="C723" t="s">
        <v>458</v>
      </c>
      <c r="E723" t="s">
        <v>1364</v>
      </c>
      <c r="F723" t="s">
        <v>695</v>
      </c>
      <c r="G723">
        <v>5000</v>
      </c>
      <c r="I723" t="s">
        <v>696</v>
      </c>
      <c r="L723">
        <v>35.699999999999996</v>
      </c>
    </row>
    <row r="724" spans="1:12" x14ac:dyDescent="0.25">
      <c r="A724" s="40">
        <v>45715.548784722225</v>
      </c>
      <c r="B724" t="s">
        <v>1321</v>
      </c>
      <c r="C724" t="s">
        <v>345</v>
      </c>
      <c r="E724" t="s">
        <v>1364</v>
      </c>
      <c r="F724" t="s">
        <v>695</v>
      </c>
      <c r="G724">
        <v>3000</v>
      </c>
      <c r="I724" t="s">
        <v>698</v>
      </c>
      <c r="L724">
        <v>61.23599999999999</v>
      </c>
    </row>
    <row r="725" spans="1:12" x14ac:dyDescent="0.25">
      <c r="A725" s="40">
        <v>45715.548784722225</v>
      </c>
      <c r="B725" t="s">
        <v>1321</v>
      </c>
      <c r="C725" t="s">
        <v>443</v>
      </c>
      <c r="E725" t="s">
        <v>1364</v>
      </c>
      <c r="F725" t="s">
        <v>695</v>
      </c>
      <c r="G725">
        <v>4000</v>
      </c>
      <c r="I725" t="s">
        <v>696</v>
      </c>
      <c r="L725">
        <v>48.719999999999992</v>
      </c>
    </row>
    <row r="726" spans="1:12" x14ac:dyDescent="0.25">
      <c r="A726" s="40">
        <v>45715.548784722225</v>
      </c>
      <c r="B726" t="s">
        <v>1321</v>
      </c>
      <c r="C726" t="s">
        <v>430</v>
      </c>
      <c r="E726" t="s">
        <v>1364</v>
      </c>
      <c r="F726" t="s">
        <v>695</v>
      </c>
      <c r="G726">
        <v>5000</v>
      </c>
      <c r="I726" t="s">
        <v>698</v>
      </c>
      <c r="L726">
        <v>16.38</v>
      </c>
    </row>
    <row r="727" spans="1:12" x14ac:dyDescent="0.25">
      <c r="A727" s="40">
        <v>45715.548784722225</v>
      </c>
      <c r="B727" t="s">
        <v>1321</v>
      </c>
      <c r="C727" t="s">
        <v>333</v>
      </c>
      <c r="E727" t="s">
        <v>1364</v>
      </c>
      <c r="F727" t="s">
        <v>695</v>
      </c>
      <c r="G727">
        <v>3000</v>
      </c>
      <c r="I727" t="s">
        <v>698</v>
      </c>
      <c r="L727">
        <v>40.319999999999993</v>
      </c>
    </row>
    <row r="728" spans="1:12" x14ac:dyDescent="0.25">
      <c r="A728" s="40">
        <v>45715.548784722225</v>
      </c>
      <c r="B728" t="s">
        <v>1321</v>
      </c>
      <c r="C728" t="s">
        <v>288</v>
      </c>
      <c r="E728" t="s">
        <v>1364</v>
      </c>
      <c r="F728" t="s">
        <v>695</v>
      </c>
      <c r="G728">
        <v>4000</v>
      </c>
      <c r="I728" t="s">
        <v>698</v>
      </c>
      <c r="L728">
        <v>38.415999999999997</v>
      </c>
    </row>
    <row r="729" spans="1:12" x14ac:dyDescent="0.25">
      <c r="A729" s="40">
        <v>45715.548784722225</v>
      </c>
      <c r="B729" t="s">
        <v>1321</v>
      </c>
      <c r="C729" t="s">
        <v>292</v>
      </c>
      <c r="E729" t="s">
        <v>1364</v>
      </c>
      <c r="F729" t="s">
        <v>695</v>
      </c>
      <c r="G729">
        <v>2000</v>
      </c>
      <c r="I729" t="s">
        <v>696</v>
      </c>
      <c r="L729">
        <v>40.04</v>
      </c>
    </row>
    <row r="730" spans="1:12" x14ac:dyDescent="0.25">
      <c r="A730" s="40">
        <v>45715.548784722225</v>
      </c>
      <c r="B730" t="s">
        <v>1321</v>
      </c>
      <c r="C730" t="s">
        <v>460</v>
      </c>
      <c r="E730" t="s">
        <v>1364</v>
      </c>
      <c r="F730" t="s">
        <v>695</v>
      </c>
      <c r="G730">
        <v>4000</v>
      </c>
      <c r="I730" t="s">
        <v>696</v>
      </c>
      <c r="L730">
        <v>35.279999999999994</v>
      </c>
    </row>
    <row r="731" spans="1:12" x14ac:dyDescent="0.25">
      <c r="A731" s="40">
        <v>45715.548784722225</v>
      </c>
      <c r="B731" t="s">
        <v>1321</v>
      </c>
      <c r="C731" t="s">
        <v>285</v>
      </c>
      <c r="E731" t="s">
        <v>1364</v>
      </c>
      <c r="F731" t="s">
        <v>695</v>
      </c>
      <c r="G731">
        <v>4000</v>
      </c>
      <c r="I731" t="s">
        <v>696</v>
      </c>
      <c r="L731">
        <v>30.24</v>
      </c>
    </row>
    <row r="732" spans="1:12" x14ac:dyDescent="0.25">
      <c r="A732" s="40">
        <v>45715.548784722225</v>
      </c>
      <c r="B732" t="s">
        <v>1321</v>
      </c>
      <c r="C732" t="s">
        <v>435</v>
      </c>
      <c r="E732" t="s">
        <v>1364</v>
      </c>
      <c r="F732" t="s">
        <v>695</v>
      </c>
      <c r="G732">
        <v>4000</v>
      </c>
      <c r="I732" t="s">
        <v>696</v>
      </c>
      <c r="L732">
        <v>33.04</v>
      </c>
    </row>
    <row r="733" spans="1:12" x14ac:dyDescent="0.25">
      <c r="A733" s="40">
        <v>45715.548784722225</v>
      </c>
      <c r="B733" t="s">
        <v>1321</v>
      </c>
      <c r="C733" t="s">
        <v>451</v>
      </c>
      <c r="E733" t="s">
        <v>1364</v>
      </c>
      <c r="F733" t="s">
        <v>695</v>
      </c>
      <c r="G733">
        <v>5000</v>
      </c>
      <c r="I733" t="s">
        <v>698</v>
      </c>
      <c r="L733">
        <v>6.51</v>
      </c>
    </row>
    <row r="734" spans="1:12" x14ac:dyDescent="0.25">
      <c r="A734" s="40">
        <v>45715.548784722225</v>
      </c>
      <c r="B734" t="s">
        <v>1321</v>
      </c>
      <c r="C734" t="s">
        <v>271</v>
      </c>
      <c r="E734" t="s">
        <v>1364</v>
      </c>
      <c r="F734" t="s">
        <v>695</v>
      </c>
      <c r="G734">
        <v>3000</v>
      </c>
      <c r="I734" t="s">
        <v>698</v>
      </c>
      <c r="L734">
        <v>20.580000000000002</v>
      </c>
    </row>
    <row r="735" spans="1:12" x14ac:dyDescent="0.25">
      <c r="A735" s="40">
        <v>45715.548784722225</v>
      </c>
      <c r="B735" t="s">
        <v>1321</v>
      </c>
      <c r="C735" t="s">
        <v>256</v>
      </c>
      <c r="E735" t="s">
        <v>1364</v>
      </c>
      <c r="F735" t="s">
        <v>695</v>
      </c>
      <c r="G735">
        <v>4000</v>
      </c>
      <c r="I735" t="s">
        <v>696</v>
      </c>
      <c r="L735">
        <v>22.959999999999997</v>
      </c>
    </row>
    <row r="736" spans="1:12" x14ac:dyDescent="0.25">
      <c r="A736" s="40">
        <v>45715.548784722225</v>
      </c>
      <c r="B736" t="s">
        <v>1321</v>
      </c>
      <c r="C736" t="s">
        <v>264</v>
      </c>
      <c r="E736" t="s">
        <v>1364</v>
      </c>
      <c r="F736" t="s">
        <v>695</v>
      </c>
      <c r="G736">
        <v>4000</v>
      </c>
      <c r="I736" t="s">
        <v>696</v>
      </c>
      <c r="L736">
        <v>16.799999999999997</v>
      </c>
    </row>
    <row r="737" spans="1:12" x14ac:dyDescent="0.25">
      <c r="A737" s="40">
        <v>45715.548784722225</v>
      </c>
      <c r="B737" t="s">
        <v>1321</v>
      </c>
      <c r="C737" t="s">
        <v>481</v>
      </c>
      <c r="E737" t="s">
        <v>1364</v>
      </c>
      <c r="F737" t="s">
        <v>695</v>
      </c>
      <c r="G737">
        <v>5000</v>
      </c>
      <c r="I737" t="s">
        <v>696</v>
      </c>
      <c r="L737">
        <v>4.8999999999999995</v>
      </c>
    </row>
    <row r="738" spans="1:12" x14ac:dyDescent="0.25">
      <c r="A738" s="40">
        <v>45715.548784722225</v>
      </c>
      <c r="B738" t="s">
        <v>1321</v>
      </c>
      <c r="C738" t="s">
        <v>422</v>
      </c>
      <c r="E738" t="s">
        <v>1364</v>
      </c>
      <c r="F738" t="s">
        <v>695</v>
      </c>
      <c r="G738">
        <v>5000</v>
      </c>
      <c r="I738" t="s">
        <v>698</v>
      </c>
      <c r="L738">
        <v>5.8100000000000005</v>
      </c>
    </row>
    <row r="739" spans="1:12" x14ac:dyDescent="0.25">
      <c r="A739" s="40">
        <v>45715.548784722225</v>
      </c>
      <c r="B739" t="s">
        <v>1321</v>
      </c>
      <c r="C739" t="s">
        <v>449</v>
      </c>
      <c r="E739" t="s">
        <v>1364</v>
      </c>
      <c r="F739" t="s">
        <v>695</v>
      </c>
      <c r="G739">
        <v>5000</v>
      </c>
      <c r="I739" t="s">
        <v>698</v>
      </c>
      <c r="L739">
        <v>5.8100000000000005</v>
      </c>
    </row>
    <row r="740" spans="1:12" x14ac:dyDescent="0.25">
      <c r="A740" s="40">
        <v>45715.548784722225</v>
      </c>
      <c r="B740" t="s">
        <v>1321</v>
      </c>
      <c r="C740" t="s">
        <v>475</v>
      </c>
      <c r="E740" t="s">
        <v>1364</v>
      </c>
      <c r="F740" t="s">
        <v>695</v>
      </c>
      <c r="G740">
        <v>5000</v>
      </c>
      <c r="I740" t="s">
        <v>698</v>
      </c>
      <c r="L740">
        <v>5.8100000000000005</v>
      </c>
    </row>
    <row r="741" spans="1:12" x14ac:dyDescent="0.25">
      <c r="A741" s="40">
        <v>45715.548784722225</v>
      </c>
      <c r="B741" t="s">
        <v>1321</v>
      </c>
      <c r="C741" t="s">
        <v>472</v>
      </c>
      <c r="E741" t="s">
        <v>1364</v>
      </c>
      <c r="F741" t="s">
        <v>695</v>
      </c>
      <c r="G741">
        <v>5000</v>
      </c>
      <c r="I741" t="s">
        <v>698</v>
      </c>
      <c r="L741">
        <v>5.8100000000000005</v>
      </c>
    </row>
    <row r="742" spans="1:12" x14ac:dyDescent="0.25">
      <c r="A742" s="40">
        <v>45715.548784722225</v>
      </c>
      <c r="B742" t="s">
        <v>1321</v>
      </c>
      <c r="C742" t="s">
        <v>433</v>
      </c>
      <c r="E742" t="s">
        <v>1364</v>
      </c>
      <c r="F742" t="s">
        <v>695</v>
      </c>
      <c r="G742">
        <v>5000</v>
      </c>
      <c r="I742" t="s">
        <v>698</v>
      </c>
      <c r="L742">
        <v>5.8100000000000005</v>
      </c>
    </row>
    <row r="743" spans="1:12" x14ac:dyDescent="0.25">
      <c r="A743" s="40">
        <v>45715.548784722225</v>
      </c>
      <c r="B743" t="s">
        <v>1321</v>
      </c>
      <c r="C743" t="s">
        <v>439</v>
      </c>
      <c r="E743" t="s">
        <v>1364</v>
      </c>
      <c r="F743" t="s">
        <v>695</v>
      </c>
      <c r="G743">
        <v>5000</v>
      </c>
      <c r="I743" t="s">
        <v>698</v>
      </c>
      <c r="L743">
        <v>2.9399999999999995</v>
      </c>
    </row>
    <row r="744" spans="1:12" x14ac:dyDescent="0.25">
      <c r="A744" s="40">
        <v>45716.328206018516</v>
      </c>
      <c r="B744" t="s">
        <v>1271</v>
      </c>
      <c r="C744" t="s">
        <v>339</v>
      </c>
      <c r="E744" t="s">
        <v>1364</v>
      </c>
      <c r="F744" t="s">
        <v>1372</v>
      </c>
      <c r="G744">
        <v>-240</v>
      </c>
    </row>
    <row r="745" spans="1:12" x14ac:dyDescent="0.25">
      <c r="A745" s="40">
        <v>45716.328206018516</v>
      </c>
      <c r="B745" t="s">
        <v>1271</v>
      </c>
      <c r="C745" t="s">
        <v>366</v>
      </c>
      <c r="E745" t="s">
        <v>1364</v>
      </c>
      <c r="F745" t="s">
        <v>1372</v>
      </c>
      <c r="G745">
        <v>-135</v>
      </c>
    </row>
    <row r="746" spans="1:12" x14ac:dyDescent="0.25">
      <c r="A746" s="40">
        <v>45716.328206018516</v>
      </c>
      <c r="B746" t="s">
        <v>1271</v>
      </c>
      <c r="C746" t="s">
        <v>479</v>
      </c>
      <c r="E746" t="s">
        <v>1364</v>
      </c>
      <c r="F746" t="s">
        <v>1372</v>
      </c>
      <c r="G746">
        <v>-70</v>
      </c>
    </row>
    <row r="747" spans="1:12" x14ac:dyDescent="0.25">
      <c r="A747" s="40">
        <v>45716.328206018516</v>
      </c>
      <c r="B747" t="s">
        <v>1271</v>
      </c>
      <c r="C747" t="s">
        <v>437</v>
      </c>
      <c r="E747" t="s">
        <v>1364</v>
      </c>
      <c r="F747" t="s">
        <v>1372</v>
      </c>
      <c r="G747">
        <v>-135</v>
      </c>
    </row>
    <row r="748" spans="1:12" x14ac:dyDescent="0.25">
      <c r="A748" s="40">
        <v>45716.328206018516</v>
      </c>
      <c r="B748" t="s">
        <v>1271</v>
      </c>
      <c r="C748" t="s">
        <v>412</v>
      </c>
      <c r="E748" t="s">
        <v>1364</v>
      </c>
      <c r="F748" t="s">
        <v>1372</v>
      </c>
      <c r="G748">
        <v>-185</v>
      </c>
    </row>
    <row r="749" spans="1:12" x14ac:dyDescent="0.25">
      <c r="A749" s="40">
        <v>45716.328206018516</v>
      </c>
      <c r="B749" t="s">
        <v>1271</v>
      </c>
      <c r="C749" t="s">
        <v>302</v>
      </c>
      <c r="E749" t="s">
        <v>1364</v>
      </c>
      <c r="F749" t="s">
        <v>1372</v>
      </c>
      <c r="G749">
        <v>-135</v>
      </c>
    </row>
    <row r="750" spans="1:12" x14ac:dyDescent="0.25">
      <c r="A750" s="40">
        <v>45716.328206018516</v>
      </c>
      <c r="B750" t="s">
        <v>1271</v>
      </c>
      <c r="C750" t="s">
        <v>275</v>
      </c>
      <c r="E750" t="s">
        <v>1364</v>
      </c>
      <c r="F750" t="s">
        <v>1372</v>
      </c>
      <c r="G750">
        <v>-135</v>
      </c>
    </row>
    <row r="751" spans="1:12" x14ac:dyDescent="0.25">
      <c r="A751" s="40">
        <v>45716.328206018516</v>
      </c>
      <c r="B751" t="s">
        <v>1271</v>
      </c>
      <c r="C751" t="s">
        <v>343</v>
      </c>
      <c r="E751" t="s">
        <v>1364</v>
      </c>
      <c r="F751" t="s">
        <v>1372</v>
      </c>
      <c r="G751">
        <v>-450</v>
      </c>
    </row>
    <row r="752" spans="1:12" x14ac:dyDescent="0.25">
      <c r="A752" s="40">
        <v>45716.328206018516</v>
      </c>
      <c r="B752" t="s">
        <v>1271</v>
      </c>
      <c r="C752" t="s">
        <v>458</v>
      </c>
      <c r="E752" t="s">
        <v>1364</v>
      </c>
      <c r="F752" t="s">
        <v>1372</v>
      </c>
      <c r="G752">
        <v>-660</v>
      </c>
    </row>
    <row r="753" spans="1:7" x14ac:dyDescent="0.25">
      <c r="A753" s="40">
        <v>45716.328206018516</v>
      </c>
      <c r="B753" t="s">
        <v>1271</v>
      </c>
      <c r="C753" t="s">
        <v>435</v>
      </c>
      <c r="E753" t="s">
        <v>1364</v>
      </c>
      <c r="F753" t="s">
        <v>1372</v>
      </c>
      <c r="G753">
        <v>-400</v>
      </c>
    </row>
    <row r="754" spans="1:7" x14ac:dyDescent="0.25">
      <c r="A754" s="40">
        <v>45716.371863425928</v>
      </c>
      <c r="B754" t="s">
        <v>1338</v>
      </c>
      <c r="C754" t="s">
        <v>2</v>
      </c>
      <c r="E754" t="s">
        <v>1364</v>
      </c>
      <c r="F754" t="s">
        <v>1372</v>
      </c>
      <c r="G754">
        <v>-2300</v>
      </c>
    </row>
    <row r="755" spans="1:7" x14ac:dyDescent="0.25">
      <c r="A755" s="40">
        <v>45716.371863425928</v>
      </c>
      <c r="B755" t="s">
        <v>1338</v>
      </c>
      <c r="C755" t="s">
        <v>4</v>
      </c>
      <c r="E755" t="s">
        <v>1364</v>
      </c>
      <c r="F755" t="s">
        <v>1372</v>
      </c>
      <c r="G755">
        <v>-660</v>
      </c>
    </row>
    <row r="756" spans="1:7" x14ac:dyDescent="0.25">
      <c r="A756" s="40">
        <v>45716.371863425928</v>
      </c>
      <c r="B756" t="s">
        <v>1338</v>
      </c>
      <c r="C756" t="s">
        <v>6</v>
      </c>
      <c r="E756" t="s">
        <v>1364</v>
      </c>
      <c r="F756" t="s">
        <v>1372</v>
      </c>
      <c r="G756">
        <v>-185</v>
      </c>
    </row>
    <row r="757" spans="1:7" x14ac:dyDescent="0.25">
      <c r="A757" s="40">
        <v>45716.371863425928</v>
      </c>
      <c r="B757" t="s">
        <v>1338</v>
      </c>
      <c r="C757" t="s">
        <v>9</v>
      </c>
      <c r="E757" t="s">
        <v>1364</v>
      </c>
      <c r="F757" t="s">
        <v>1372</v>
      </c>
      <c r="G757">
        <v>-350</v>
      </c>
    </row>
    <row r="758" spans="1:7" x14ac:dyDescent="0.25">
      <c r="A758" s="40">
        <v>45716.371863425928</v>
      </c>
      <c r="B758" t="s">
        <v>1338</v>
      </c>
      <c r="C758" t="s">
        <v>10</v>
      </c>
      <c r="E758" t="s">
        <v>1364</v>
      </c>
      <c r="F758" t="s">
        <v>1372</v>
      </c>
      <c r="G758">
        <v>-2050</v>
      </c>
    </row>
    <row r="759" spans="1:7" x14ac:dyDescent="0.25">
      <c r="A759" s="40">
        <v>45716.371863425928</v>
      </c>
      <c r="B759" t="s">
        <v>1338</v>
      </c>
      <c r="C759" t="s">
        <v>20</v>
      </c>
      <c r="E759" t="s">
        <v>1364</v>
      </c>
      <c r="F759" t="s">
        <v>1372</v>
      </c>
      <c r="G759">
        <v>-3900</v>
      </c>
    </row>
    <row r="760" spans="1:7" x14ac:dyDescent="0.25">
      <c r="A760" s="40">
        <v>45716.371863425928</v>
      </c>
      <c r="B760" t="s">
        <v>1338</v>
      </c>
      <c r="C760" t="s">
        <v>27</v>
      </c>
      <c r="E760" t="s">
        <v>1364</v>
      </c>
      <c r="F760" t="s">
        <v>1372</v>
      </c>
      <c r="G760">
        <v>-7350</v>
      </c>
    </row>
    <row r="761" spans="1:7" x14ac:dyDescent="0.25">
      <c r="A761" s="40">
        <v>45716.371863425928</v>
      </c>
      <c r="B761" t="s">
        <v>1338</v>
      </c>
      <c r="C761" t="s">
        <v>29</v>
      </c>
      <c r="E761" t="s">
        <v>1364</v>
      </c>
      <c r="F761" t="s">
        <v>1372</v>
      </c>
      <c r="G761">
        <v>-980</v>
      </c>
    </row>
    <row r="762" spans="1:7" x14ac:dyDescent="0.25">
      <c r="A762" s="40">
        <v>45716.371863425928</v>
      </c>
      <c r="B762" t="s">
        <v>1338</v>
      </c>
      <c r="C762" t="s">
        <v>32</v>
      </c>
      <c r="E762" t="s">
        <v>1364</v>
      </c>
      <c r="F762" t="s">
        <v>1372</v>
      </c>
      <c r="G762">
        <v>-185</v>
      </c>
    </row>
    <row r="763" spans="1:7" x14ac:dyDescent="0.25">
      <c r="A763" s="40">
        <v>45716.371863425928</v>
      </c>
      <c r="B763" t="s">
        <v>1338</v>
      </c>
      <c r="C763" t="s">
        <v>36</v>
      </c>
      <c r="E763" t="s">
        <v>1364</v>
      </c>
      <c r="F763" t="s">
        <v>1372</v>
      </c>
      <c r="G763">
        <v>-2050</v>
      </c>
    </row>
    <row r="764" spans="1:7" x14ac:dyDescent="0.25">
      <c r="A764" s="40">
        <v>45716.371863425928</v>
      </c>
      <c r="B764" t="s">
        <v>1338</v>
      </c>
      <c r="C764" t="s">
        <v>37</v>
      </c>
      <c r="E764" t="s">
        <v>1364</v>
      </c>
      <c r="F764" t="s">
        <v>1372</v>
      </c>
      <c r="G764">
        <v>-185</v>
      </c>
    </row>
    <row r="765" spans="1:7" x14ac:dyDescent="0.25">
      <c r="A765" s="40">
        <v>45716.371863425928</v>
      </c>
      <c r="B765" t="s">
        <v>1338</v>
      </c>
      <c r="C765" t="s">
        <v>39</v>
      </c>
      <c r="E765" t="s">
        <v>1364</v>
      </c>
      <c r="F765" t="s">
        <v>1372</v>
      </c>
      <c r="G765">
        <v>-350</v>
      </c>
    </row>
    <row r="766" spans="1:7" x14ac:dyDescent="0.25">
      <c r="A766" s="40">
        <v>45716.371863425928</v>
      </c>
      <c r="B766" t="s">
        <v>1338</v>
      </c>
      <c r="C766" t="s">
        <v>40</v>
      </c>
      <c r="E766" t="s">
        <v>1364</v>
      </c>
      <c r="F766" t="s">
        <v>1372</v>
      </c>
      <c r="G766">
        <v>-350</v>
      </c>
    </row>
    <row r="767" spans="1:7" x14ac:dyDescent="0.25">
      <c r="A767" s="40">
        <v>45716.371863425928</v>
      </c>
      <c r="B767" t="s">
        <v>1338</v>
      </c>
      <c r="C767" t="s">
        <v>41</v>
      </c>
      <c r="E767" t="s">
        <v>1364</v>
      </c>
      <c r="F767" t="s">
        <v>1372</v>
      </c>
      <c r="G767">
        <v>-185</v>
      </c>
    </row>
    <row r="768" spans="1:7" x14ac:dyDescent="0.25">
      <c r="A768" s="40">
        <v>45716.371863425928</v>
      </c>
      <c r="B768" t="s">
        <v>1338</v>
      </c>
      <c r="C768" t="s">
        <v>42</v>
      </c>
      <c r="E768" t="s">
        <v>1364</v>
      </c>
      <c r="F768" t="s">
        <v>1372</v>
      </c>
      <c r="G768">
        <v>-1150</v>
      </c>
    </row>
    <row r="769" spans="1:7" x14ac:dyDescent="0.25">
      <c r="A769" s="40">
        <v>45716.371863425928</v>
      </c>
      <c r="B769" t="s">
        <v>1338</v>
      </c>
      <c r="C769" t="s">
        <v>44</v>
      </c>
      <c r="E769" t="s">
        <v>1364</v>
      </c>
      <c r="F769" t="s">
        <v>1372</v>
      </c>
      <c r="G769">
        <v>-1150</v>
      </c>
    </row>
    <row r="770" spans="1:7" x14ac:dyDescent="0.25">
      <c r="A770" s="40">
        <v>45716.371863425928</v>
      </c>
      <c r="B770" t="s">
        <v>1338</v>
      </c>
      <c r="C770" t="s">
        <v>45</v>
      </c>
      <c r="E770" t="s">
        <v>1364</v>
      </c>
      <c r="F770" t="s">
        <v>1372</v>
      </c>
      <c r="G770">
        <v>-185</v>
      </c>
    </row>
    <row r="771" spans="1:7" x14ac:dyDescent="0.25">
      <c r="A771" s="40">
        <v>45716.371863425928</v>
      </c>
      <c r="B771" t="s">
        <v>1338</v>
      </c>
      <c r="C771" t="s">
        <v>47</v>
      </c>
      <c r="E771" t="s">
        <v>1364</v>
      </c>
      <c r="F771" t="s">
        <v>1372</v>
      </c>
      <c r="G771">
        <v>-4200</v>
      </c>
    </row>
    <row r="772" spans="1:7" x14ac:dyDescent="0.25">
      <c r="A772" s="40">
        <v>45716.371863425928</v>
      </c>
      <c r="B772" t="s">
        <v>1338</v>
      </c>
      <c r="C772" t="s">
        <v>55</v>
      </c>
      <c r="E772" t="s">
        <v>1364</v>
      </c>
      <c r="F772" t="s">
        <v>1372</v>
      </c>
      <c r="G772">
        <v>-660</v>
      </c>
    </row>
    <row r="773" spans="1:7" x14ac:dyDescent="0.25">
      <c r="A773" s="40">
        <v>45716.371863425928</v>
      </c>
      <c r="B773" t="s">
        <v>1338</v>
      </c>
      <c r="C773" t="s">
        <v>56</v>
      </c>
      <c r="E773" t="s">
        <v>1364</v>
      </c>
      <c r="F773" t="s">
        <v>1372</v>
      </c>
      <c r="G773">
        <v>-350</v>
      </c>
    </row>
    <row r="774" spans="1:7" x14ac:dyDescent="0.25">
      <c r="A774" s="40">
        <v>45716.371863425928</v>
      </c>
      <c r="B774" t="s">
        <v>1338</v>
      </c>
      <c r="C774" t="s">
        <v>57</v>
      </c>
      <c r="E774" t="s">
        <v>1364</v>
      </c>
      <c r="F774" t="s">
        <v>1372</v>
      </c>
      <c r="G774">
        <v>-185</v>
      </c>
    </row>
    <row r="775" spans="1:7" x14ac:dyDescent="0.25">
      <c r="A775" s="40">
        <v>45716.371863425928</v>
      </c>
      <c r="B775" t="s">
        <v>1338</v>
      </c>
      <c r="C775" t="s">
        <v>58</v>
      </c>
      <c r="E775" t="s">
        <v>1364</v>
      </c>
      <c r="F775" t="s">
        <v>1372</v>
      </c>
      <c r="G775">
        <v>-185</v>
      </c>
    </row>
    <row r="776" spans="1:7" x14ac:dyDescent="0.25">
      <c r="A776" s="40">
        <v>45716.371863425928</v>
      </c>
      <c r="B776" t="s">
        <v>1338</v>
      </c>
      <c r="C776" t="s">
        <v>61</v>
      </c>
      <c r="E776" t="s">
        <v>1364</v>
      </c>
      <c r="F776" t="s">
        <v>1372</v>
      </c>
      <c r="G776">
        <v>-1150</v>
      </c>
    </row>
    <row r="777" spans="1:7" x14ac:dyDescent="0.25">
      <c r="A777" s="40">
        <v>45716.371863425928</v>
      </c>
      <c r="B777" t="s">
        <v>1338</v>
      </c>
      <c r="C777" t="s">
        <v>63</v>
      </c>
      <c r="E777" t="s">
        <v>1364</v>
      </c>
      <c r="F777" t="s">
        <v>1372</v>
      </c>
      <c r="G777">
        <v>-185</v>
      </c>
    </row>
    <row r="778" spans="1:7" x14ac:dyDescent="0.25">
      <c r="A778" s="40">
        <v>45716.371863425928</v>
      </c>
      <c r="B778" t="s">
        <v>1338</v>
      </c>
      <c r="C778" t="s">
        <v>66</v>
      </c>
      <c r="E778" t="s">
        <v>1364</v>
      </c>
      <c r="F778" t="s">
        <v>1372</v>
      </c>
      <c r="G778">
        <v>-350</v>
      </c>
    </row>
    <row r="779" spans="1:7" x14ac:dyDescent="0.25">
      <c r="A779" s="40">
        <v>45716.371863425928</v>
      </c>
      <c r="B779" t="s">
        <v>1338</v>
      </c>
      <c r="C779" t="s">
        <v>68</v>
      </c>
      <c r="E779" t="s">
        <v>1364</v>
      </c>
      <c r="F779" t="s">
        <v>1372</v>
      </c>
      <c r="G779">
        <v>-1300</v>
      </c>
    </row>
    <row r="780" spans="1:7" x14ac:dyDescent="0.25">
      <c r="A780" s="40">
        <v>45716.371863425928</v>
      </c>
      <c r="B780" t="s">
        <v>1338</v>
      </c>
      <c r="C780" t="s">
        <v>69</v>
      </c>
      <c r="E780" t="s">
        <v>1364</v>
      </c>
      <c r="F780" t="s">
        <v>1372</v>
      </c>
      <c r="G780">
        <v>-1150</v>
      </c>
    </row>
    <row r="781" spans="1:7" x14ac:dyDescent="0.25">
      <c r="A781" s="40">
        <v>45716.371863425928</v>
      </c>
      <c r="B781" t="s">
        <v>1338</v>
      </c>
      <c r="C781" t="s">
        <v>75</v>
      </c>
      <c r="E781" t="s">
        <v>1364</v>
      </c>
      <c r="F781" t="s">
        <v>1372</v>
      </c>
      <c r="G781">
        <v>-500</v>
      </c>
    </row>
    <row r="782" spans="1:7" x14ac:dyDescent="0.25">
      <c r="A782" s="40">
        <v>45716.371863425928</v>
      </c>
      <c r="B782" t="s">
        <v>1338</v>
      </c>
      <c r="C782" t="s">
        <v>76</v>
      </c>
      <c r="E782" t="s">
        <v>1364</v>
      </c>
      <c r="F782" t="s">
        <v>1372</v>
      </c>
      <c r="G782">
        <v>-500</v>
      </c>
    </row>
    <row r="783" spans="1:7" x14ac:dyDescent="0.25">
      <c r="A783" s="40">
        <v>45716.371863425928</v>
      </c>
      <c r="B783" t="s">
        <v>1338</v>
      </c>
      <c r="C783" t="s">
        <v>79</v>
      </c>
      <c r="E783" t="s">
        <v>1364</v>
      </c>
      <c r="F783" t="s">
        <v>1372</v>
      </c>
      <c r="G783">
        <v>-185</v>
      </c>
    </row>
    <row r="784" spans="1:7" x14ac:dyDescent="0.25">
      <c r="A784" s="40">
        <v>45716.371863425928</v>
      </c>
      <c r="B784" t="s">
        <v>1338</v>
      </c>
      <c r="C784" t="s">
        <v>81</v>
      </c>
      <c r="E784" t="s">
        <v>1364</v>
      </c>
      <c r="F784" t="s">
        <v>1372</v>
      </c>
      <c r="G784">
        <v>-1450</v>
      </c>
    </row>
    <row r="785" spans="1:7" x14ac:dyDescent="0.25">
      <c r="A785" s="40">
        <v>45716.371863425928</v>
      </c>
      <c r="B785" t="s">
        <v>1338</v>
      </c>
      <c r="C785" t="s">
        <v>82</v>
      </c>
      <c r="E785" t="s">
        <v>1364</v>
      </c>
      <c r="F785" t="s">
        <v>1372</v>
      </c>
      <c r="G785">
        <v>-1150</v>
      </c>
    </row>
    <row r="786" spans="1:7" x14ac:dyDescent="0.25">
      <c r="A786" s="40">
        <v>45716.371863425928</v>
      </c>
      <c r="B786" t="s">
        <v>1338</v>
      </c>
      <c r="C786" t="s">
        <v>84</v>
      </c>
      <c r="E786" t="s">
        <v>1364</v>
      </c>
      <c r="F786" t="s">
        <v>1372</v>
      </c>
      <c r="G786">
        <v>-350</v>
      </c>
    </row>
    <row r="787" spans="1:7" x14ac:dyDescent="0.25">
      <c r="A787" s="40">
        <v>45716.371863425928</v>
      </c>
      <c r="B787" t="s">
        <v>1338</v>
      </c>
      <c r="C787" t="s">
        <v>89</v>
      </c>
      <c r="E787" t="s">
        <v>1364</v>
      </c>
      <c r="F787" t="s">
        <v>1372</v>
      </c>
      <c r="G787">
        <v>-2450</v>
      </c>
    </row>
    <row r="788" spans="1:7" x14ac:dyDescent="0.25">
      <c r="A788" s="40">
        <v>45716.371863425928</v>
      </c>
      <c r="B788" t="s">
        <v>1338</v>
      </c>
      <c r="C788" t="s">
        <v>90</v>
      </c>
      <c r="E788" t="s">
        <v>1364</v>
      </c>
      <c r="F788" t="s">
        <v>1372</v>
      </c>
      <c r="G788">
        <v>-500</v>
      </c>
    </row>
    <row r="789" spans="1:7" x14ac:dyDescent="0.25">
      <c r="A789" s="40">
        <v>45716.371863425928</v>
      </c>
      <c r="B789" t="s">
        <v>1338</v>
      </c>
      <c r="C789" t="s">
        <v>91</v>
      </c>
      <c r="E789" t="s">
        <v>1364</v>
      </c>
      <c r="F789" t="s">
        <v>1372</v>
      </c>
      <c r="G789">
        <v>-810</v>
      </c>
    </row>
    <row r="790" spans="1:7" x14ac:dyDescent="0.25">
      <c r="A790" s="40">
        <v>45716.371863425928</v>
      </c>
      <c r="B790" t="s">
        <v>1338</v>
      </c>
      <c r="C790" t="s">
        <v>92</v>
      </c>
      <c r="E790" t="s">
        <v>1364</v>
      </c>
      <c r="F790" t="s">
        <v>1372</v>
      </c>
      <c r="G790">
        <v>-660</v>
      </c>
    </row>
    <row r="791" spans="1:7" x14ac:dyDescent="0.25">
      <c r="A791" s="40">
        <v>45716.371863425928</v>
      </c>
      <c r="B791" t="s">
        <v>1338</v>
      </c>
      <c r="C791" t="s">
        <v>93</v>
      </c>
      <c r="E791" t="s">
        <v>1364</v>
      </c>
      <c r="F791" t="s">
        <v>1372</v>
      </c>
      <c r="G791">
        <v>-185</v>
      </c>
    </row>
    <row r="792" spans="1:7" x14ac:dyDescent="0.25">
      <c r="A792" s="40">
        <v>45716.371863425928</v>
      </c>
      <c r="B792" t="s">
        <v>1338</v>
      </c>
      <c r="C792" t="s">
        <v>94</v>
      </c>
      <c r="E792" t="s">
        <v>1364</v>
      </c>
      <c r="F792" t="s">
        <v>1372</v>
      </c>
      <c r="G792">
        <v>-185</v>
      </c>
    </row>
    <row r="793" spans="1:7" x14ac:dyDescent="0.25">
      <c r="A793" s="40">
        <v>45716.371863425928</v>
      </c>
      <c r="B793" t="s">
        <v>1338</v>
      </c>
      <c r="C793" t="s">
        <v>95</v>
      </c>
      <c r="E793" t="s">
        <v>1364</v>
      </c>
      <c r="F793" t="s">
        <v>1372</v>
      </c>
      <c r="G793">
        <v>-1300</v>
      </c>
    </row>
    <row r="794" spans="1:7" x14ac:dyDescent="0.25">
      <c r="A794" s="40">
        <v>45716.371863425928</v>
      </c>
      <c r="B794" t="s">
        <v>1338</v>
      </c>
      <c r="C794" t="s">
        <v>96</v>
      </c>
      <c r="E794" t="s">
        <v>1364</v>
      </c>
      <c r="F794" t="s">
        <v>1372</v>
      </c>
      <c r="G794">
        <v>-1600</v>
      </c>
    </row>
    <row r="795" spans="1:7" x14ac:dyDescent="0.25">
      <c r="A795" s="40">
        <v>45716.371863425928</v>
      </c>
      <c r="B795" t="s">
        <v>1338</v>
      </c>
      <c r="C795" t="s">
        <v>104</v>
      </c>
      <c r="E795" t="s">
        <v>1364</v>
      </c>
      <c r="F795" t="s">
        <v>1372</v>
      </c>
      <c r="G795">
        <v>-660</v>
      </c>
    </row>
    <row r="796" spans="1:7" x14ac:dyDescent="0.25">
      <c r="A796" s="40">
        <v>45716.371863425928</v>
      </c>
      <c r="B796" t="s">
        <v>1338</v>
      </c>
      <c r="C796" t="s">
        <v>229</v>
      </c>
      <c r="E796" t="s">
        <v>1364</v>
      </c>
      <c r="F796" t="s">
        <v>1372</v>
      </c>
      <c r="G796">
        <v>-185</v>
      </c>
    </row>
    <row r="797" spans="1:7" x14ac:dyDescent="0.25">
      <c r="A797" s="40">
        <v>45716.371863425928</v>
      </c>
      <c r="B797" t="s">
        <v>1338</v>
      </c>
      <c r="C797" t="s">
        <v>230</v>
      </c>
      <c r="E797" t="s">
        <v>1364</v>
      </c>
      <c r="F797" t="s">
        <v>1372</v>
      </c>
      <c r="G797">
        <v>-2300</v>
      </c>
    </row>
    <row r="798" spans="1:7" x14ac:dyDescent="0.25">
      <c r="A798" s="40">
        <v>45716.371863425928</v>
      </c>
      <c r="B798" t="s">
        <v>1338</v>
      </c>
      <c r="C798" t="s">
        <v>328</v>
      </c>
      <c r="E798" t="s">
        <v>1364</v>
      </c>
      <c r="F798" t="s">
        <v>1372</v>
      </c>
      <c r="G798">
        <v>-185</v>
      </c>
    </row>
    <row r="799" spans="1:7" x14ac:dyDescent="0.25">
      <c r="A799" s="40">
        <v>45716.371863425928</v>
      </c>
      <c r="B799" t="s">
        <v>1338</v>
      </c>
      <c r="C799" t="s">
        <v>420</v>
      </c>
      <c r="E799" t="s">
        <v>1364</v>
      </c>
      <c r="F799" t="s">
        <v>1372</v>
      </c>
      <c r="G799">
        <v>-1300</v>
      </c>
    </row>
    <row r="800" spans="1:7" x14ac:dyDescent="0.25">
      <c r="A800" s="40">
        <v>45716.371863425928</v>
      </c>
      <c r="B800" t="s">
        <v>1338</v>
      </c>
      <c r="C800" t="s">
        <v>360</v>
      </c>
      <c r="E800" t="s">
        <v>1364</v>
      </c>
      <c r="F800" t="s">
        <v>1372</v>
      </c>
      <c r="G800">
        <v>-185</v>
      </c>
    </row>
    <row r="801" spans="1:7" x14ac:dyDescent="0.25">
      <c r="A801" s="40">
        <v>45716.371863425928</v>
      </c>
      <c r="B801" t="s">
        <v>1338</v>
      </c>
      <c r="C801" t="s">
        <v>693</v>
      </c>
      <c r="E801" t="s">
        <v>1364</v>
      </c>
      <c r="F801" t="s">
        <v>1372</v>
      </c>
      <c r="G801">
        <v>-185</v>
      </c>
    </row>
    <row r="802" spans="1:7" x14ac:dyDescent="0.25">
      <c r="A802" s="40">
        <v>45716.371863425928</v>
      </c>
      <c r="B802" t="s">
        <v>1338</v>
      </c>
      <c r="C802" t="s">
        <v>267</v>
      </c>
      <c r="E802" t="s">
        <v>1364</v>
      </c>
      <c r="F802" t="s">
        <v>1372</v>
      </c>
      <c r="G802">
        <v>-660</v>
      </c>
    </row>
    <row r="803" spans="1:7" x14ac:dyDescent="0.25">
      <c r="A803" s="40">
        <v>45716.371863425928</v>
      </c>
      <c r="B803" t="s">
        <v>1338</v>
      </c>
      <c r="C803" t="s">
        <v>283</v>
      </c>
      <c r="E803" t="s">
        <v>1364</v>
      </c>
      <c r="F803" t="s">
        <v>1372</v>
      </c>
      <c r="G803">
        <v>-500</v>
      </c>
    </row>
    <row r="804" spans="1:7" x14ac:dyDescent="0.25">
      <c r="A804" s="40">
        <v>45716.371863425928</v>
      </c>
      <c r="B804" t="s">
        <v>1338</v>
      </c>
      <c r="C804" t="s">
        <v>456</v>
      </c>
      <c r="E804" t="s">
        <v>1364</v>
      </c>
      <c r="F804" t="s">
        <v>1372</v>
      </c>
      <c r="G804">
        <v>-1150</v>
      </c>
    </row>
    <row r="805" spans="1:7" x14ac:dyDescent="0.25">
      <c r="A805" s="40">
        <v>45716.371863425928</v>
      </c>
      <c r="B805" t="s">
        <v>1338</v>
      </c>
      <c r="C805" t="s">
        <v>441</v>
      </c>
      <c r="E805" t="s">
        <v>1364</v>
      </c>
      <c r="F805" t="s">
        <v>1372</v>
      </c>
      <c r="G805">
        <v>-2050</v>
      </c>
    </row>
    <row r="806" spans="1:7" x14ac:dyDescent="0.25">
      <c r="A806" s="40">
        <v>45716.371863425928</v>
      </c>
      <c r="B806" t="s">
        <v>1338</v>
      </c>
      <c r="C806" t="s">
        <v>428</v>
      </c>
      <c r="E806" t="s">
        <v>1364</v>
      </c>
      <c r="F806" t="s">
        <v>1372</v>
      </c>
      <c r="G806">
        <v>-980</v>
      </c>
    </row>
    <row r="807" spans="1:7" x14ac:dyDescent="0.25">
      <c r="A807" s="40">
        <v>45716.371863425928</v>
      </c>
      <c r="B807" t="s">
        <v>1338</v>
      </c>
      <c r="C807" t="s">
        <v>362</v>
      </c>
      <c r="E807" t="s">
        <v>1364</v>
      </c>
      <c r="F807" t="s">
        <v>1372</v>
      </c>
      <c r="G807">
        <v>-660</v>
      </c>
    </row>
    <row r="808" spans="1:7" x14ac:dyDescent="0.25">
      <c r="A808" s="40">
        <v>45716.371863425928</v>
      </c>
      <c r="B808" t="s">
        <v>1338</v>
      </c>
      <c r="C808" t="s">
        <v>414</v>
      </c>
      <c r="E808" t="s">
        <v>1364</v>
      </c>
      <c r="F808" t="s">
        <v>1372</v>
      </c>
      <c r="G808">
        <v>-350</v>
      </c>
    </row>
    <row r="809" spans="1:7" x14ac:dyDescent="0.25">
      <c r="A809" s="40">
        <v>45716.371863425928</v>
      </c>
      <c r="B809" t="s">
        <v>1338</v>
      </c>
      <c r="C809" t="s">
        <v>258</v>
      </c>
      <c r="E809" t="s">
        <v>1364</v>
      </c>
      <c r="F809" t="s">
        <v>1372</v>
      </c>
      <c r="G809">
        <v>-350</v>
      </c>
    </row>
    <row r="810" spans="1:7" x14ac:dyDescent="0.25">
      <c r="A810" s="40">
        <v>45716.371863425928</v>
      </c>
      <c r="B810" t="s">
        <v>1338</v>
      </c>
      <c r="C810" t="s">
        <v>424</v>
      </c>
      <c r="E810" t="s">
        <v>1364</v>
      </c>
      <c r="F810" t="s">
        <v>1372</v>
      </c>
      <c r="G810">
        <v>-185</v>
      </c>
    </row>
    <row r="811" spans="1:7" x14ac:dyDescent="0.25">
      <c r="A811" s="40">
        <v>45716.371863425928</v>
      </c>
      <c r="B811" t="s">
        <v>1338</v>
      </c>
      <c r="C811" t="s">
        <v>277</v>
      </c>
      <c r="E811" t="s">
        <v>1364</v>
      </c>
      <c r="F811" t="s">
        <v>1372</v>
      </c>
      <c r="G811">
        <v>-350</v>
      </c>
    </row>
    <row r="812" spans="1:7" x14ac:dyDescent="0.25">
      <c r="A812" s="40">
        <v>45716.371863425928</v>
      </c>
      <c r="B812" t="s">
        <v>1338</v>
      </c>
      <c r="C812" t="s">
        <v>260</v>
      </c>
      <c r="E812" t="s">
        <v>1364</v>
      </c>
      <c r="F812" t="s">
        <v>1372</v>
      </c>
      <c r="G812">
        <v>-660</v>
      </c>
    </row>
    <row r="813" spans="1:7" x14ac:dyDescent="0.25">
      <c r="A813" s="40">
        <v>45716.371863425928</v>
      </c>
      <c r="B813" t="s">
        <v>1338</v>
      </c>
      <c r="C813" t="s">
        <v>273</v>
      </c>
      <c r="E813" t="s">
        <v>1364</v>
      </c>
      <c r="F813" t="s">
        <v>1372</v>
      </c>
      <c r="G813">
        <v>-185</v>
      </c>
    </row>
    <row r="814" spans="1:7" x14ac:dyDescent="0.25">
      <c r="A814" s="40">
        <v>45716.371863425928</v>
      </c>
      <c r="B814" t="s">
        <v>1338</v>
      </c>
      <c r="C814" t="s">
        <v>418</v>
      </c>
      <c r="E814" t="s">
        <v>1364</v>
      </c>
      <c r="F814" t="s">
        <v>1372</v>
      </c>
      <c r="G814">
        <v>-185</v>
      </c>
    </row>
    <row r="815" spans="1:7" x14ac:dyDescent="0.25">
      <c r="A815" s="40">
        <v>45716.371863425928</v>
      </c>
      <c r="B815" t="s">
        <v>1338</v>
      </c>
      <c r="C815" t="s">
        <v>324</v>
      </c>
      <c r="E815" t="s">
        <v>1364</v>
      </c>
      <c r="F815" t="s">
        <v>1372</v>
      </c>
      <c r="G815">
        <v>-810</v>
      </c>
    </row>
    <row r="816" spans="1:7" x14ac:dyDescent="0.25">
      <c r="A816" s="40">
        <v>45716.371863425928</v>
      </c>
      <c r="B816" t="s">
        <v>1338</v>
      </c>
      <c r="C816" t="s">
        <v>426</v>
      </c>
      <c r="E816" t="s">
        <v>1364</v>
      </c>
      <c r="F816" t="s">
        <v>1372</v>
      </c>
      <c r="G816">
        <v>-350</v>
      </c>
    </row>
    <row r="817" spans="1:7" x14ac:dyDescent="0.25">
      <c r="A817" s="40">
        <v>45716.371863425928</v>
      </c>
      <c r="B817" t="s">
        <v>1338</v>
      </c>
      <c r="C817" t="s">
        <v>416</v>
      </c>
      <c r="E817" t="s">
        <v>1364</v>
      </c>
      <c r="F817" t="s">
        <v>1372</v>
      </c>
      <c r="G817">
        <v>-980</v>
      </c>
    </row>
    <row r="818" spans="1:7" x14ac:dyDescent="0.25">
      <c r="A818" s="40">
        <v>45716.371863425928</v>
      </c>
      <c r="B818" t="s">
        <v>1338</v>
      </c>
      <c r="C818" t="s">
        <v>462</v>
      </c>
      <c r="E818" t="s">
        <v>1364</v>
      </c>
      <c r="F818" t="s">
        <v>1372</v>
      </c>
      <c r="G818">
        <v>-500</v>
      </c>
    </row>
    <row r="819" spans="1:7" x14ac:dyDescent="0.25">
      <c r="A819" s="40">
        <v>45716.371863425928</v>
      </c>
      <c r="B819" t="s">
        <v>1338</v>
      </c>
      <c r="C819" t="s">
        <v>447</v>
      </c>
      <c r="E819" t="s">
        <v>1364</v>
      </c>
      <c r="F819" t="s">
        <v>1372</v>
      </c>
      <c r="G819">
        <v>-185</v>
      </c>
    </row>
    <row r="820" spans="1:7" x14ac:dyDescent="0.25">
      <c r="A820" s="40">
        <v>45716.371863425928</v>
      </c>
      <c r="B820" t="s">
        <v>1338</v>
      </c>
      <c r="C820" t="s">
        <v>468</v>
      </c>
      <c r="E820" t="s">
        <v>1364</v>
      </c>
      <c r="F820" t="s">
        <v>1372</v>
      </c>
      <c r="G820">
        <v>-185</v>
      </c>
    </row>
    <row r="821" spans="1:7" x14ac:dyDescent="0.25">
      <c r="A821" s="40">
        <v>45716.371863425928</v>
      </c>
      <c r="B821" t="s">
        <v>1338</v>
      </c>
      <c r="C821" t="s">
        <v>322</v>
      </c>
      <c r="E821" t="s">
        <v>1364</v>
      </c>
      <c r="F821" t="s">
        <v>1372</v>
      </c>
      <c r="G821">
        <v>-350</v>
      </c>
    </row>
    <row r="822" spans="1:7" x14ac:dyDescent="0.25">
      <c r="A822" s="40">
        <v>45717.247557870367</v>
      </c>
      <c r="B822" t="s">
        <v>1219</v>
      </c>
      <c r="C822" t="s">
        <v>326</v>
      </c>
      <c r="E822" t="s">
        <v>1364</v>
      </c>
      <c r="F822" t="s">
        <v>1372</v>
      </c>
      <c r="G822">
        <v>-90</v>
      </c>
    </row>
    <row r="823" spans="1:7" x14ac:dyDescent="0.25">
      <c r="A823" s="40">
        <v>45717.247557870367</v>
      </c>
      <c r="B823" t="s">
        <v>1219</v>
      </c>
      <c r="C823" t="s">
        <v>337</v>
      </c>
      <c r="E823" t="s">
        <v>1364</v>
      </c>
      <c r="F823" t="s">
        <v>1372</v>
      </c>
      <c r="G823">
        <v>-28</v>
      </c>
    </row>
    <row r="824" spans="1:7" x14ac:dyDescent="0.25">
      <c r="A824" s="40">
        <v>45717.247557870367</v>
      </c>
      <c r="B824" t="s">
        <v>1219</v>
      </c>
      <c r="C824" t="s">
        <v>437</v>
      </c>
      <c r="E824" t="s">
        <v>1364</v>
      </c>
      <c r="F824" t="s">
        <v>1372</v>
      </c>
      <c r="G824">
        <v>-28</v>
      </c>
    </row>
    <row r="825" spans="1:7" x14ac:dyDescent="0.25">
      <c r="A825" s="40">
        <v>45717.247557870367</v>
      </c>
      <c r="B825" t="s">
        <v>1219</v>
      </c>
      <c r="C825" t="s">
        <v>290</v>
      </c>
      <c r="E825" t="s">
        <v>1364</v>
      </c>
      <c r="F825" t="s">
        <v>1372</v>
      </c>
      <c r="G825">
        <v>-22</v>
      </c>
    </row>
    <row r="826" spans="1:7" x14ac:dyDescent="0.25">
      <c r="A826" s="40">
        <v>45717.247557870367</v>
      </c>
      <c r="B826" t="s">
        <v>1219</v>
      </c>
      <c r="C826" t="s">
        <v>294</v>
      </c>
      <c r="E826" t="s">
        <v>1364</v>
      </c>
      <c r="F826" t="s">
        <v>1372</v>
      </c>
      <c r="G826">
        <v>-36</v>
      </c>
    </row>
    <row r="827" spans="1:7" x14ac:dyDescent="0.25">
      <c r="A827" s="40">
        <v>45717.247557870367</v>
      </c>
      <c r="B827" t="s">
        <v>1219</v>
      </c>
      <c r="C827" t="s">
        <v>285</v>
      </c>
      <c r="E827" t="s">
        <v>1364</v>
      </c>
      <c r="F827" t="s">
        <v>1372</v>
      </c>
      <c r="G827">
        <v>-22</v>
      </c>
    </row>
    <row r="828" spans="1:7" x14ac:dyDescent="0.25">
      <c r="A828" s="40">
        <v>45717.247557870367</v>
      </c>
      <c r="B828" t="s">
        <v>1219</v>
      </c>
      <c r="C828" t="s">
        <v>256</v>
      </c>
      <c r="E828" t="s">
        <v>1364</v>
      </c>
      <c r="F828" t="s">
        <v>1372</v>
      </c>
      <c r="G828">
        <v>-36</v>
      </c>
    </row>
    <row r="829" spans="1:7" x14ac:dyDescent="0.25">
      <c r="A829" s="40">
        <v>45717.247557870367</v>
      </c>
      <c r="B829" t="s">
        <v>1219</v>
      </c>
      <c r="C829" t="s">
        <v>264</v>
      </c>
      <c r="E829" t="s">
        <v>1364</v>
      </c>
      <c r="F829" t="s">
        <v>1372</v>
      </c>
      <c r="G829">
        <v>-30</v>
      </c>
    </row>
    <row r="830" spans="1:7" x14ac:dyDescent="0.25">
      <c r="A830" s="40">
        <v>45717.247557870367</v>
      </c>
      <c r="B830" t="s">
        <v>1219</v>
      </c>
      <c r="C830" t="s">
        <v>422</v>
      </c>
      <c r="E830" t="s">
        <v>1364</v>
      </c>
      <c r="F830" t="s">
        <v>1372</v>
      </c>
      <c r="G830">
        <v>-22</v>
      </c>
    </row>
    <row r="831" spans="1:7" x14ac:dyDescent="0.25">
      <c r="A831" s="40">
        <v>45717.247557870367</v>
      </c>
      <c r="B831" t="s">
        <v>1219</v>
      </c>
      <c r="C831" t="s">
        <v>472</v>
      </c>
      <c r="E831" t="s">
        <v>1364</v>
      </c>
      <c r="F831" t="s">
        <v>1372</v>
      </c>
      <c r="G831">
        <v>-22</v>
      </c>
    </row>
    <row r="832" spans="1:7" x14ac:dyDescent="0.25">
      <c r="A832" s="40">
        <v>45717.247557870367</v>
      </c>
      <c r="B832" t="s">
        <v>1219</v>
      </c>
      <c r="C832" t="s">
        <v>433</v>
      </c>
      <c r="E832" t="s">
        <v>1364</v>
      </c>
      <c r="F832" t="s">
        <v>1372</v>
      </c>
      <c r="G832">
        <v>-28</v>
      </c>
    </row>
    <row r="833" spans="1:12" x14ac:dyDescent="0.25">
      <c r="A833" s="40">
        <v>45717.382835648146</v>
      </c>
      <c r="B833" t="s">
        <v>1271</v>
      </c>
      <c r="C833" t="s">
        <v>1</v>
      </c>
      <c r="E833" t="s">
        <v>1364</v>
      </c>
      <c r="F833" t="s">
        <v>695</v>
      </c>
      <c r="G833">
        <v>45000</v>
      </c>
      <c r="I833" t="s">
        <v>1120</v>
      </c>
      <c r="L833">
        <v>162</v>
      </c>
    </row>
    <row r="834" spans="1:12" x14ac:dyDescent="0.25">
      <c r="A834" s="40">
        <v>45717.382835648146</v>
      </c>
      <c r="B834" t="s">
        <v>1271</v>
      </c>
      <c r="C834" t="s">
        <v>38</v>
      </c>
      <c r="E834" t="s">
        <v>1364</v>
      </c>
      <c r="F834" t="s">
        <v>695</v>
      </c>
      <c r="G834">
        <v>20000</v>
      </c>
      <c r="I834" t="s">
        <v>1120</v>
      </c>
      <c r="L834">
        <v>24</v>
      </c>
    </row>
    <row r="835" spans="1:12" x14ac:dyDescent="0.25">
      <c r="A835" s="40">
        <v>45717.384548611109</v>
      </c>
      <c r="B835" t="s">
        <v>1338</v>
      </c>
      <c r="C835" t="s">
        <v>1</v>
      </c>
      <c r="E835" t="s">
        <v>1364</v>
      </c>
      <c r="F835" t="s">
        <v>1372</v>
      </c>
      <c r="G835">
        <v>-21100</v>
      </c>
    </row>
    <row r="836" spans="1:12" x14ac:dyDescent="0.25">
      <c r="A836" s="40">
        <v>45717.384548611109</v>
      </c>
      <c r="B836" t="s">
        <v>1338</v>
      </c>
      <c r="C836" t="s">
        <v>38</v>
      </c>
      <c r="E836" t="s">
        <v>1364</v>
      </c>
      <c r="F836" t="s">
        <v>1372</v>
      </c>
      <c r="G836">
        <v>-980</v>
      </c>
    </row>
    <row r="837" spans="1:12" x14ac:dyDescent="0.25">
      <c r="A837" s="40">
        <v>45717.386956018519</v>
      </c>
      <c r="B837" t="s">
        <v>1271</v>
      </c>
      <c r="C837" t="s">
        <v>38</v>
      </c>
      <c r="E837" t="s">
        <v>1364</v>
      </c>
      <c r="F837" t="s">
        <v>1372</v>
      </c>
      <c r="G837">
        <v>-2400</v>
      </c>
    </row>
    <row r="838" spans="1:12" x14ac:dyDescent="0.25">
      <c r="A838" s="40">
        <v>45717.500648148147</v>
      </c>
      <c r="B838" t="s">
        <v>1350</v>
      </c>
      <c r="C838" t="s">
        <v>1</v>
      </c>
      <c r="E838" t="s">
        <v>1364</v>
      </c>
      <c r="F838" t="s">
        <v>1372</v>
      </c>
      <c r="G838">
        <v>-1372</v>
      </c>
    </row>
    <row r="839" spans="1:12" x14ac:dyDescent="0.25">
      <c r="A839" s="40">
        <v>45717.500648148147</v>
      </c>
      <c r="B839" t="s">
        <v>1350</v>
      </c>
      <c r="C839" t="s">
        <v>5</v>
      </c>
      <c r="E839" t="s">
        <v>1364</v>
      </c>
      <c r="F839" t="s">
        <v>1372</v>
      </c>
      <c r="G839">
        <v>-248</v>
      </c>
    </row>
    <row r="840" spans="1:12" x14ac:dyDescent="0.25">
      <c r="A840" s="40">
        <v>45717.500648148147</v>
      </c>
      <c r="B840" t="s">
        <v>1350</v>
      </c>
      <c r="C840" t="s">
        <v>7</v>
      </c>
      <c r="E840" t="s">
        <v>1364</v>
      </c>
      <c r="F840" t="s">
        <v>1372</v>
      </c>
      <c r="G840">
        <v>-147</v>
      </c>
    </row>
    <row r="841" spans="1:12" x14ac:dyDescent="0.25">
      <c r="A841" s="40">
        <v>45717.500648148147</v>
      </c>
      <c r="B841" t="s">
        <v>1350</v>
      </c>
      <c r="C841" t="s">
        <v>8</v>
      </c>
      <c r="E841" t="s">
        <v>1364</v>
      </c>
      <c r="F841" t="s">
        <v>1372</v>
      </c>
      <c r="G841">
        <v>-796</v>
      </c>
    </row>
    <row r="842" spans="1:12" x14ac:dyDescent="0.25">
      <c r="A842" s="40">
        <v>45717.500648148147</v>
      </c>
      <c r="B842" t="s">
        <v>1350</v>
      </c>
      <c r="C842" t="s">
        <v>10</v>
      </c>
      <c r="E842" t="s">
        <v>1364</v>
      </c>
      <c r="F842" t="s">
        <v>1372</v>
      </c>
      <c r="G842">
        <v>-9129</v>
      </c>
    </row>
    <row r="843" spans="1:12" x14ac:dyDescent="0.25">
      <c r="A843" s="40">
        <v>45717.500648148147</v>
      </c>
      <c r="B843" t="s">
        <v>1350</v>
      </c>
      <c r="C843" t="s">
        <v>11</v>
      </c>
      <c r="E843" t="s">
        <v>1364</v>
      </c>
      <c r="F843" t="s">
        <v>1372</v>
      </c>
      <c r="G843">
        <v>-52</v>
      </c>
    </row>
    <row r="844" spans="1:12" x14ac:dyDescent="0.25">
      <c r="A844" s="40">
        <v>45717.500648148147</v>
      </c>
      <c r="B844" t="s">
        <v>1350</v>
      </c>
      <c r="C844" t="s">
        <v>14</v>
      </c>
      <c r="E844" t="s">
        <v>1364</v>
      </c>
      <c r="F844" t="s">
        <v>1372</v>
      </c>
      <c r="G844">
        <v>-110</v>
      </c>
    </row>
    <row r="845" spans="1:12" x14ac:dyDescent="0.25">
      <c r="A845" s="40">
        <v>45717.500648148147</v>
      </c>
      <c r="B845" t="s">
        <v>1350</v>
      </c>
      <c r="C845" t="s">
        <v>15</v>
      </c>
      <c r="E845" t="s">
        <v>1364</v>
      </c>
      <c r="F845" t="s">
        <v>1372</v>
      </c>
      <c r="G845">
        <v>-179</v>
      </c>
    </row>
    <row r="846" spans="1:12" x14ac:dyDescent="0.25">
      <c r="A846" s="40">
        <v>45717.500648148147</v>
      </c>
      <c r="B846" t="s">
        <v>1350</v>
      </c>
      <c r="C846" t="s">
        <v>20</v>
      </c>
      <c r="E846" t="s">
        <v>1364</v>
      </c>
      <c r="F846" t="s">
        <v>1372</v>
      </c>
      <c r="G846">
        <v>-728</v>
      </c>
    </row>
    <row r="847" spans="1:12" x14ac:dyDescent="0.25">
      <c r="A847" s="40">
        <v>45717.500648148147</v>
      </c>
      <c r="B847" t="s">
        <v>1350</v>
      </c>
      <c r="C847" t="s">
        <v>24</v>
      </c>
      <c r="E847" t="s">
        <v>1364</v>
      </c>
      <c r="F847" t="s">
        <v>1372</v>
      </c>
      <c r="G847">
        <v>-102</v>
      </c>
    </row>
    <row r="848" spans="1:12" x14ac:dyDescent="0.25">
      <c r="A848" s="40">
        <v>45717.500648148147</v>
      </c>
      <c r="B848" t="s">
        <v>1350</v>
      </c>
      <c r="C848" t="s">
        <v>25</v>
      </c>
      <c r="E848" t="s">
        <v>1364</v>
      </c>
      <c r="F848" t="s">
        <v>1372</v>
      </c>
      <c r="G848">
        <v>-110</v>
      </c>
    </row>
    <row r="849" spans="1:7" x14ac:dyDescent="0.25">
      <c r="A849" s="40">
        <v>45717.500648148147</v>
      </c>
      <c r="B849" t="s">
        <v>1350</v>
      </c>
      <c r="C849" t="s">
        <v>26</v>
      </c>
      <c r="E849" t="s">
        <v>1364</v>
      </c>
      <c r="F849" t="s">
        <v>1372</v>
      </c>
      <c r="G849">
        <v>-36</v>
      </c>
    </row>
    <row r="850" spans="1:7" x14ac:dyDescent="0.25">
      <c r="A850" s="40">
        <v>45717.500648148147</v>
      </c>
      <c r="B850" t="s">
        <v>1350</v>
      </c>
      <c r="C850" t="s">
        <v>27</v>
      </c>
      <c r="E850" t="s">
        <v>1364</v>
      </c>
      <c r="F850" t="s">
        <v>1372</v>
      </c>
      <c r="G850">
        <v>-426</v>
      </c>
    </row>
    <row r="851" spans="1:7" x14ac:dyDescent="0.25">
      <c r="A851" s="40">
        <v>45717.500648148147</v>
      </c>
      <c r="B851" t="s">
        <v>1350</v>
      </c>
      <c r="C851" t="s">
        <v>29</v>
      </c>
      <c r="E851" t="s">
        <v>1364</v>
      </c>
      <c r="F851" t="s">
        <v>1372</v>
      </c>
      <c r="G851">
        <v>-2552</v>
      </c>
    </row>
    <row r="852" spans="1:7" x14ac:dyDescent="0.25">
      <c r="A852" s="40">
        <v>45717.500648148147</v>
      </c>
      <c r="B852" t="s">
        <v>1350</v>
      </c>
      <c r="C852" t="s">
        <v>31</v>
      </c>
      <c r="E852" t="s">
        <v>1364</v>
      </c>
      <c r="F852" t="s">
        <v>1372</v>
      </c>
      <c r="G852">
        <v>-52</v>
      </c>
    </row>
    <row r="853" spans="1:7" x14ac:dyDescent="0.25">
      <c r="A853" s="40">
        <v>45717.500648148147</v>
      </c>
      <c r="B853" t="s">
        <v>1350</v>
      </c>
      <c r="C853" t="s">
        <v>32</v>
      </c>
      <c r="E853" t="s">
        <v>1364</v>
      </c>
      <c r="F853" t="s">
        <v>1372</v>
      </c>
      <c r="G853">
        <v>-68</v>
      </c>
    </row>
    <row r="854" spans="1:7" x14ac:dyDescent="0.25">
      <c r="A854" s="40">
        <v>45717.500648148147</v>
      </c>
      <c r="B854" t="s">
        <v>1350</v>
      </c>
      <c r="C854" t="s">
        <v>42</v>
      </c>
      <c r="E854" t="s">
        <v>1364</v>
      </c>
      <c r="F854" t="s">
        <v>1372</v>
      </c>
      <c r="G854">
        <v>-90</v>
      </c>
    </row>
    <row r="855" spans="1:7" x14ac:dyDescent="0.25">
      <c r="A855" s="40">
        <v>45717.500648148147</v>
      </c>
      <c r="B855" t="s">
        <v>1350</v>
      </c>
      <c r="C855" t="s">
        <v>47</v>
      </c>
      <c r="E855" t="s">
        <v>1364</v>
      </c>
      <c r="F855" t="s">
        <v>1372</v>
      </c>
      <c r="G855">
        <v>-94</v>
      </c>
    </row>
    <row r="856" spans="1:7" x14ac:dyDescent="0.25">
      <c r="A856" s="40">
        <v>45717.500648148147</v>
      </c>
      <c r="B856" t="s">
        <v>1350</v>
      </c>
      <c r="C856" t="s">
        <v>56</v>
      </c>
      <c r="E856" t="s">
        <v>1364</v>
      </c>
      <c r="F856" t="s">
        <v>1372</v>
      </c>
      <c r="G856">
        <v>-68</v>
      </c>
    </row>
    <row r="857" spans="1:7" x14ac:dyDescent="0.25">
      <c r="A857" s="40">
        <v>45717.500648148147</v>
      </c>
      <c r="B857" t="s">
        <v>1350</v>
      </c>
      <c r="C857" t="s">
        <v>57</v>
      </c>
      <c r="E857" t="s">
        <v>1364</v>
      </c>
      <c r="F857" t="s">
        <v>1372</v>
      </c>
      <c r="G857">
        <v>-187</v>
      </c>
    </row>
    <row r="858" spans="1:7" x14ac:dyDescent="0.25">
      <c r="A858" s="40">
        <v>45717.500648148147</v>
      </c>
      <c r="B858" t="s">
        <v>1350</v>
      </c>
      <c r="C858" t="s">
        <v>60</v>
      </c>
      <c r="E858" t="s">
        <v>1364</v>
      </c>
      <c r="F858" t="s">
        <v>1372</v>
      </c>
      <c r="G858">
        <v>-328</v>
      </c>
    </row>
    <row r="859" spans="1:7" x14ac:dyDescent="0.25">
      <c r="A859" s="40">
        <v>45717.500648148147</v>
      </c>
      <c r="B859" t="s">
        <v>1350</v>
      </c>
      <c r="C859" t="s">
        <v>62</v>
      </c>
      <c r="E859" t="s">
        <v>1364</v>
      </c>
      <c r="F859" t="s">
        <v>1372</v>
      </c>
      <c r="G859">
        <v>-36</v>
      </c>
    </row>
    <row r="860" spans="1:7" x14ac:dyDescent="0.25">
      <c r="A860" s="40">
        <v>45717.500648148147</v>
      </c>
      <c r="B860" t="s">
        <v>1350</v>
      </c>
      <c r="C860" t="s">
        <v>63</v>
      </c>
      <c r="E860" t="s">
        <v>1364</v>
      </c>
      <c r="F860" t="s">
        <v>1372</v>
      </c>
      <c r="G860">
        <v>-56</v>
      </c>
    </row>
    <row r="861" spans="1:7" x14ac:dyDescent="0.25">
      <c r="A861" s="40">
        <v>45717.500648148147</v>
      </c>
      <c r="B861" t="s">
        <v>1350</v>
      </c>
      <c r="C861" t="s">
        <v>69</v>
      </c>
      <c r="E861" t="s">
        <v>1364</v>
      </c>
      <c r="F861" t="s">
        <v>1372</v>
      </c>
      <c r="G861">
        <v>-482</v>
      </c>
    </row>
    <row r="862" spans="1:7" x14ac:dyDescent="0.25">
      <c r="A862" s="40">
        <v>45717.500648148147</v>
      </c>
      <c r="B862" t="s">
        <v>1350</v>
      </c>
      <c r="C862" t="s">
        <v>71</v>
      </c>
      <c r="E862" t="s">
        <v>1364</v>
      </c>
      <c r="F862" t="s">
        <v>1372</v>
      </c>
      <c r="G862">
        <v>-30</v>
      </c>
    </row>
    <row r="863" spans="1:7" x14ac:dyDescent="0.25">
      <c r="A863" s="40">
        <v>45717.500648148147</v>
      </c>
      <c r="B863" t="s">
        <v>1350</v>
      </c>
      <c r="C863" t="s">
        <v>75</v>
      </c>
      <c r="E863" t="s">
        <v>1364</v>
      </c>
      <c r="F863" t="s">
        <v>1372</v>
      </c>
      <c r="G863">
        <v>-94</v>
      </c>
    </row>
    <row r="864" spans="1:7" x14ac:dyDescent="0.25">
      <c r="A864" s="40">
        <v>45717.500648148147</v>
      </c>
      <c r="B864" t="s">
        <v>1350</v>
      </c>
      <c r="C864" t="s">
        <v>79</v>
      </c>
      <c r="E864" t="s">
        <v>1364</v>
      </c>
      <c r="F864" t="s">
        <v>1372</v>
      </c>
      <c r="G864">
        <v>-227</v>
      </c>
    </row>
    <row r="865" spans="1:7" x14ac:dyDescent="0.25">
      <c r="A865" s="40">
        <v>45717.500648148147</v>
      </c>
      <c r="B865" t="s">
        <v>1350</v>
      </c>
      <c r="C865" t="s">
        <v>101</v>
      </c>
      <c r="E865" t="s">
        <v>1364</v>
      </c>
      <c r="F865" t="s">
        <v>1372</v>
      </c>
      <c r="G865">
        <v>-36</v>
      </c>
    </row>
    <row r="866" spans="1:7" x14ac:dyDescent="0.25">
      <c r="A866" s="40">
        <v>45717.500648148147</v>
      </c>
      <c r="B866" t="s">
        <v>1350</v>
      </c>
      <c r="C866" t="s">
        <v>104</v>
      </c>
      <c r="E866" t="s">
        <v>1364</v>
      </c>
      <c r="F866" t="s">
        <v>1372</v>
      </c>
      <c r="G866">
        <v>-36</v>
      </c>
    </row>
    <row r="867" spans="1:7" x14ac:dyDescent="0.25">
      <c r="A867" s="40">
        <v>45717.500648148147</v>
      </c>
      <c r="B867" t="s">
        <v>1350</v>
      </c>
      <c r="C867" t="s">
        <v>418</v>
      </c>
      <c r="E867" t="s">
        <v>1364</v>
      </c>
      <c r="F867" t="s">
        <v>1372</v>
      </c>
      <c r="G867">
        <v>-370</v>
      </c>
    </row>
    <row r="868" spans="1:7" x14ac:dyDescent="0.25">
      <c r="A868" s="40">
        <v>45717.500648148147</v>
      </c>
      <c r="B868" t="s">
        <v>1350</v>
      </c>
      <c r="C868" t="s">
        <v>324</v>
      </c>
      <c r="E868" t="s">
        <v>1364</v>
      </c>
      <c r="F868" t="s">
        <v>1372</v>
      </c>
      <c r="G868">
        <v>-135</v>
      </c>
    </row>
    <row r="869" spans="1:7" x14ac:dyDescent="0.25">
      <c r="A869" s="40">
        <v>45717.500648148147</v>
      </c>
      <c r="B869" t="s">
        <v>1350</v>
      </c>
      <c r="C869" t="s">
        <v>326</v>
      </c>
      <c r="E869" t="s">
        <v>1364</v>
      </c>
      <c r="F869" t="s">
        <v>1372</v>
      </c>
      <c r="G869">
        <v>-60</v>
      </c>
    </row>
    <row r="870" spans="1:7" x14ac:dyDescent="0.25">
      <c r="A870" s="40">
        <v>45717.500648148147</v>
      </c>
      <c r="B870" t="s">
        <v>1350</v>
      </c>
      <c r="C870" t="s">
        <v>339</v>
      </c>
      <c r="E870" t="s">
        <v>1364</v>
      </c>
      <c r="F870" t="s">
        <v>1372</v>
      </c>
      <c r="G870">
        <v>-52</v>
      </c>
    </row>
    <row r="871" spans="1:7" x14ac:dyDescent="0.25">
      <c r="A871" s="40">
        <v>45717.500648148147</v>
      </c>
      <c r="B871" t="s">
        <v>1350</v>
      </c>
      <c r="C871" t="s">
        <v>337</v>
      </c>
      <c r="E871" t="s">
        <v>1364</v>
      </c>
      <c r="F871" t="s">
        <v>1372</v>
      </c>
      <c r="G871">
        <v>-36</v>
      </c>
    </row>
    <row r="872" spans="1:7" x14ac:dyDescent="0.25">
      <c r="A872" s="40">
        <v>45717.500648148147</v>
      </c>
      <c r="B872" t="s">
        <v>1350</v>
      </c>
      <c r="C872" t="s">
        <v>281</v>
      </c>
      <c r="E872" t="s">
        <v>1364</v>
      </c>
      <c r="F872" t="s">
        <v>1372</v>
      </c>
      <c r="G872">
        <v>-36</v>
      </c>
    </row>
    <row r="873" spans="1:7" x14ac:dyDescent="0.25">
      <c r="A873" s="40">
        <v>45717.500648148147</v>
      </c>
      <c r="B873" t="s">
        <v>1350</v>
      </c>
      <c r="C873" t="s">
        <v>296</v>
      </c>
      <c r="E873" t="s">
        <v>1364</v>
      </c>
      <c r="F873" t="s">
        <v>1372</v>
      </c>
      <c r="G873">
        <v>-179</v>
      </c>
    </row>
    <row r="874" spans="1:7" x14ac:dyDescent="0.25">
      <c r="A874" s="40">
        <v>45717.500648148147</v>
      </c>
      <c r="B874" t="s">
        <v>1350</v>
      </c>
      <c r="C874" t="s">
        <v>412</v>
      </c>
      <c r="E874" t="s">
        <v>1364</v>
      </c>
      <c r="F874" t="s">
        <v>1372</v>
      </c>
      <c r="G874">
        <v>-36</v>
      </c>
    </row>
    <row r="875" spans="1:7" x14ac:dyDescent="0.25">
      <c r="A875" s="40">
        <v>45717.500648148147</v>
      </c>
      <c r="B875" t="s">
        <v>1350</v>
      </c>
      <c r="C875" t="s">
        <v>279</v>
      </c>
      <c r="E875" t="s">
        <v>1364</v>
      </c>
      <c r="F875" t="s">
        <v>1372</v>
      </c>
      <c r="G875">
        <v>-68</v>
      </c>
    </row>
    <row r="876" spans="1:7" x14ac:dyDescent="0.25">
      <c r="A876" s="40">
        <v>45717.500648148147</v>
      </c>
      <c r="B876" t="s">
        <v>1350</v>
      </c>
      <c r="C876" t="s">
        <v>330</v>
      </c>
      <c r="E876" t="s">
        <v>1364</v>
      </c>
      <c r="F876" t="s">
        <v>1372</v>
      </c>
      <c r="G876">
        <v>-386</v>
      </c>
    </row>
    <row r="877" spans="1:7" x14ac:dyDescent="0.25">
      <c r="A877" s="40">
        <v>45717.500648148147</v>
      </c>
      <c r="B877" t="s">
        <v>1350</v>
      </c>
      <c r="C877" t="s">
        <v>343</v>
      </c>
      <c r="E877" t="s">
        <v>1364</v>
      </c>
      <c r="F877" t="s">
        <v>1372</v>
      </c>
      <c r="G877">
        <v>-1040</v>
      </c>
    </row>
    <row r="878" spans="1:7" x14ac:dyDescent="0.25">
      <c r="A878" s="40">
        <v>45717.500648148147</v>
      </c>
      <c r="B878" t="s">
        <v>1350</v>
      </c>
      <c r="C878" t="s">
        <v>435</v>
      </c>
      <c r="E878" t="s">
        <v>1364</v>
      </c>
      <c r="F878" t="s">
        <v>1372</v>
      </c>
      <c r="G878">
        <v>-94</v>
      </c>
    </row>
    <row r="879" spans="1:7" x14ac:dyDescent="0.25">
      <c r="A879" s="40">
        <v>45717.500648148147</v>
      </c>
      <c r="B879" t="s">
        <v>1350</v>
      </c>
      <c r="C879" t="s">
        <v>370</v>
      </c>
      <c r="E879" t="s">
        <v>1364</v>
      </c>
      <c r="F879" t="s">
        <v>1372</v>
      </c>
      <c r="G879">
        <v>-40</v>
      </c>
    </row>
    <row r="880" spans="1:7" x14ac:dyDescent="0.25">
      <c r="A880" s="40">
        <v>45717.500648148147</v>
      </c>
      <c r="B880" t="s">
        <v>1350</v>
      </c>
      <c r="C880" t="s">
        <v>1351</v>
      </c>
      <c r="E880" t="s">
        <v>1365</v>
      </c>
      <c r="F880" t="s">
        <v>1372</v>
      </c>
      <c r="G880">
        <v>-40</v>
      </c>
    </row>
    <row r="881" spans="1:12" x14ac:dyDescent="0.25">
      <c r="A881" s="40">
        <v>45726.387407407405</v>
      </c>
      <c r="B881" t="s">
        <v>1271</v>
      </c>
      <c r="C881" t="s">
        <v>1352</v>
      </c>
      <c r="E881" t="s">
        <v>1365</v>
      </c>
      <c r="F881" t="s">
        <v>695</v>
      </c>
      <c r="G881">
        <v>2500</v>
      </c>
      <c r="I881" t="s">
        <v>698</v>
      </c>
      <c r="L881">
        <v>227.49999999999997</v>
      </c>
    </row>
    <row r="882" spans="1:12" x14ac:dyDescent="0.25">
      <c r="A882" s="40">
        <v>45726.387407407405</v>
      </c>
      <c r="B882" t="s">
        <v>1271</v>
      </c>
      <c r="C882" t="s">
        <v>1353</v>
      </c>
      <c r="E882" t="s">
        <v>1365</v>
      </c>
      <c r="F882" t="s">
        <v>695</v>
      </c>
      <c r="G882">
        <v>2000</v>
      </c>
      <c r="H882">
        <v>2000</v>
      </c>
      <c r="I882" t="s">
        <v>698</v>
      </c>
      <c r="L882">
        <v>812</v>
      </c>
    </row>
    <row r="883" spans="1:12" x14ac:dyDescent="0.25">
      <c r="A883" s="40">
        <v>45726.393009259256</v>
      </c>
      <c r="B883" t="s">
        <v>1271</v>
      </c>
      <c r="C883" t="s">
        <v>1352</v>
      </c>
      <c r="E883" t="s">
        <v>1365</v>
      </c>
      <c r="F883" t="s">
        <v>1372</v>
      </c>
      <c r="G883">
        <v>-820</v>
      </c>
    </row>
    <row r="884" spans="1:12" x14ac:dyDescent="0.25">
      <c r="A884" s="40">
        <v>45726.393009259256</v>
      </c>
      <c r="B884" t="s">
        <v>1271</v>
      </c>
      <c r="C884" t="s">
        <v>1353</v>
      </c>
      <c r="E884" t="s">
        <v>1365</v>
      </c>
      <c r="F884" t="s">
        <v>1372</v>
      </c>
      <c r="G884">
        <v>-370</v>
      </c>
      <c r="H884">
        <v>1630</v>
      </c>
    </row>
    <row r="885" spans="1:12" x14ac:dyDescent="0.25">
      <c r="A885" s="40">
        <v>45726.406446759262</v>
      </c>
      <c r="B885" t="s">
        <v>1338</v>
      </c>
      <c r="C885" t="s">
        <v>1352</v>
      </c>
      <c r="E885" t="s">
        <v>1365</v>
      </c>
      <c r="F885" t="s">
        <v>1372</v>
      </c>
      <c r="G885">
        <v>-490</v>
      </c>
    </row>
    <row r="886" spans="1:12" x14ac:dyDescent="0.25">
      <c r="A886" s="40">
        <v>45726.406446759262</v>
      </c>
      <c r="B886" t="s">
        <v>1338</v>
      </c>
      <c r="C886" t="s">
        <v>1353</v>
      </c>
      <c r="E886" t="s">
        <v>1365</v>
      </c>
      <c r="F886" t="s">
        <v>1372</v>
      </c>
      <c r="G886">
        <v>-775</v>
      </c>
      <c r="H886">
        <v>855</v>
      </c>
    </row>
    <row r="887" spans="1:12" x14ac:dyDescent="0.25">
      <c r="A887" s="40">
        <v>45740.491180555553</v>
      </c>
      <c r="B887" t="s">
        <v>1356</v>
      </c>
      <c r="C887" t="s">
        <v>1</v>
      </c>
      <c r="E887" t="s">
        <v>1364</v>
      </c>
      <c r="F887" t="s">
        <v>1372</v>
      </c>
      <c r="G887">
        <v>-5280</v>
      </c>
    </row>
    <row r="888" spans="1:12" x14ac:dyDescent="0.25">
      <c r="A888" s="40">
        <v>45740.491180555553</v>
      </c>
      <c r="B888" t="s">
        <v>1356</v>
      </c>
      <c r="C888" t="s">
        <v>5</v>
      </c>
      <c r="E888" t="s">
        <v>1364</v>
      </c>
      <c r="F888" t="s">
        <v>1372</v>
      </c>
      <c r="G888">
        <v>-195</v>
      </c>
    </row>
    <row r="889" spans="1:12" x14ac:dyDescent="0.25">
      <c r="A889" s="40">
        <v>45740.491180555553</v>
      </c>
      <c r="B889" t="s">
        <v>1356</v>
      </c>
      <c r="C889" t="s">
        <v>7</v>
      </c>
      <c r="E889" t="s">
        <v>1364</v>
      </c>
      <c r="F889" t="s">
        <v>1372</v>
      </c>
      <c r="G889">
        <v>-1040</v>
      </c>
    </row>
    <row r="890" spans="1:12" x14ac:dyDescent="0.25">
      <c r="A890" s="40">
        <v>45740.491180555553</v>
      </c>
      <c r="B890" t="s">
        <v>1356</v>
      </c>
      <c r="C890" t="s">
        <v>8</v>
      </c>
      <c r="E890" t="s">
        <v>1364</v>
      </c>
      <c r="F890" t="s">
        <v>1372</v>
      </c>
      <c r="G890">
        <v>-1620</v>
      </c>
    </row>
    <row r="891" spans="1:12" x14ac:dyDescent="0.25">
      <c r="A891" s="40">
        <v>45740.491180555553</v>
      </c>
      <c r="B891" t="s">
        <v>1356</v>
      </c>
      <c r="C891" t="s">
        <v>11</v>
      </c>
      <c r="E891" t="s">
        <v>1364</v>
      </c>
      <c r="F891" t="s">
        <v>1372</v>
      </c>
      <c r="G891">
        <v>-110</v>
      </c>
    </row>
    <row r="892" spans="1:12" x14ac:dyDescent="0.25">
      <c r="A892" s="40">
        <v>45740.491180555553</v>
      </c>
      <c r="B892" t="s">
        <v>1356</v>
      </c>
      <c r="C892" t="s">
        <v>15</v>
      </c>
      <c r="E892" t="s">
        <v>1364</v>
      </c>
      <c r="F892" t="s">
        <v>1372</v>
      </c>
      <c r="G892">
        <v>-110</v>
      </c>
    </row>
    <row r="893" spans="1:12" x14ac:dyDescent="0.25">
      <c r="A893" s="40">
        <v>45740.491180555553</v>
      </c>
      <c r="B893" t="s">
        <v>1356</v>
      </c>
      <c r="C893" t="s">
        <v>16</v>
      </c>
      <c r="E893" t="s">
        <v>1364</v>
      </c>
      <c r="F893" t="s">
        <v>1372</v>
      </c>
      <c r="G893">
        <v>-370</v>
      </c>
    </row>
    <row r="894" spans="1:12" x14ac:dyDescent="0.25">
      <c r="A894" s="40">
        <v>45740.491180555553</v>
      </c>
      <c r="B894" t="s">
        <v>1356</v>
      </c>
      <c r="C894" t="s">
        <v>20</v>
      </c>
      <c r="E894" t="s">
        <v>1364</v>
      </c>
      <c r="F894" t="s">
        <v>1372</v>
      </c>
      <c r="G894">
        <v>-2200</v>
      </c>
    </row>
    <row r="895" spans="1:12" x14ac:dyDescent="0.25">
      <c r="A895" s="40">
        <v>45740.491180555553</v>
      </c>
      <c r="B895" t="s">
        <v>1356</v>
      </c>
      <c r="C895" t="s">
        <v>23</v>
      </c>
      <c r="E895" t="s">
        <v>1364</v>
      </c>
      <c r="F895" t="s">
        <v>1372</v>
      </c>
      <c r="G895">
        <v>-60</v>
      </c>
    </row>
    <row r="896" spans="1:12" x14ac:dyDescent="0.25">
      <c r="A896" s="40">
        <v>45740.491180555553</v>
      </c>
      <c r="B896" t="s">
        <v>1356</v>
      </c>
      <c r="C896" t="s">
        <v>26</v>
      </c>
      <c r="E896" t="s">
        <v>1364</v>
      </c>
      <c r="F896" t="s">
        <v>1372</v>
      </c>
      <c r="G896">
        <v>-110</v>
      </c>
    </row>
    <row r="897" spans="1:7" x14ac:dyDescent="0.25">
      <c r="A897" s="40">
        <v>45740.491180555553</v>
      </c>
      <c r="B897" t="s">
        <v>1356</v>
      </c>
      <c r="C897" t="s">
        <v>29</v>
      </c>
      <c r="E897" t="s">
        <v>1364</v>
      </c>
      <c r="F897" t="s">
        <v>1372</v>
      </c>
      <c r="G897">
        <v>-1420</v>
      </c>
    </row>
    <row r="898" spans="1:7" x14ac:dyDescent="0.25">
      <c r="A898" s="40">
        <v>45740.491180555553</v>
      </c>
      <c r="B898" t="s">
        <v>1356</v>
      </c>
      <c r="C898" t="s">
        <v>32</v>
      </c>
      <c r="E898" t="s">
        <v>1364</v>
      </c>
      <c r="F898" t="s">
        <v>1372</v>
      </c>
      <c r="G898">
        <v>-155</v>
      </c>
    </row>
    <row r="899" spans="1:7" x14ac:dyDescent="0.25">
      <c r="A899" s="40">
        <v>45740.491180555553</v>
      </c>
      <c r="B899" t="s">
        <v>1356</v>
      </c>
      <c r="C899" t="s">
        <v>47</v>
      </c>
      <c r="E899" t="s">
        <v>1364</v>
      </c>
      <c r="F899" t="s">
        <v>1372</v>
      </c>
      <c r="G899">
        <v>-660</v>
      </c>
    </row>
    <row r="900" spans="1:7" x14ac:dyDescent="0.25">
      <c r="A900" s="40">
        <v>45740.491180555553</v>
      </c>
      <c r="B900" t="s">
        <v>1356</v>
      </c>
      <c r="C900" t="s">
        <v>56</v>
      </c>
      <c r="E900" t="s">
        <v>1364</v>
      </c>
      <c r="F900" t="s">
        <v>1372</v>
      </c>
      <c r="G900">
        <v>-195</v>
      </c>
    </row>
    <row r="901" spans="1:7" x14ac:dyDescent="0.25">
      <c r="A901" s="40">
        <v>45740.491180555553</v>
      </c>
      <c r="B901" t="s">
        <v>1356</v>
      </c>
      <c r="C901" t="s">
        <v>57</v>
      </c>
      <c r="E901" t="s">
        <v>1364</v>
      </c>
      <c r="F901" t="s">
        <v>1372</v>
      </c>
      <c r="G901">
        <v>-110</v>
      </c>
    </row>
    <row r="902" spans="1:7" x14ac:dyDescent="0.25">
      <c r="A902" s="40">
        <v>45740.491180555553</v>
      </c>
      <c r="B902" t="s">
        <v>1356</v>
      </c>
      <c r="C902" t="s">
        <v>60</v>
      </c>
      <c r="E902" t="s">
        <v>1364</v>
      </c>
      <c r="F902" t="s">
        <v>1372</v>
      </c>
      <c r="G902">
        <v>-410</v>
      </c>
    </row>
    <row r="903" spans="1:7" x14ac:dyDescent="0.25">
      <c r="A903" s="40">
        <v>45740.491180555553</v>
      </c>
      <c r="B903" t="s">
        <v>1356</v>
      </c>
      <c r="C903" t="s">
        <v>62</v>
      </c>
      <c r="E903" t="s">
        <v>1364</v>
      </c>
      <c r="F903" t="s">
        <v>1372</v>
      </c>
      <c r="G903">
        <v>-110</v>
      </c>
    </row>
    <row r="904" spans="1:7" x14ac:dyDescent="0.25">
      <c r="A904" s="40">
        <v>45740.491180555553</v>
      </c>
      <c r="B904" t="s">
        <v>1356</v>
      </c>
      <c r="C904" t="s">
        <v>63</v>
      </c>
      <c r="E904" t="s">
        <v>1364</v>
      </c>
      <c r="F904" t="s">
        <v>1372</v>
      </c>
      <c r="G904">
        <v>-60</v>
      </c>
    </row>
    <row r="905" spans="1:7" x14ac:dyDescent="0.25">
      <c r="A905" s="40">
        <v>45740.491180555553</v>
      </c>
      <c r="B905" t="s">
        <v>1356</v>
      </c>
      <c r="C905" t="s">
        <v>64</v>
      </c>
      <c r="E905" t="s">
        <v>1364</v>
      </c>
      <c r="F905" t="s">
        <v>1372</v>
      </c>
      <c r="G905">
        <v>-195</v>
      </c>
    </row>
    <row r="906" spans="1:7" x14ac:dyDescent="0.25">
      <c r="A906" s="40">
        <v>45740.491180555553</v>
      </c>
      <c r="B906" t="s">
        <v>1356</v>
      </c>
      <c r="C906" t="s">
        <v>78</v>
      </c>
      <c r="E906" t="s">
        <v>1364</v>
      </c>
      <c r="F906" t="s">
        <v>1372</v>
      </c>
      <c r="G906">
        <v>-110</v>
      </c>
    </row>
    <row r="907" spans="1:7" x14ac:dyDescent="0.25">
      <c r="A907" s="40">
        <v>45740.491180555553</v>
      </c>
      <c r="B907" t="s">
        <v>1356</v>
      </c>
      <c r="C907" t="s">
        <v>89</v>
      </c>
      <c r="E907" t="s">
        <v>1364</v>
      </c>
      <c r="F907" t="s">
        <v>1372</v>
      </c>
      <c r="G907">
        <v>-280</v>
      </c>
    </row>
    <row r="908" spans="1:7" x14ac:dyDescent="0.25">
      <c r="A908" s="40">
        <v>45740.491180555553</v>
      </c>
      <c r="B908" t="s">
        <v>1356</v>
      </c>
      <c r="C908" t="s">
        <v>92</v>
      </c>
      <c r="E908" t="s">
        <v>1364</v>
      </c>
      <c r="F908" t="s">
        <v>1372</v>
      </c>
      <c r="G908">
        <v>-195</v>
      </c>
    </row>
    <row r="909" spans="1:7" x14ac:dyDescent="0.25">
      <c r="A909" s="40">
        <v>45740.491180555553</v>
      </c>
      <c r="B909" t="s">
        <v>1356</v>
      </c>
      <c r="C909" t="s">
        <v>229</v>
      </c>
      <c r="E909" t="s">
        <v>1364</v>
      </c>
      <c r="F909" t="s">
        <v>1372</v>
      </c>
      <c r="G909">
        <v>-280</v>
      </c>
    </row>
    <row r="910" spans="1:7" x14ac:dyDescent="0.25">
      <c r="A910" s="40">
        <v>45740.491180555553</v>
      </c>
      <c r="B910" t="s">
        <v>1356</v>
      </c>
      <c r="C910" t="s">
        <v>230</v>
      </c>
      <c r="E910" t="s">
        <v>1364</v>
      </c>
      <c r="F910" t="s">
        <v>1372</v>
      </c>
      <c r="G910">
        <v>-60</v>
      </c>
    </row>
    <row r="911" spans="1:7" x14ac:dyDescent="0.25">
      <c r="A911" s="40">
        <v>45740.491180555553</v>
      </c>
      <c r="B911" t="s">
        <v>1356</v>
      </c>
      <c r="C911" t="s">
        <v>328</v>
      </c>
      <c r="E911" t="s">
        <v>1364</v>
      </c>
      <c r="F911" t="s">
        <v>1372</v>
      </c>
      <c r="G911">
        <v>-110</v>
      </c>
    </row>
    <row r="912" spans="1:7" x14ac:dyDescent="0.25">
      <c r="A912" s="40">
        <v>45740.491180555553</v>
      </c>
      <c r="B912" t="s">
        <v>1356</v>
      </c>
      <c r="C912" t="s">
        <v>277</v>
      </c>
      <c r="E912" t="s">
        <v>1364</v>
      </c>
      <c r="F912" t="s">
        <v>1372</v>
      </c>
      <c r="G912">
        <v>-110</v>
      </c>
    </row>
    <row r="913" spans="1:7" x14ac:dyDescent="0.25">
      <c r="A913" s="40">
        <v>45740.491180555553</v>
      </c>
      <c r="B913" t="s">
        <v>1356</v>
      </c>
      <c r="C913" t="s">
        <v>260</v>
      </c>
      <c r="E913" t="s">
        <v>1364</v>
      </c>
      <c r="F913" t="s">
        <v>1372</v>
      </c>
      <c r="G913">
        <v>-110</v>
      </c>
    </row>
    <row r="914" spans="1:7" x14ac:dyDescent="0.25">
      <c r="A914" s="40">
        <v>45740.491180555553</v>
      </c>
      <c r="B914" t="s">
        <v>1356</v>
      </c>
      <c r="C914" t="s">
        <v>418</v>
      </c>
      <c r="E914" t="s">
        <v>1364</v>
      </c>
      <c r="F914" t="s">
        <v>1372</v>
      </c>
      <c r="G914">
        <v>-960</v>
      </c>
    </row>
    <row r="915" spans="1:7" x14ac:dyDescent="0.25">
      <c r="A915" s="40">
        <v>45740.491180555553</v>
      </c>
      <c r="B915" t="s">
        <v>1356</v>
      </c>
      <c r="C915" t="s">
        <v>322</v>
      </c>
      <c r="E915" t="s">
        <v>1364</v>
      </c>
      <c r="F915" t="s">
        <v>1372</v>
      </c>
      <c r="G915">
        <v>-195</v>
      </c>
    </row>
    <row r="916" spans="1:7" x14ac:dyDescent="0.25">
      <c r="A916" s="40">
        <v>45740.491180555553</v>
      </c>
      <c r="B916" t="s">
        <v>1356</v>
      </c>
      <c r="C916" t="s">
        <v>339</v>
      </c>
      <c r="E916" t="s">
        <v>1364</v>
      </c>
      <c r="F916" t="s">
        <v>1372</v>
      </c>
      <c r="G916">
        <v>-110</v>
      </c>
    </row>
    <row r="917" spans="1:7" x14ac:dyDescent="0.25">
      <c r="A917" s="40">
        <v>45740.491180555553</v>
      </c>
      <c r="B917" t="s">
        <v>1356</v>
      </c>
      <c r="C917" t="s">
        <v>364</v>
      </c>
      <c r="E917" t="s">
        <v>1364</v>
      </c>
      <c r="F917" t="s">
        <v>1372</v>
      </c>
      <c r="G917">
        <v>-60</v>
      </c>
    </row>
    <row r="918" spans="1:7" x14ac:dyDescent="0.25">
      <c r="A918" s="40">
        <v>45740.491180555553</v>
      </c>
      <c r="B918" t="s">
        <v>1356</v>
      </c>
      <c r="C918" t="s">
        <v>437</v>
      </c>
      <c r="E918" t="s">
        <v>1364</v>
      </c>
      <c r="F918" t="s">
        <v>1372</v>
      </c>
      <c r="G918">
        <v>-110</v>
      </c>
    </row>
    <row r="919" spans="1:7" x14ac:dyDescent="0.25">
      <c r="A919" s="40">
        <v>45740.491180555553</v>
      </c>
      <c r="B919" t="s">
        <v>1356</v>
      </c>
      <c r="C919" t="s">
        <v>412</v>
      </c>
      <c r="E919" t="s">
        <v>1364</v>
      </c>
      <c r="F919" t="s">
        <v>1372</v>
      </c>
      <c r="G919">
        <v>-155</v>
      </c>
    </row>
    <row r="920" spans="1:7" x14ac:dyDescent="0.25">
      <c r="A920" s="40">
        <v>45740.491180555553</v>
      </c>
      <c r="B920" t="s">
        <v>1356</v>
      </c>
      <c r="C920" t="s">
        <v>302</v>
      </c>
      <c r="E920" t="s">
        <v>1364</v>
      </c>
      <c r="F920" t="s">
        <v>1372</v>
      </c>
      <c r="G920">
        <v>-110</v>
      </c>
    </row>
    <row r="921" spans="1:7" x14ac:dyDescent="0.25">
      <c r="A921" s="40">
        <v>45740.491180555553</v>
      </c>
      <c r="B921" t="s">
        <v>1356</v>
      </c>
      <c r="C921" t="s">
        <v>275</v>
      </c>
      <c r="E921" t="s">
        <v>1364</v>
      </c>
      <c r="F921" t="s">
        <v>1372</v>
      </c>
      <c r="G921">
        <v>-110</v>
      </c>
    </row>
    <row r="922" spans="1:7" x14ac:dyDescent="0.25">
      <c r="A922" s="40">
        <v>45740.491180555553</v>
      </c>
      <c r="B922" t="s">
        <v>1356</v>
      </c>
      <c r="C922" t="s">
        <v>330</v>
      </c>
      <c r="E922" t="s">
        <v>1364</v>
      </c>
      <c r="F922" t="s">
        <v>1372</v>
      </c>
      <c r="G922">
        <v>-580</v>
      </c>
    </row>
    <row r="923" spans="1:7" x14ac:dyDescent="0.25">
      <c r="A923" s="40">
        <v>45740.491180555553</v>
      </c>
      <c r="B923" t="s">
        <v>1356</v>
      </c>
      <c r="C923" t="s">
        <v>343</v>
      </c>
      <c r="E923" t="s">
        <v>1364</v>
      </c>
      <c r="F923" t="s">
        <v>1372</v>
      </c>
      <c r="G923">
        <v>-580</v>
      </c>
    </row>
    <row r="924" spans="1:7" x14ac:dyDescent="0.25">
      <c r="A924" s="40">
        <v>45740.491180555553</v>
      </c>
      <c r="B924" t="s">
        <v>1356</v>
      </c>
      <c r="C924" t="s">
        <v>458</v>
      </c>
      <c r="E924" t="s">
        <v>1364</v>
      </c>
      <c r="F924" t="s">
        <v>1372</v>
      </c>
      <c r="G924">
        <v>-110</v>
      </c>
    </row>
    <row r="925" spans="1:7" x14ac:dyDescent="0.25">
      <c r="A925" s="40">
        <v>45740.491180555553</v>
      </c>
      <c r="B925" t="s">
        <v>1356</v>
      </c>
      <c r="C925" t="s">
        <v>443</v>
      </c>
      <c r="E925" t="s">
        <v>1364</v>
      </c>
      <c r="F925" t="s">
        <v>1372</v>
      </c>
      <c r="G925">
        <v>-155</v>
      </c>
    </row>
    <row r="926" spans="1:7" x14ac:dyDescent="0.25">
      <c r="A926" s="40">
        <v>45740.491180555553</v>
      </c>
      <c r="B926" t="s">
        <v>1356</v>
      </c>
      <c r="C926" t="s">
        <v>333</v>
      </c>
      <c r="E926" t="s">
        <v>1364</v>
      </c>
      <c r="F926" t="s">
        <v>1372</v>
      </c>
      <c r="G926">
        <v>-110</v>
      </c>
    </row>
    <row r="927" spans="1:7" x14ac:dyDescent="0.25">
      <c r="A927" s="40">
        <v>45740.491180555553</v>
      </c>
      <c r="B927" t="s">
        <v>1356</v>
      </c>
      <c r="C927" t="s">
        <v>460</v>
      </c>
      <c r="E927" t="s">
        <v>1364</v>
      </c>
      <c r="F927" t="s">
        <v>1372</v>
      </c>
      <c r="G927">
        <v>-490</v>
      </c>
    </row>
    <row r="928" spans="1:7" x14ac:dyDescent="0.25">
      <c r="A928" s="40">
        <v>45740.491180555553</v>
      </c>
      <c r="B928" t="s">
        <v>1356</v>
      </c>
      <c r="C928" t="s">
        <v>435</v>
      </c>
      <c r="E928" t="s">
        <v>1364</v>
      </c>
      <c r="F928" t="s">
        <v>1372</v>
      </c>
      <c r="G928">
        <v>-110</v>
      </c>
    </row>
    <row r="929" spans="1:12" x14ac:dyDescent="0.25">
      <c r="A929" s="40">
        <v>45740.491180555553</v>
      </c>
      <c r="B929" t="s">
        <v>1356</v>
      </c>
      <c r="C929" t="s">
        <v>370</v>
      </c>
      <c r="E929" t="s">
        <v>1364</v>
      </c>
      <c r="F929" t="s">
        <v>1372</v>
      </c>
      <c r="G929">
        <v>-240</v>
      </c>
    </row>
    <row r="930" spans="1:12" x14ac:dyDescent="0.25">
      <c r="A930" s="40">
        <v>45740.491180555553</v>
      </c>
      <c r="B930" t="s">
        <v>1356</v>
      </c>
      <c r="C930" t="s">
        <v>1352</v>
      </c>
      <c r="E930" t="s">
        <v>1365</v>
      </c>
      <c r="F930" t="s">
        <v>1372</v>
      </c>
      <c r="G930">
        <v>-1755</v>
      </c>
    </row>
    <row r="931" spans="1:12" x14ac:dyDescent="0.25">
      <c r="A931" s="40">
        <v>45742.526608796295</v>
      </c>
      <c r="B931" t="s">
        <v>1356</v>
      </c>
      <c r="C931" t="s">
        <v>7</v>
      </c>
      <c r="E931" t="s">
        <v>1364</v>
      </c>
      <c r="F931" t="s">
        <v>695</v>
      </c>
      <c r="G931">
        <v>12000</v>
      </c>
      <c r="I931" t="s">
        <v>696</v>
      </c>
      <c r="L931">
        <v>68.88</v>
      </c>
    </row>
    <row r="932" spans="1:12" x14ac:dyDescent="0.25">
      <c r="A932" s="40">
        <v>45742.526608796295</v>
      </c>
      <c r="B932" t="s">
        <v>1356</v>
      </c>
      <c r="C932" t="s">
        <v>10</v>
      </c>
      <c r="E932" t="s">
        <v>1364</v>
      </c>
      <c r="F932" t="s">
        <v>695</v>
      </c>
      <c r="G932">
        <v>5000</v>
      </c>
      <c r="I932" t="s">
        <v>1409</v>
      </c>
      <c r="L932">
        <v>140</v>
      </c>
    </row>
    <row r="933" spans="1:12" x14ac:dyDescent="0.25">
      <c r="A933" s="40">
        <v>45742.526608796295</v>
      </c>
      <c r="B933" t="s">
        <v>1356</v>
      </c>
      <c r="C933" t="s">
        <v>18</v>
      </c>
      <c r="E933" t="s">
        <v>1364</v>
      </c>
      <c r="F933" t="s">
        <v>695</v>
      </c>
      <c r="G933">
        <v>10000</v>
      </c>
      <c r="I933" t="s">
        <v>696</v>
      </c>
      <c r="L933">
        <v>9.7999999999999989</v>
      </c>
    </row>
    <row r="934" spans="1:12" x14ac:dyDescent="0.25">
      <c r="A934" s="40">
        <v>45742.526608796295</v>
      </c>
      <c r="B934" t="s">
        <v>1356</v>
      </c>
      <c r="C934" t="s">
        <v>27</v>
      </c>
      <c r="E934" t="s">
        <v>1364</v>
      </c>
      <c r="F934" t="s">
        <v>695</v>
      </c>
      <c r="G934">
        <v>10000</v>
      </c>
      <c r="I934" t="s">
        <v>696</v>
      </c>
      <c r="L934">
        <v>8.3999999999999986</v>
      </c>
    </row>
    <row r="935" spans="1:12" x14ac:dyDescent="0.25">
      <c r="A935" s="40">
        <v>45742.526608796295</v>
      </c>
      <c r="B935" t="s">
        <v>1356</v>
      </c>
      <c r="C935" t="s">
        <v>47</v>
      </c>
      <c r="E935" t="s">
        <v>1364</v>
      </c>
      <c r="F935" t="s">
        <v>695</v>
      </c>
      <c r="G935">
        <v>25000</v>
      </c>
    </row>
    <row r="936" spans="1:12" x14ac:dyDescent="0.25">
      <c r="A936" s="40">
        <v>45742.526608796295</v>
      </c>
      <c r="B936" t="s">
        <v>1356</v>
      </c>
      <c r="C936" t="s">
        <v>68</v>
      </c>
      <c r="E936" t="s">
        <v>1364</v>
      </c>
      <c r="F936" t="s">
        <v>695</v>
      </c>
      <c r="G936">
        <v>3000</v>
      </c>
      <c r="I936" t="s">
        <v>696</v>
      </c>
      <c r="L936">
        <v>72.66</v>
      </c>
    </row>
    <row r="937" spans="1:12" x14ac:dyDescent="0.25">
      <c r="A937" s="40">
        <v>45742.526608796295</v>
      </c>
      <c r="B937" t="s">
        <v>1356</v>
      </c>
      <c r="C937" t="s">
        <v>69</v>
      </c>
      <c r="E937" t="s">
        <v>1364</v>
      </c>
      <c r="F937" t="s">
        <v>695</v>
      </c>
      <c r="G937">
        <v>3000</v>
      </c>
      <c r="I937" t="s">
        <v>1409</v>
      </c>
      <c r="L937">
        <v>168</v>
      </c>
    </row>
    <row r="938" spans="1:12" x14ac:dyDescent="0.25">
      <c r="A938" s="40">
        <v>45742.526608796295</v>
      </c>
      <c r="B938" t="s">
        <v>1356</v>
      </c>
      <c r="C938" t="s">
        <v>335</v>
      </c>
      <c r="E938" t="s">
        <v>1364</v>
      </c>
      <c r="F938" t="s">
        <v>695</v>
      </c>
      <c r="G938">
        <v>3000</v>
      </c>
      <c r="I938" t="s">
        <v>1409</v>
      </c>
      <c r="L938">
        <v>281.39999999999998</v>
      </c>
    </row>
    <row r="939" spans="1:12" x14ac:dyDescent="0.25">
      <c r="A939" s="40">
        <v>45742.528865740744</v>
      </c>
      <c r="B939" t="s">
        <v>1356</v>
      </c>
      <c r="C939" t="s">
        <v>10</v>
      </c>
      <c r="E939" t="s">
        <v>1364</v>
      </c>
      <c r="F939" t="s">
        <v>1372</v>
      </c>
      <c r="G939">
        <v>-110</v>
      </c>
    </row>
    <row r="940" spans="1:12" x14ac:dyDescent="0.25">
      <c r="A940" s="40">
        <v>45742.528865740744</v>
      </c>
      <c r="B940" t="s">
        <v>1356</v>
      </c>
      <c r="C940" t="s">
        <v>18</v>
      </c>
      <c r="E940" t="s">
        <v>1364</v>
      </c>
      <c r="F940" t="s">
        <v>1372</v>
      </c>
      <c r="G940">
        <v>-620</v>
      </c>
    </row>
    <row r="941" spans="1:12" x14ac:dyDescent="0.25">
      <c r="A941" s="40">
        <v>45742.528865740744</v>
      </c>
      <c r="B941" t="s">
        <v>1356</v>
      </c>
      <c r="C941" t="s">
        <v>27</v>
      </c>
      <c r="E941" t="s">
        <v>1364</v>
      </c>
      <c r="F941" t="s">
        <v>1372</v>
      </c>
      <c r="G941">
        <v>-3940</v>
      </c>
    </row>
    <row r="942" spans="1:12" x14ac:dyDescent="0.25">
      <c r="A942" s="40">
        <v>45742.528865740744</v>
      </c>
      <c r="B942" t="s">
        <v>1356</v>
      </c>
      <c r="C942" t="s">
        <v>68</v>
      </c>
      <c r="E942" t="s">
        <v>1364</v>
      </c>
      <c r="F942" t="s">
        <v>1372</v>
      </c>
      <c r="G942">
        <v>-1100</v>
      </c>
    </row>
    <row r="943" spans="1:12" x14ac:dyDescent="0.25">
      <c r="A943" s="40">
        <v>45742.528865740744</v>
      </c>
      <c r="B943" t="s">
        <v>1356</v>
      </c>
      <c r="C943" t="s">
        <v>69</v>
      </c>
      <c r="E943" t="s">
        <v>1364</v>
      </c>
      <c r="F943" t="s">
        <v>1372</v>
      </c>
      <c r="G943">
        <v>-1040</v>
      </c>
    </row>
    <row r="944" spans="1:12" x14ac:dyDescent="0.25">
      <c r="A944" s="40">
        <v>45742.528865740744</v>
      </c>
      <c r="B944" t="s">
        <v>1356</v>
      </c>
      <c r="C944" t="s">
        <v>335</v>
      </c>
      <c r="E944" t="s">
        <v>1364</v>
      </c>
      <c r="F944" t="s">
        <v>1372</v>
      </c>
      <c r="G944">
        <v>-60</v>
      </c>
    </row>
    <row r="945" spans="1:7" x14ac:dyDescent="0.25">
      <c r="A945" s="40">
        <v>45745.361909722225</v>
      </c>
      <c r="B945" t="s">
        <v>1357</v>
      </c>
      <c r="C945" t="s">
        <v>1</v>
      </c>
      <c r="E945" t="s">
        <v>1364</v>
      </c>
      <c r="F945" t="s">
        <v>1372</v>
      </c>
      <c r="G945">
        <v>-1850</v>
      </c>
    </row>
    <row r="946" spans="1:7" x14ac:dyDescent="0.25">
      <c r="A946" s="40">
        <v>45745.361909722225</v>
      </c>
      <c r="B946" t="s">
        <v>1357</v>
      </c>
      <c r="C946" t="s">
        <v>7</v>
      </c>
      <c r="E946" t="s">
        <v>1364</v>
      </c>
      <c r="F946" t="s">
        <v>1372</v>
      </c>
      <c r="G946">
        <v>-94</v>
      </c>
    </row>
    <row r="947" spans="1:7" x14ac:dyDescent="0.25">
      <c r="A947" s="40">
        <v>45745.361909722225</v>
      </c>
      <c r="B947" t="s">
        <v>1357</v>
      </c>
      <c r="C947" t="s">
        <v>14</v>
      </c>
      <c r="E947" t="s">
        <v>1364</v>
      </c>
      <c r="F947" t="s">
        <v>1372</v>
      </c>
      <c r="G947">
        <v>-414</v>
      </c>
    </row>
    <row r="948" spans="1:7" x14ac:dyDescent="0.25">
      <c r="A948" s="40">
        <v>45745.361909722225</v>
      </c>
      <c r="B948" t="s">
        <v>1357</v>
      </c>
      <c r="C948" t="s">
        <v>15</v>
      </c>
      <c r="E948" t="s">
        <v>1364</v>
      </c>
      <c r="F948" t="s">
        <v>1372</v>
      </c>
      <c r="G948">
        <v>-68</v>
      </c>
    </row>
    <row r="949" spans="1:7" x14ac:dyDescent="0.25">
      <c r="A949" s="40">
        <v>45745.361909722225</v>
      </c>
      <c r="B949" t="s">
        <v>1357</v>
      </c>
      <c r="C949" t="s">
        <v>18</v>
      </c>
      <c r="E949" t="s">
        <v>1364</v>
      </c>
      <c r="F949" t="s">
        <v>1372</v>
      </c>
      <c r="G949">
        <v>-201</v>
      </c>
    </row>
    <row r="950" spans="1:7" x14ac:dyDescent="0.25">
      <c r="A950" s="40">
        <v>45745.361909722225</v>
      </c>
      <c r="B950" t="s">
        <v>1357</v>
      </c>
      <c r="C950" t="s">
        <v>20</v>
      </c>
      <c r="E950" t="s">
        <v>1364</v>
      </c>
      <c r="F950" t="s">
        <v>1372</v>
      </c>
      <c r="G950">
        <v>-126</v>
      </c>
    </row>
    <row r="951" spans="1:7" x14ac:dyDescent="0.25">
      <c r="A951" s="40">
        <v>45745.361909722225</v>
      </c>
      <c r="B951" t="s">
        <v>1357</v>
      </c>
      <c r="C951" t="s">
        <v>24</v>
      </c>
      <c r="E951" t="s">
        <v>1364</v>
      </c>
      <c r="F951" t="s">
        <v>1372</v>
      </c>
      <c r="G951">
        <v>-126</v>
      </c>
    </row>
    <row r="952" spans="1:7" x14ac:dyDescent="0.25">
      <c r="A952" s="40">
        <v>45745.361909722225</v>
      </c>
      <c r="B952" t="s">
        <v>1357</v>
      </c>
      <c r="C952" t="s">
        <v>25</v>
      </c>
      <c r="E952" t="s">
        <v>1364</v>
      </c>
      <c r="F952" t="s">
        <v>1372</v>
      </c>
      <c r="G952">
        <v>-724</v>
      </c>
    </row>
    <row r="953" spans="1:7" x14ac:dyDescent="0.25">
      <c r="A953" s="40">
        <v>45745.361909722225</v>
      </c>
      <c r="B953" t="s">
        <v>1357</v>
      </c>
      <c r="C953" t="s">
        <v>27</v>
      </c>
      <c r="E953" t="s">
        <v>1364</v>
      </c>
      <c r="F953" t="s">
        <v>1372</v>
      </c>
      <c r="G953">
        <v>-526</v>
      </c>
    </row>
    <row r="954" spans="1:7" x14ac:dyDescent="0.25">
      <c r="A954" s="40">
        <v>45745.361909722225</v>
      </c>
      <c r="B954" t="s">
        <v>1357</v>
      </c>
      <c r="C954" t="s">
        <v>30</v>
      </c>
      <c r="E954" t="s">
        <v>1364</v>
      </c>
      <c r="F954" t="s">
        <v>1372</v>
      </c>
      <c r="G954">
        <v>-36</v>
      </c>
    </row>
    <row r="955" spans="1:7" x14ac:dyDescent="0.25">
      <c r="A955" s="40">
        <v>45745.361909722225</v>
      </c>
      <c r="B955" t="s">
        <v>1357</v>
      </c>
      <c r="C955" t="s">
        <v>47</v>
      </c>
      <c r="E955" t="s">
        <v>1364</v>
      </c>
      <c r="F955" t="s">
        <v>1372</v>
      </c>
      <c r="G955">
        <v>-756</v>
      </c>
    </row>
    <row r="956" spans="1:7" x14ac:dyDescent="0.25">
      <c r="A956" s="40">
        <v>45745.361909722225</v>
      </c>
      <c r="B956" t="s">
        <v>1357</v>
      </c>
      <c r="C956" t="s">
        <v>63</v>
      </c>
      <c r="E956" t="s">
        <v>1364</v>
      </c>
      <c r="F956" t="s">
        <v>1372</v>
      </c>
      <c r="G956">
        <v>-398</v>
      </c>
    </row>
    <row r="957" spans="1:7" x14ac:dyDescent="0.25">
      <c r="A957" s="40">
        <v>45745.361909722225</v>
      </c>
      <c r="B957" t="s">
        <v>1357</v>
      </c>
      <c r="C957" t="s">
        <v>68</v>
      </c>
      <c r="E957" t="s">
        <v>1364</v>
      </c>
      <c r="F957" t="s">
        <v>1372</v>
      </c>
      <c r="G957">
        <v>-36</v>
      </c>
    </row>
    <row r="958" spans="1:7" x14ac:dyDescent="0.25">
      <c r="A958" s="40">
        <v>45745.361909722225</v>
      </c>
      <c r="B958" t="s">
        <v>1357</v>
      </c>
      <c r="C958" t="s">
        <v>324</v>
      </c>
      <c r="E958" t="s">
        <v>1364</v>
      </c>
      <c r="F958" t="s">
        <v>1372</v>
      </c>
      <c r="G958">
        <v>-36</v>
      </c>
    </row>
    <row r="959" spans="1:7" x14ac:dyDescent="0.25">
      <c r="A959" s="40">
        <v>45745.361909722225</v>
      </c>
      <c r="B959" t="s">
        <v>1357</v>
      </c>
      <c r="C959" t="s">
        <v>326</v>
      </c>
      <c r="E959" t="s">
        <v>1364</v>
      </c>
      <c r="F959" t="s">
        <v>1372</v>
      </c>
      <c r="G959">
        <v>-217</v>
      </c>
    </row>
    <row r="960" spans="1:7" x14ac:dyDescent="0.25">
      <c r="A960" s="40">
        <v>45745.361909722225</v>
      </c>
      <c r="B960" t="s">
        <v>1357</v>
      </c>
      <c r="C960" t="s">
        <v>281</v>
      </c>
      <c r="E960" t="s">
        <v>1364</v>
      </c>
      <c r="F960" t="s">
        <v>1372</v>
      </c>
      <c r="G960">
        <v>-52</v>
      </c>
    </row>
    <row r="961" spans="1:12" x14ac:dyDescent="0.25">
      <c r="A961" s="40">
        <v>45745.361909722225</v>
      </c>
      <c r="B961" t="s">
        <v>1357</v>
      </c>
      <c r="C961" t="s">
        <v>479</v>
      </c>
      <c r="E961" t="s">
        <v>1364</v>
      </c>
      <c r="F961" t="s">
        <v>1372</v>
      </c>
      <c r="G961">
        <v>-94</v>
      </c>
    </row>
    <row r="962" spans="1:12" x14ac:dyDescent="0.25">
      <c r="A962" s="40">
        <v>45745.361909722225</v>
      </c>
      <c r="B962" t="s">
        <v>1357</v>
      </c>
      <c r="C962" t="s">
        <v>443</v>
      </c>
      <c r="E962" t="s">
        <v>1364</v>
      </c>
      <c r="F962" t="s">
        <v>1372</v>
      </c>
      <c r="G962">
        <v>-68</v>
      </c>
    </row>
    <row r="963" spans="1:12" x14ac:dyDescent="0.25">
      <c r="A963" s="40">
        <v>45745.361909722225</v>
      </c>
      <c r="B963" t="s">
        <v>1357</v>
      </c>
      <c r="C963" t="s">
        <v>370</v>
      </c>
      <c r="E963" t="s">
        <v>1364</v>
      </c>
      <c r="F963" t="s">
        <v>1372</v>
      </c>
      <c r="G963">
        <v>-36</v>
      </c>
    </row>
    <row r="964" spans="1:12" x14ac:dyDescent="0.25">
      <c r="A964" s="40">
        <v>45749</v>
      </c>
      <c r="B964" t="s">
        <v>1380</v>
      </c>
      <c r="C964" t="s">
        <v>1472</v>
      </c>
      <c r="E964" t="s">
        <v>1365</v>
      </c>
      <c r="F964" t="s">
        <v>695</v>
      </c>
      <c r="G964">
        <v>30</v>
      </c>
      <c r="I964" t="s">
        <v>1316</v>
      </c>
      <c r="K964" t="s">
        <v>1477</v>
      </c>
      <c r="L964" s="35">
        <v>6281.4</v>
      </c>
    </row>
    <row r="965" spans="1:12" x14ac:dyDescent="0.25">
      <c r="A965" s="40">
        <v>45750.438009259262</v>
      </c>
      <c r="B965" t="s">
        <v>1358</v>
      </c>
      <c r="C965" t="s">
        <v>1</v>
      </c>
      <c r="E965" t="s">
        <v>1364</v>
      </c>
      <c r="F965" t="s">
        <v>1372</v>
      </c>
      <c r="G965">
        <v>-135</v>
      </c>
    </row>
    <row r="966" spans="1:12" x14ac:dyDescent="0.25">
      <c r="A966" s="40">
        <v>45750.438009259262</v>
      </c>
      <c r="B966" t="s">
        <v>1358</v>
      </c>
      <c r="C966" t="s">
        <v>2</v>
      </c>
      <c r="E966" t="s">
        <v>1364</v>
      </c>
      <c r="F966" t="s">
        <v>1372</v>
      </c>
      <c r="G966">
        <v>-70</v>
      </c>
    </row>
    <row r="967" spans="1:12" x14ac:dyDescent="0.25">
      <c r="A967" s="40">
        <v>45750.438009259262</v>
      </c>
      <c r="B967" t="s">
        <v>1358</v>
      </c>
      <c r="C967" t="s">
        <v>3</v>
      </c>
      <c r="E967" t="s">
        <v>1364</v>
      </c>
      <c r="F967" t="s">
        <v>1372</v>
      </c>
      <c r="G967">
        <v>-350</v>
      </c>
    </row>
    <row r="968" spans="1:12" x14ac:dyDescent="0.25">
      <c r="A968" s="40">
        <v>45750.438009259262</v>
      </c>
      <c r="B968" t="s">
        <v>1358</v>
      </c>
      <c r="C968" t="s">
        <v>5</v>
      </c>
      <c r="E968" t="s">
        <v>1364</v>
      </c>
      <c r="F968" t="s">
        <v>1372</v>
      </c>
      <c r="G968">
        <v>-70</v>
      </c>
    </row>
    <row r="969" spans="1:12" x14ac:dyDescent="0.25">
      <c r="A969" s="40">
        <v>45750.438009259262</v>
      </c>
      <c r="B969" t="s">
        <v>1358</v>
      </c>
      <c r="C969" t="s">
        <v>10</v>
      </c>
      <c r="E969" t="s">
        <v>1364</v>
      </c>
      <c r="F969" t="s">
        <v>1372</v>
      </c>
      <c r="G969">
        <v>-400</v>
      </c>
    </row>
    <row r="970" spans="1:12" x14ac:dyDescent="0.25">
      <c r="A970" s="40">
        <v>45750.438009259262</v>
      </c>
      <c r="B970" t="s">
        <v>1358</v>
      </c>
      <c r="C970" t="s">
        <v>26</v>
      </c>
      <c r="E970" t="s">
        <v>1364</v>
      </c>
      <c r="F970" t="s">
        <v>1372</v>
      </c>
      <c r="G970">
        <v>-70</v>
      </c>
    </row>
    <row r="971" spans="1:12" x14ac:dyDescent="0.25">
      <c r="A971" s="40">
        <v>45750.438009259262</v>
      </c>
      <c r="B971" t="s">
        <v>1358</v>
      </c>
      <c r="C971" t="s">
        <v>34</v>
      </c>
      <c r="E971" t="s">
        <v>1364</v>
      </c>
      <c r="F971" t="s">
        <v>1372</v>
      </c>
      <c r="G971">
        <v>-185</v>
      </c>
    </row>
    <row r="972" spans="1:12" x14ac:dyDescent="0.25">
      <c r="A972" s="40">
        <v>45750.438009259262</v>
      </c>
      <c r="B972" t="s">
        <v>1358</v>
      </c>
      <c r="C972" t="s">
        <v>35</v>
      </c>
      <c r="E972" t="s">
        <v>1364</v>
      </c>
      <c r="F972" t="s">
        <v>1372</v>
      </c>
      <c r="G972">
        <v>-350</v>
      </c>
    </row>
    <row r="973" spans="1:12" x14ac:dyDescent="0.25">
      <c r="A973" s="40">
        <v>45750.438009259262</v>
      </c>
      <c r="B973" t="s">
        <v>1358</v>
      </c>
      <c r="C973" t="s">
        <v>36</v>
      </c>
      <c r="E973" t="s">
        <v>1364</v>
      </c>
      <c r="F973" t="s">
        <v>1372</v>
      </c>
      <c r="G973">
        <v>-450</v>
      </c>
    </row>
    <row r="974" spans="1:12" x14ac:dyDescent="0.25">
      <c r="A974" s="40">
        <v>45750.438009259262</v>
      </c>
      <c r="B974" t="s">
        <v>1358</v>
      </c>
      <c r="C974" t="s">
        <v>37</v>
      </c>
      <c r="E974" t="s">
        <v>1364</v>
      </c>
      <c r="F974" t="s">
        <v>1372</v>
      </c>
      <c r="G974">
        <v>-240</v>
      </c>
    </row>
    <row r="975" spans="1:12" x14ac:dyDescent="0.25">
      <c r="A975" s="40">
        <v>45750.438009259262</v>
      </c>
      <c r="B975" t="s">
        <v>1358</v>
      </c>
      <c r="C975" t="s">
        <v>38</v>
      </c>
      <c r="E975" t="s">
        <v>1364</v>
      </c>
      <c r="F975" t="s">
        <v>1372</v>
      </c>
      <c r="G975">
        <v>-760</v>
      </c>
    </row>
    <row r="976" spans="1:12" x14ac:dyDescent="0.25">
      <c r="A976" s="40">
        <v>45750.438009259262</v>
      </c>
      <c r="B976" t="s">
        <v>1358</v>
      </c>
      <c r="C976" t="s">
        <v>42</v>
      </c>
      <c r="E976" t="s">
        <v>1364</v>
      </c>
      <c r="F976" t="s">
        <v>1372</v>
      </c>
      <c r="G976">
        <v>-240</v>
      </c>
    </row>
    <row r="977" spans="1:7" x14ac:dyDescent="0.25">
      <c r="A977" s="40">
        <v>45750.438009259262</v>
      </c>
      <c r="B977" t="s">
        <v>1358</v>
      </c>
      <c r="C977" t="s">
        <v>43</v>
      </c>
      <c r="E977" t="s">
        <v>1364</v>
      </c>
      <c r="F977" t="s">
        <v>1372</v>
      </c>
      <c r="G977">
        <v>-240</v>
      </c>
    </row>
    <row r="978" spans="1:7" x14ac:dyDescent="0.25">
      <c r="A978" s="40">
        <v>45750.438009259262</v>
      </c>
      <c r="B978" t="s">
        <v>1358</v>
      </c>
      <c r="C978" t="s">
        <v>45</v>
      </c>
      <c r="E978" t="s">
        <v>1364</v>
      </c>
      <c r="F978" t="s">
        <v>1372</v>
      </c>
      <c r="G978">
        <v>-70</v>
      </c>
    </row>
    <row r="979" spans="1:7" x14ac:dyDescent="0.25">
      <c r="A979" s="40">
        <v>45750.438009259262</v>
      </c>
      <c r="B979" t="s">
        <v>1358</v>
      </c>
      <c r="C979" t="s">
        <v>47</v>
      </c>
      <c r="E979" t="s">
        <v>1364</v>
      </c>
      <c r="F979" t="s">
        <v>1372</v>
      </c>
      <c r="G979">
        <v>-760</v>
      </c>
    </row>
    <row r="980" spans="1:7" x14ac:dyDescent="0.25">
      <c r="A980" s="40">
        <v>45750.438009259262</v>
      </c>
      <c r="B980" t="s">
        <v>1358</v>
      </c>
      <c r="C980" t="s">
        <v>50</v>
      </c>
      <c r="E980" t="s">
        <v>1364</v>
      </c>
      <c r="F980" t="s">
        <v>1372</v>
      </c>
      <c r="G980">
        <v>-240</v>
      </c>
    </row>
    <row r="981" spans="1:7" x14ac:dyDescent="0.25">
      <c r="A981" s="40">
        <v>45750.438009259262</v>
      </c>
      <c r="B981" t="s">
        <v>1358</v>
      </c>
      <c r="C981" t="s">
        <v>52</v>
      </c>
      <c r="E981" t="s">
        <v>1364</v>
      </c>
      <c r="F981" t="s">
        <v>1372</v>
      </c>
      <c r="G981">
        <v>-70</v>
      </c>
    </row>
    <row r="982" spans="1:7" x14ac:dyDescent="0.25">
      <c r="A982" s="40">
        <v>45750.438009259262</v>
      </c>
      <c r="B982" t="s">
        <v>1358</v>
      </c>
      <c r="C982" t="s">
        <v>53</v>
      </c>
      <c r="E982" t="s">
        <v>1364</v>
      </c>
      <c r="F982" t="s">
        <v>1372</v>
      </c>
      <c r="G982">
        <v>-350</v>
      </c>
    </row>
    <row r="983" spans="1:7" x14ac:dyDescent="0.25">
      <c r="A983" s="40">
        <v>45750.438009259262</v>
      </c>
      <c r="B983" t="s">
        <v>1358</v>
      </c>
      <c r="C983" t="s">
        <v>56</v>
      </c>
      <c r="E983" t="s">
        <v>1364</v>
      </c>
      <c r="F983" t="s">
        <v>1372</v>
      </c>
      <c r="G983">
        <v>-185</v>
      </c>
    </row>
    <row r="984" spans="1:7" x14ac:dyDescent="0.25">
      <c r="A984" s="40">
        <v>45750.438009259262</v>
      </c>
      <c r="B984" t="s">
        <v>1358</v>
      </c>
      <c r="C984" t="s">
        <v>66</v>
      </c>
      <c r="E984" t="s">
        <v>1364</v>
      </c>
      <c r="F984" t="s">
        <v>1372</v>
      </c>
      <c r="G984">
        <v>-185</v>
      </c>
    </row>
    <row r="985" spans="1:7" x14ac:dyDescent="0.25">
      <c r="A985" s="40">
        <v>45750.438009259262</v>
      </c>
      <c r="B985" t="s">
        <v>1358</v>
      </c>
      <c r="C985" t="s">
        <v>70</v>
      </c>
      <c r="E985" t="s">
        <v>1364</v>
      </c>
      <c r="F985" t="s">
        <v>1372</v>
      </c>
      <c r="G985">
        <v>-1100</v>
      </c>
    </row>
    <row r="986" spans="1:7" x14ac:dyDescent="0.25">
      <c r="A986" s="40">
        <v>45750.438009259262</v>
      </c>
      <c r="B986" t="s">
        <v>1358</v>
      </c>
      <c r="C986" t="s">
        <v>94</v>
      </c>
      <c r="E986" t="s">
        <v>1364</v>
      </c>
      <c r="F986" t="s">
        <v>1372</v>
      </c>
      <c r="G986">
        <v>-350</v>
      </c>
    </row>
    <row r="987" spans="1:7" x14ac:dyDescent="0.25">
      <c r="A987" s="40">
        <v>45750.438009259262</v>
      </c>
      <c r="B987" t="s">
        <v>1358</v>
      </c>
      <c r="C987" t="s">
        <v>230</v>
      </c>
      <c r="E987" t="s">
        <v>1364</v>
      </c>
      <c r="F987" t="s">
        <v>1372</v>
      </c>
      <c r="G987">
        <v>-135</v>
      </c>
    </row>
    <row r="988" spans="1:7" x14ac:dyDescent="0.25">
      <c r="A988" s="40">
        <v>45750.438009259262</v>
      </c>
      <c r="B988" t="s">
        <v>1358</v>
      </c>
      <c r="C988" t="s">
        <v>267</v>
      </c>
      <c r="E988" t="s">
        <v>1364</v>
      </c>
      <c r="F988" t="s">
        <v>1372</v>
      </c>
      <c r="G988">
        <v>-135</v>
      </c>
    </row>
    <row r="989" spans="1:7" x14ac:dyDescent="0.25">
      <c r="A989" s="40">
        <v>45750.438009259262</v>
      </c>
      <c r="B989" t="s">
        <v>1358</v>
      </c>
      <c r="C989" t="s">
        <v>277</v>
      </c>
      <c r="E989" t="s">
        <v>1364</v>
      </c>
      <c r="F989" t="s">
        <v>1372</v>
      </c>
      <c r="G989">
        <v>-135</v>
      </c>
    </row>
    <row r="990" spans="1:7" x14ac:dyDescent="0.25">
      <c r="A990" s="40">
        <v>45750.438009259262</v>
      </c>
      <c r="B990" t="s">
        <v>1358</v>
      </c>
      <c r="C990" t="s">
        <v>462</v>
      </c>
      <c r="E990" t="s">
        <v>1364</v>
      </c>
      <c r="F990" t="s">
        <v>1372</v>
      </c>
      <c r="G990">
        <v>-135</v>
      </c>
    </row>
    <row r="991" spans="1:7" x14ac:dyDescent="0.25">
      <c r="A991" s="40">
        <v>45750.438009259262</v>
      </c>
      <c r="B991" t="s">
        <v>1358</v>
      </c>
      <c r="C991" t="s">
        <v>366</v>
      </c>
      <c r="E991" t="s">
        <v>1364</v>
      </c>
      <c r="F991" t="s">
        <v>1372</v>
      </c>
      <c r="G991">
        <v>-70</v>
      </c>
    </row>
    <row r="992" spans="1:7" x14ac:dyDescent="0.25">
      <c r="A992" s="40">
        <v>45750.438009259262</v>
      </c>
      <c r="B992" t="s">
        <v>1358</v>
      </c>
      <c r="C992" t="s">
        <v>437</v>
      </c>
      <c r="E992" t="s">
        <v>1364</v>
      </c>
      <c r="F992" t="s">
        <v>1372</v>
      </c>
      <c r="G992">
        <v>-70</v>
      </c>
    </row>
    <row r="993" spans="1:12" x14ac:dyDescent="0.25">
      <c r="A993" s="40">
        <v>45750.438009259262</v>
      </c>
      <c r="B993" t="s">
        <v>1358</v>
      </c>
      <c r="C993" t="s">
        <v>343</v>
      </c>
      <c r="E993" t="s">
        <v>1364</v>
      </c>
      <c r="F993" t="s">
        <v>1372</v>
      </c>
      <c r="G993">
        <v>-240</v>
      </c>
    </row>
    <row r="994" spans="1:12" x14ac:dyDescent="0.25">
      <c r="A994" s="40">
        <v>45750.438009259262</v>
      </c>
      <c r="B994" t="s">
        <v>1358</v>
      </c>
      <c r="C994" t="s">
        <v>458</v>
      </c>
      <c r="E994" t="s">
        <v>1364</v>
      </c>
      <c r="F994" t="s">
        <v>1372</v>
      </c>
      <c r="G994">
        <v>-350</v>
      </c>
    </row>
    <row r="995" spans="1:12" x14ac:dyDescent="0.25">
      <c r="A995" s="40">
        <v>45751.530821759261</v>
      </c>
      <c r="B995" t="s">
        <v>1358</v>
      </c>
      <c r="C995" t="s">
        <v>61</v>
      </c>
      <c r="E995" t="s">
        <v>1364</v>
      </c>
      <c r="F995" t="s">
        <v>695</v>
      </c>
      <c r="G995">
        <v>3000</v>
      </c>
      <c r="I995" t="s">
        <v>511</v>
      </c>
      <c r="L995">
        <v>90</v>
      </c>
    </row>
    <row r="996" spans="1:12" x14ac:dyDescent="0.25">
      <c r="A996" s="40">
        <v>45751.5315625</v>
      </c>
      <c r="B996" t="s">
        <v>1358</v>
      </c>
      <c r="C996" t="s">
        <v>61</v>
      </c>
      <c r="E996" t="s">
        <v>1364</v>
      </c>
      <c r="F996" t="s">
        <v>1372</v>
      </c>
      <c r="G996">
        <v>-450</v>
      </c>
    </row>
    <row r="997" spans="1:12" x14ac:dyDescent="0.25">
      <c r="A997" s="40">
        <v>45751.539664351854</v>
      </c>
      <c r="B997" t="s">
        <v>1359</v>
      </c>
      <c r="C997" t="s">
        <v>1</v>
      </c>
      <c r="E997" t="s">
        <v>1364</v>
      </c>
      <c r="F997" t="s">
        <v>1372</v>
      </c>
      <c r="G997">
        <v>-2970</v>
      </c>
    </row>
    <row r="998" spans="1:12" x14ac:dyDescent="0.25">
      <c r="A998" s="40">
        <v>45751.539664351854</v>
      </c>
      <c r="B998" t="s">
        <v>1359</v>
      </c>
      <c r="C998" t="s">
        <v>5</v>
      </c>
      <c r="E998" t="s">
        <v>1364</v>
      </c>
      <c r="F998" t="s">
        <v>1372</v>
      </c>
      <c r="G998">
        <v>-1030</v>
      </c>
    </row>
    <row r="999" spans="1:12" x14ac:dyDescent="0.25">
      <c r="A999" s="40">
        <v>45751.539664351854</v>
      </c>
      <c r="B999" t="s">
        <v>1359</v>
      </c>
      <c r="C999" t="s">
        <v>7</v>
      </c>
      <c r="E999" t="s">
        <v>1364</v>
      </c>
      <c r="F999" t="s">
        <v>1372</v>
      </c>
      <c r="G999">
        <v>-900</v>
      </c>
    </row>
    <row r="1000" spans="1:12" x14ac:dyDescent="0.25">
      <c r="A1000" s="40">
        <v>45751.539664351854</v>
      </c>
      <c r="B1000" t="s">
        <v>1359</v>
      </c>
      <c r="C1000" t="s">
        <v>8</v>
      </c>
      <c r="E1000" t="s">
        <v>1364</v>
      </c>
      <c r="F1000" t="s">
        <v>1372</v>
      </c>
      <c r="G1000">
        <v>-280</v>
      </c>
    </row>
    <row r="1001" spans="1:12" x14ac:dyDescent="0.25">
      <c r="A1001" s="40">
        <v>45751.539664351854</v>
      </c>
      <c r="B1001" t="s">
        <v>1359</v>
      </c>
      <c r="C1001" t="s">
        <v>12</v>
      </c>
      <c r="E1001" t="s">
        <v>1364</v>
      </c>
      <c r="F1001" t="s">
        <v>1372</v>
      </c>
      <c r="G1001">
        <v>-310</v>
      </c>
    </row>
    <row r="1002" spans="1:12" x14ac:dyDescent="0.25">
      <c r="A1002" s="40">
        <v>45751.539664351854</v>
      </c>
      <c r="B1002" t="s">
        <v>1359</v>
      </c>
      <c r="C1002" t="s">
        <v>13</v>
      </c>
      <c r="E1002" t="s">
        <v>1364</v>
      </c>
      <c r="F1002" t="s">
        <v>1372</v>
      </c>
      <c r="G1002">
        <v>-155</v>
      </c>
    </row>
    <row r="1003" spans="1:12" x14ac:dyDescent="0.25">
      <c r="A1003" s="40">
        <v>45751.539664351854</v>
      </c>
      <c r="B1003" t="s">
        <v>1359</v>
      </c>
      <c r="C1003" t="s">
        <v>14</v>
      </c>
      <c r="E1003" t="s">
        <v>1364</v>
      </c>
      <c r="F1003" t="s">
        <v>1372</v>
      </c>
      <c r="G1003">
        <v>-280</v>
      </c>
    </row>
    <row r="1004" spans="1:12" x14ac:dyDescent="0.25">
      <c r="A1004" s="40">
        <v>45751.539664351854</v>
      </c>
      <c r="B1004" t="s">
        <v>1359</v>
      </c>
      <c r="C1004" t="s">
        <v>15</v>
      </c>
      <c r="E1004" t="s">
        <v>1364</v>
      </c>
      <c r="F1004" t="s">
        <v>1372</v>
      </c>
      <c r="G1004">
        <v>-135</v>
      </c>
    </row>
    <row r="1005" spans="1:12" x14ac:dyDescent="0.25">
      <c r="A1005" s="40">
        <v>45751.539664351854</v>
      </c>
      <c r="B1005" t="s">
        <v>1359</v>
      </c>
      <c r="C1005" t="s">
        <v>18</v>
      </c>
      <c r="E1005" t="s">
        <v>1364</v>
      </c>
      <c r="F1005" t="s">
        <v>1372</v>
      </c>
      <c r="G1005">
        <v>-1270</v>
      </c>
    </row>
    <row r="1006" spans="1:12" x14ac:dyDescent="0.25">
      <c r="A1006" s="40">
        <v>45751.539664351854</v>
      </c>
      <c r="B1006" t="s">
        <v>1359</v>
      </c>
      <c r="C1006" t="s">
        <v>24</v>
      </c>
      <c r="E1006" t="s">
        <v>1364</v>
      </c>
      <c r="F1006" t="s">
        <v>1372</v>
      </c>
      <c r="G1006">
        <v>-205</v>
      </c>
    </row>
    <row r="1007" spans="1:12" x14ac:dyDescent="0.25">
      <c r="A1007" s="40">
        <v>45751.539664351854</v>
      </c>
      <c r="B1007" t="s">
        <v>1359</v>
      </c>
      <c r="C1007" t="s">
        <v>25</v>
      </c>
      <c r="E1007" t="s">
        <v>1364</v>
      </c>
      <c r="F1007" t="s">
        <v>1372</v>
      </c>
      <c r="G1007">
        <v>-280</v>
      </c>
    </row>
    <row r="1008" spans="1:12" x14ac:dyDescent="0.25">
      <c r="A1008" s="40">
        <v>45751.539664351854</v>
      </c>
      <c r="B1008" t="s">
        <v>1359</v>
      </c>
      <c r="C1008" t="s">
        <v>27</v>
      </c>
      <c r="E1008" t="s">
        <v>1364</v>
      </c>
      <c r="F1008" t="s">
        <v>1372</v>
      </c>
      <c r="G1008">
        <v>-6440</v>
      </c>
    </row>
    <row r="1009" spans="1:7" x14ac:dyDescent="0.25">
      <c r="A1009" s="40">
        <v>45751.539664351854</v>
      </c>
      <c r="B1009" t="s">
        <v>1359</v>
      </c>
      <c r="C1009" t="s">
        <v>28</v>
      </c>
      <c r="E1009" t="s">
        <v>1364</v>
      </c>
      <c r="F1009" t="s">
        <v>1372</v>
      </c>
      <c r="G1009">
        <v>-90</v>
      </c>
    </row>
    <row r="1010" spans="1:7" x14ac:dyDescent="0.25">
      <c r="A1010" s="40">
        <v>45751.539664351854</v>
      </c>
      <c r="B1010" t="s">
        <v>1359</v>
      </c>
      <c r="C1010" t="s">
        <v>29</v>
      </c>
      <c r="E1010" t="s">
        <v>1364</v>
      </c>
      <c r="F1010" t="s">
        <v>1372</v>
      </c>
      <c r="G1010">
        <v>-135</v>
      </c>
    </row>
    <row r="1011" spans="1:7" x14ac:dyDescent="0.25">
      <c r="A1011" s="40">
        <v>45751.539664351854</v>
      </c>
      <c r="B1011" t="s">
        <v>1359</v>
      </c>
      <c r="C1011" t="s">
        <v>44</v>
      </c>
      <c r="E1011" t="s">
        <v>1364</v>
      </c>
      <c r="F1011" t="s">
        <v>1372</v>
      </c>
      <c r="G1011">
        <v>-185</v>
      </c>
    </row>
    <row r="1012" spans="1:7" x14ac:dyDescent="0.25">
      <c r="A1012" s="40">
        <v>45751.539664351854</v>
      </c>
      <c r="B1012" t="s">
        <v>1359</v>
      </c>
      <c r="C1012" t="s">
        <v>47</v>
      </c>
      <c r="E1012" t="s">
        <v>1364</v>
      </c>
      <c r="F1012" t="s">
        <v>1372</v>
      </c>
      <c r="G1012">
        <v>-185</v>
      </c>
    </row>
    <row r="1013" spans="1:7" x14ac:dyDescent="0.25">
      <c r="A1013" s="40">
        <v>45751.539664351854</v>
      </c>
      <c r="B1013" t="s">
        <v>1359</v>
      </c>
      <c r="C1013" t="s">
        <v>56</v>
      </c>
      <c r="E1013" t="s">
        <v>1364</v>
      </c>
      <c r="F1013" t="s">
        <v>1372</v>
      </c>
      <c r="G1013">
        <v>-145</v>
      </c>
    </row>
    <row r="1014" spans="1:7" x14ac:dyDescent="0.25">
      <c r="A1014" s="40">
        <v>45751.539664351854</v>
      </c>
      <c r="B1014" t="s">
        <v>1359</v>
      </c>
      <c r="C1014" t="s">
        <v>58</v>
      </c>
      <c r="E1014" t="s">
        <v>1364</v>
      </c>
      <c r="F1014" t="s">
        <v>1372</v>
      </c>
      <c r="G1014">
        <v>-280</v>
      </c>
    </row>
    <row r="1015" spans="1:7" x14ac:dyDescent="0.25">
      <c r="A1015" s="40">
        <v>45751.539664351854</v>
      </c>
      <c r="B1015" t="s">
        <v>1359</v>
      </c>
      <c r="C1015" t="s">
        <v>60</v>
      </c>
      <c r="E1015" t="s">
        <v>1364</v>
      </c>
      <c r="F1015" t="s">
        <v>1372</v>
      </c>
      <c r="G1015">
        <v>-820</v>
      </c>
    </row>
    <row r="1016" spans="1:7" x14ac:dyDescent="0.25">
      <c r="A1016" s="40">
        <v>45751.539664351854</v>
      </c>
      <c r="B1016" t="s">
        <v>1359</v>
      </c>
      <c r="C1016" t="s">
        <v>61</v>
      </c>
      <c r="E1016" t="s">
        <v>1364</v>
      </c>
      <c r="F1016" t="s">
        <v>1372</v>
      </c>
      <c r="G1016">
        <v>-980</v>
      </c>
    </row>
    <row r="1017" spans="1:7" x14ac:dyDescent="0.25">
      <c r="A1017" s="40">
        <v>45751.539664351854</v>
      </c>
      <c r="B1017" t="s">
        <v>1359</v>
      </c>
      <c r="C1017" t="s">
        <v>62</v>
      </c>
      <c r="E1017" t="s">
        <v>1364</v>
      </c>
      <c r="F1017" t="s">
        <v>1372</v>
      </c>
      <c r="G1017">
        <v>-50</v>
      </c>
    </row>
    <row r="1018" spans="1:7" x14ac:dyDescent="0.25">
      <c r="A1018" s="40">
        <v>45751.539664351854</v>
      </c>
      <c r="B1018" t="s">
        <v>1359</v>
      </c>
      <c r="C1018" t="s">
        <v>63</v>
      </c>
      <c r="E1018" t="s">
        <v>1364</v>
      </c>
      <c r="F1018" t="s">
        <v>1372</v>
      </c>
      <c r="G1018">
        <v>-370</v>
      </c>
    </row>
    <row r="1019" spans="1:7" x14ac:dyDescent="0.25">
      <c r="A1019" s="40">
        <v>45751.539664351854</v>
      </c>
      <c r="B1019" t="s">
        <v>1359</v>
      </c>
      <c r="C1019" t="s">
        <v>68</v>
      </c>
      <c r="E1019" t="s">
        <v>1364</v>
      </c>
      <c r="F1019" t="s">
        <v>1372</v>
      </c>
      <c r="G1019">
        <v>-1390</v>
      </c>
    </row>
    <row r="1020" spans="1:7" x14ac:dyDescent="0.25">
      <c r="A1020" s="40">
        <v>45751.539664351854</v>
      </c>
      <c r="B1020" t="s">
        <v>1359</v>
      </c>
      <c r="C1020" t="s">
        <v>69</v>
      </c>
      <c r="E1020" t="s">
        <v>1364</v>
      </c>
      <c r="F1020" t="s">
        <v>1372</v>
      </c>
      <c r="G1020">
        <v>-1370</v>
      </c>
    </row>
    <row r="1021" spans="1:7" x14ac:dyDescent="0.25">
      <c r="A1021" s="40">
        <v>45751.539664351854</v>
      </c>
      <c r="B1021" t="s">
        <v>1359</v>
      </c>
      <c r="C1021" t="s">
        <v>70</v>
      </c>
      <c r="E1021" t="s">
        <v>1364</v>
      </c>
      <c r="F1021" t="s">
        <v>1372</v>
      </c>
      <c r="G1021">
        <v>-470</v>
      </c>
    </row>
    <row r="1022" spans="1:7" x14ac:dyDescent="0.25">
      <c r="A1022" s="40">
        <v>45751.539664351854</v>
      </c>
      <c r="B1022" t="s">
        <v>1359</v>
      </c>
      <c r="C1022" t="s">
        <v>79</v>
      </c>
      <c r="E1022" t="s">
        <v>1364</v>
      </c>
      <c r="F1022" t="s">
        <v>1372</v>
      </c>
      <c r="G1022">
        <v>-50</v>
      </c>
    </row>
    <row r="1023" spans="1:7" x14ac:dyDescent="0.25">
      <c r="A1023" s="40">
        <v>45751.539664351854</v>
      </c>
      <c r="B1023" t="s">
        <v>1359</v>
      </c>
      <c r="C1023" t="s">
        <v>82</v>
      </c>
      <c r="E1023" t="s">
        <v>1364</v>
      </c>
      <c r="F1023" t="s">
        <v>1372</v>
      </c>
      <c r="G1023">
        <v>-240</v>
      </c>
    </row>
    <row r="1024" spans="1:7" x14ac:dyDescent="0.25">
      <c r="A1024" s="40">
        <v>45751.539664351854</v>
      </c>
      <c r="B1024" t="s">
        <v>1359</v>
      </c>
      <c r="C1024" t="s">
        <v>89</v>
      </c>
      <c r="E1024" t="s">
        <v>1364</v>
      </c>
      <c r="F1024" t="s">
        <v>1372</v>
      </c>
      <c r="G1024">
        <v>-370</v>
      </c>
    </row>
    <row r="1025" spans="1:7" x14ac:dyDescent="0.25">
      <c r="A1025" s="40">
        <v>45751.539664351854</v>
      </c>
      <c r="B1025" t="s">
        <v>1359</v>
      </c>
      <c r="C1025" t="s">
        <v>230</v>
      </c>
      <c r="E1025" t="s">
        <v>1364</v>
      </c>
      <c r="F1025" t="s">
        <v>1372</v>
      </c>
      <c r="G1025">
        <v>-175</v>
      </c>
    </row>
    <row r="1026" spans="1:7" x14ac:dyDescent="0.25">
      <c r="A1026" s="40">
        <v>45751.539664351854</v>
      </c>
      <c r="B1026" t="s">
        <v>1359</v>
      </c>
      <c r="C1026" t="s">
        <v>420</v>
      </c>
      <c r="E1026" t="s">
        <v>1364</v>
      </c>
      <c r="F1026" t="s">
        <v>1372</v>
      </c>
      <c r="G1026">
        <v>-360</v>
      </c>
    </row>
    <row r="1027" spans="1:7" x14ac:dyDescent="0.25">
      <c r="A1027" s="40">
        <v>45751.539664351854</v>
      </c>
      <c r="B1027" t="s">
        <v>1359</v>
      </c>
      <c r="C1027" t="s">
        <v>693</v>
      </c>
      <c r="E1027" t="s">
        <v>1364</v>
      </c>
      <c r="F1027" t="s">
        <v>1372</v>
      </c>
      <c r="G1027">
        <v>-50</v>
      </c>
    </row>
    <row r="1028" spans="1:7" x14ac:dyDescent="0.25">
      <c r="A1028" s="40">
        <v>45751.539664351854</v>
      </c>
      <c r="B1028" t="s">
        <v>1359</v>
      </c>
      <c r="C1028" t="s">
        <v>456</v>
      </c>
      <c r="E1028" t="s">
        <v>1364</v>
      </c>
      <c r="F1028" t="s">
        <v>1372</v>
      </c>
      <c r="G1028">
        <v>-980</v>
      </c>
    </row>
    <row r="1029" spans="1:7" x14ac:dyDescent="0.25">
      <c r="A1029" s="40">
        <v>45751.539664351854</v>
      </c>
      <c r="B1029" t="s">
        <v>1359</v>
      </c>
      <c r="C1029" t="s">
        <v>441</v>
      </c>
      <c r="E1029" t="s">
        <v>1364</v>
      </c>
      <c r="F1029" t="s">
        <v>1372</v>
      </c>
      <c r="G1029">
        <v>-70</v>
      </c>
    </row>
    <row r="1030" spans="1:7" x14ac:dyDescent="0.25">
      <c r="A1030" s="40">
        <v>45751.539664351854</v>
      </c>
      <c r="B1030" t="s">
        <v>1359</v>
      </c>
      <c r="C1030" t="s">
        <v>428</v>
      </c>
      <c r="E1030" t="s">
        <v>1364</v>
      </c>
      <c r="F1030" t="s">
        <v>1372</v>
      </c>
      <c r="G1030">
        <v>-1900</v>
      </c>
    </row>
    <row r="1031" spans="1:7" x14ac:dyDescent="0.25">
      <c r="A1031" s="40">
        <v>45751.539664351854</v>
      </c>
      <c r="B1031" t="s">
        <v>1359</v>
      </c>
      <c r="C1031" t="s">
        <v>414</v>
      </c>
      <c r="E1031" t="s">
        <v>1364</v>
      </c>
      <c r="F1031" t="s">
        <v>1372</v>
      </c>
      <c r="G1031">
        <v>-185</v>
      </c>
    </row>
    <row r="1032" spans="1:7" x14ac:dyDescent="0.25">
      <c r="A1032" s="40">
        <v>45751.539664351854</v>
      </c>
      <c r="B1032" t="s">
        <v>1359</v>
      </c>
      <c r="C1032" t="s">
        <v>424</v>
      </c>
      <c r="E1032" t="s">
        <v>1364</v>
      </c>
      <c r="F1032" t="s">
        <v>1372</v>
      </c>
      <c r="G1032">
        <v>-90</v>
      </c>
    </row>
    <row r="1033" spans="1:7" x14ac:dyDescent="0.25">
      <c r="A1033" s="40">
        <v>45751.539664351854</v>
      </c>
      <c r="B1033" t="s">
        <v>1359</v>
      </c>
      <c r="C1033" t="s">
        <v>324</v>
      </c>
      <c r="E1033" t="s">
        <v>1364</v>
      </c>
      <c r="F1033" t="s">
        <v>1372</v>
      </c>
      <c r="G1033">
        <v>-90</v>
      </c>
    </row>
    <row r="1034" spans="1:7" x14ac:dyDescent="0.25">
      <c r="A1034" s="40">
        <v>45751.539664351854</v>
      </c>
      <c r="B1034" t="s">
        <v>1359</v>
      </c>
      <c r="C1034" t="s">
        <v>326</v>
      </c>
      <c r="E1034" t="s">
        <v>1364</v>
      </c>
      <c r="F1034" t="s">
        <v>1372</v>
      </c>
      <c r="G1034">
        <v>-185</v>
      </c>
    </row>
    <row r="1035" spans="1:7" x14ac:dyDescent="0.25">
      <c r="A1035" s="40">
        <v>45751.539664351854</v>
      </c>
      <c r="B1035" t="s">
        <v>1359</v>
      </c>
      <c r="C1035" t="s">
        <v>281</v>
      </c>
      <c r="E1035" t="s">
        <v>1364</v>
      </c>
      <c r="F1035" t="s">
        <v>1372</v>
      </c>
      <c r="G1035">
        <v>-90</v>
      </c>
    </row>
    <row r="1036" spans="1:7" x14ac:dyDescent="0.25">
      <c r="A1036" s="40">
        <v>45751.539664351854</v>
      </c>
      <c r="B1036" t="s">
        <v>1359</v>
      </c>
      <c r="C1036" t="s">
        <v>296</v>
      </c>
      <c r="E1036" t="s">
        <v>1364</v>
      </c>
      <c r="F1036" t="s">
        <v>1372</v>
      </c>
      <c r="G1036">
        <v>-480</v>
      </c>
    </row>
    <row r="1037" spans="1:7" x14ac:dyDescent="0.25">
      <c r="A1037" s="40">
        <v>45751.539664351854</v>
      </c>
      <c r="B1037" t="s">
        <v>1359</v>
      </c>
      <c r="C1037" t="s">
        <v>330</v>
      </c>
      <c r="E1037" t="s">
        <v>1364</v>
      </c>
      <c r="F1037" t="s">
        <v>1372</v>
      </c>
      <c r="G1037">
        <v>-250</v>
      </c>
    </row>
    <row r="1038" spans="1:7" x14ac:dyDescent="0.25">
      <c r="A1038" s="40">
        <v>45751.539664351854</v>
      </c>
      <c r="B1038" t="s">
        <v>1359</v>
      </c>
      <c r="C1038" t="s">
        <v>292</v>
      </c>
      <c r="E1038" t="s">
        <v>1364</v>
      </c>
      <c r="F1038" t="s">
        <v>1372</v>
      </c>
      <c r="G1038">
        <v>-560</v>
      </c>
    </row>
    <row r="1039" spans="1:7" x14ac:dyDescent="0.25">
      <c r="A1039" s="40">
        <v>45751.539664351854</v>
      </c>
      <c r="B1039" t="s">
        <v>1359</v>
      </c>
      <c r="C1039" t="s">
        <v>370</v>
      </c>
      <c r="E1039" t="s">
        <v>1364</v>
      </c>
      <c r="F1039" t="s">
        <v>1372</v>
      </c>
      <c r="G1039">
        <v>-120</v>
      </c>
    </row>
    <row r="1040" spans="1:7" x14ac:dyDescent="0.25">
      <c r="A1040" s="40">
        <v>45751.539664351854</v>
      </c>
      <c r="B1040" t="s">
        <v>1359</v>
      </c>
      <c r="C1040" t="s">
        <v>445</v>
      </c>
      <c r="E1040" t="s">
        <v>1364</v>
      </c>
      <c r="F1040" t="s">
        <v>1372</v>
      </c>
      <c r="G1040">
        <v>-90</v>
      </c>
    </row>
    <row r="1041" spans="1:12" x14ac:dyDescent="0.25">
      <c r="A1041" s="40">
        <v>45751.539664351854</v>
      </c>
      <c r="B1041" t="s">
        <v>1359</v>
      </c>
      <c r="C1041" t="s">
        <v>464</v>
      </c>
      <c r="E1041" t="s">
        <v>1364</v>
      </c>
      <c r="F1041" t="s">
        <v>1372</v>
      </c>
      <c r="G1041">
        <v>-90</v>
      </c>
    </row>
    <row r="1042" spans="1:12" x14ac:dyDescent="0.25">
      <c r="A1042" s="40">
        <v>45751.539664351854</v>
      </c>
      <c r="B1042" t="s">
        <v>1359</v>
      </c>
      <c r="C1042" t="s">
        <v>477</v>
      </c>
      <c r="E1042" t="s">
        <v>1364</v>
      </c>
      <c r="F1042" t="s">
        <v>1372</v>
      </c>
      <c r="G1042">
        <v>-50</v>
      </c>
    </row>
    <row r="1043" spans="1:12" x14ac:dyDescent="0.25">
      <c r="A1043" s="40">
        <v>45751.539664351854</v>
      </c>
      <c r="B1043" t="s">
        <v>1359</v>
      </c>
      <c r="C1043" t="s">
        <v>1353</v>
      </c>
      <c r="E1043" t="s">
        <v>1365</v>
      </c>
      <c r="F1043" t="s">
        <v>1372</v>
      </c>
      <c r="G1043">
        <v>-835</v>
      </c>
      <c r="H1043">
        <v>20</v>
      </c>
    </row>
    <row r="1044" spans="1:12" x14ac:dyDescent="0.25">
      <c r="A1044" s="40">
        <v>45758.550324074073</v>
      </c>
      <c r="B1044" t="s">
        <v>1359</v>
      </c>
      <c r="C1044" t="s">
        <v>3</v>
      </c>
      <c r="E1044" t="s">
        <v>1364</v>
      </c>
      <c r="F1044" t="s">
        <v>695</v>
      </c>
      <c r="G1044">
        <v>12000</v>
      </c>
      <c r="I1044" t="s">
        <v>696</v>
      </c>
      <c r="L1044">
        <v>50.4</v>
      </c>
    </row>
    <row r="1045" spans="1:12" x14ac:dyDescent="0.25">
      <c r="A1045" s="40">
        <v>45758.550324074073</v>
      </c>
      <c r="B1045" t="s">
        <v>1359</v>
      </c>
      <c r="C1045" t="s">
        <v>20</v>
      </c>
      <c r="E1045" t="s">
        <v>1364</v>
      </c>
      <c r="F1045" t="s">
        <v>695</v>
      </c>
      <c r="G1045">
        <v>15000</v>
      </c>
      <c r="I1045" t="s">
        <v>696</v>
      </c>
      <c r="L1045">
        <v>12.6</v>
      </c>
    </row>
    <row r="1046" spans="1:12" x14ac:dyDescent="0.25">
      <c r="A1046" s="40">
        <v>45758.550324074073</v>
      </c>
      <c r="B1046" t="s">
        <v>1359</v>
      </c>
      <c r="C1046" t="s">
        <v>1352</v>
      </c>
      <c r="E1046" t="s">
        <v>1365</v>
      </c>
      <c r="F1046" t="s">
        <v>695</v>
      </c>
      <c r="G1046">
        <v>2500</v>
      </c>
      <c r="I1046" t="s">
        <v>698</v>
      </c>
      <c r="L1046">
        <v>217</v>
      </c>
    </row>
    <row r="1047" spans="1:12" x14ac:dyDescent="0.25">
      <c r="A1047" s="40">
        <v>45758.550324074073</v>
      </c>
      <c r="B1047" t="s">
        <v>1359</v>
      </c>
      <c r="C1047" t="s">
        <v>1353</v>
      </c>
      <c r="E1047" t="s">
        <v>1365</v>
      </c>
      <c r="F1047" t="s">
        <v>695</v>
      </c>
      <c r="G1047">
        <v>2000</v>
      </c>
      <c r="H1047">
        <v>2020</v>
      </c>
      <c r="I1047" t="s">
        <v>698</v>
      </c>
      <c r="L1047">
        <v>803.59999999999991</v>
      </c>
    </row>
    <row r="1048" spans="1:12" x14ac:dyDescent="0.25">
      <c r="A1048" s="40">
        <v>45758.555578703701</v>
      </c>
      <c r="B1048" t="s">
        <v>1359</v>
      </c>
      <c r="C1048" t="s">
        <v>3</v>
      </c>
      <c r="E1048" t="s">
        <v>1364</v>
      </c>
      <c r="F1048" t="s">
        <v>1372</v>
      </c>
      <c r="G1048">
        <v>-2000</v>
      </c>
    </row>
    <row r="1049" spans="1:12" x14ac:dyDescent="0.25">
      <c r="A1049" s="40">
        <v>45758.555578703701</v>
      </c>
      <c r="B1049" t="s">
        <v>1359</v>
      </c>
      <c r="C1049" t="s">
        <v>20</v>
      </c>
      <c r="E1049" t="s">
        <v>1364</v>
      </c>
      <c r="F1049" t="s">
        <v>1372</v>
      </c>
      <c r="G1049">
        <v>-2790</v>
      </c>
    </row>
    <row r="1050" spans="1:12" x14ac:dyDescent="0.25">
      <c r="A1050" s="40">
        <v>45758.555578703701</v>
      </c>
      <c r="B1050" t="s">
        <v>1359</v>
      </c>
      <c r="C1050" t="s">
        <v>1352</v>
      </c>
      <c r="E1050" t="s">
        <v>1365</v>
      </c>
      <c r="F1050" t="s">
        <v>1372</v>
      </c>
      <c r="G1050">
        <v>-420</v>
      </c>
    </row>
    <row r="1051" spans="1:12" x14ac:dyDescent="0.25">
      <c r="A1051" s="40">
        <v>45758.567685185182</v>
      </c>
      <c r="B1051" t="s">
        <v>1366</v>
      </c>
      <c r="C1051" t="s">
        <v>1</v>
      </c>
      <c r="E1051" t="s">
        <v>1364</v>
      </c>
      <c r="F1051" t="s">
        <v>1372</v>
      </c>
      <c r="G1051">
        <v>-4000</v>
      </c>
    </row>
    <row r="1052" spans="1:12" x14ac:dyDescent="0.25">
      <c r="A1052" s="40">
        <v>45758.567685185182</v>
      </c>
      <c r="B1052" t="s">
        <v>1366</v>
      </c>
      <c r="C1052" t="s">
        <v>7</v>
      </c>
      <c r="E1052" t="s">
        <v>1364</v>
      </c>
      <c r="F1052" t="s">
        <v>1372</v>
      </c>
      <c r="G1052">
        <v>-1500</v>
      </c>
    </row>
    <row r="1053" spans="1:12" x14ac:dyDescent="0.25">
      <c r="A1053" s="40">
        <v>45758.567685185182</v>
      </c>
      <c r="B1053" t="s">
        <v>1366</v>
      </c>
      <c r="C1053" t="s">
        <v>8</v>
      </c>
      <c r="E1053" t="s">
        <v>1364</v>
      </c>
      <c r="F1053" t="s">
        <v>1372</v>
      </c>
      <c r="G1053">
        <v>-450</v>
      </c>
    </row>
    <row r="1054" spans="1:12" x14ac:dyDescent="0.25">
      <c r="A1054" s="40">
        <v>45758.567685185182</v>
      </c>
      <c r="B1054" t="s">
        <v>1366</v>
      </c>
      <c r="C1054" t="s">
        <v>12</v>
      </c>
      <c r="E1054" t="s">
        <v>1364</v>
      </c>
      <c r="F1054" t="s">
        <v>1372</v>
      </c>
      <c r="G1054">
        <v>-980</v>
      </c>
    </row>
    <row r="1055" spans="1:12" x14ac:dyDescent="0.25">
      <c r="A1055" s="40">
        <v>45758.567685185182</v>
      </c>
      <c r="B1055" t="s">
        <v>1366</v>
      </c>
      <c r="C1055" t="s">
        <v>13</v>
      </c>
      <c r="E1055" t="s">
        <v>1364</v>
      </c>
      <c r="F1055" t="s">
        <v>1372</v>
      </c>
      <c r="G1055">
        <v>-450</v>
      </c>
    </row>
    <row r="1056" spans="1:12" x14ac:dyDescent="0.25">
      <c r="A1056" s="40">
        <v>45758.567685185182</v>
      </c>
      <c r="B1056" t="s">
        <v>1366</v>
      </c>
      <c r="C1056" t="s">
        <v>20</v>
      </c>
      <c r="E1056" t="s">
        <v>1364</v>
      </c>
      <c r="F1056" t="s">
        <v>1372</v>
      </c>
      <c r="G1056">
        <v>-2500</v>
      </c>
    </row>
    <row r="1057" spans="1:7" x14ac:dyDescent="0.25">
      <c r="A1057" s="40">
        <v>45758.567685185182</v>
      </c>
      <c r="B1057" t="s">
        <v>1366</v>
      </c>
      <c r="C1057" t="s">
        <v>28</v>
      </c>
      <c r="E1057" t="s">
        <v>1364</v>
      </c>
      <c r="F1057" t="s">
        <v>1372</v>
      </c>
      <c r="G1057">
        <v>-135</v>
      </c>
    </row>
    <row r="1058" spans="1:7" x14ac:dyDescent="0.25">
      <c r="A1058" s="40">
        <v>45758.567685185182</v>
      </c>
      <c r="B1058" t="s">
        <v>1366</v>
      </c>
      <c r="C1058" t="s">
        <v>47</v>
      </c>
      <c r="E1058" t="s">
        <v>1364</v>
      </c>
      <c r="F1058" t="s">
        <v>1372</v>
      </c>
      <c r="G1058">
        <v>-660</v>
      </c>
    </row>
    <row r="1059" spans="1:7" x14ac:dyDescent="0.25">
      <c r="A1059" s="40">
        <v>45758.567685185182</v>
      </c>
      <c r="B1059" t="s">
        <v>1366</v>
      </c>
      <c r="C1059" t="s">
        <v>56</v>
      </c>
      <c r="E1059" t="s">
        <v>1364</v>
      </c>
      <c r="F1059" t="s">
        <v>1372</v>
      </c>
      <c r="G1059">
        <v>-240</v>
      </c>
    </row>
    <row r="1060" spans="1:7" x14ac:dyDescent="0.25">
      <c r="A1060" s="40">
        <v>45758.567685185182</v>
      </c>
      <c r="B1060" t="s">
        <v>1366</v>
      </c>
      <c r="C1060" t="s">
        <v>60</v>
      </c>
      <c r="E1060" t="s">
        <v>1364</v>
      </c>
      <c r="F1060" t="s">
        <v>1372</v>
      </c>
      <c r="G1060">
        <v>-660</v>
      </c>
    </row>
    <row r="1061" spans="1:7" x14ac:dyDescent="0.25">
      <c r="A1061" s="40">
        <v>45758.567685185182</v>
      </c>
      <c r="B1061" t="s">
        <v>1366</v>
      </c>
      <c r="C1061" t="s">
        <v>62</v>
      </c>
      <c r="E1061" t="s">
        <v>1364</v>
      </c>
      <c r="F1061" t="s">
        <v>1372</v>
      </c>
      <c r="G1061">
        <v>-135</v>
      </c>
    </row>
    <row r="1062" spans="1:7" x14ac:dyDescent="0.25">
      <c r="A1062" s="40">
        <v>45758.567685185182</v>
      </c>
      <c r="B1062" t="s">
        <v>1366</v>
      </c>
      <c r="C1062" t="s">
        <v>63</v>
      </c>
      <c r="E1062" t="s">
        <v>1364</v>
      </c>
      <c r="F1062" t="s">
        <v>1372</v>
      </c>
      <c r="G1062">
        <v>-350</v>
      </c>
    </row>
    <row r="1063" spans="1:7" x14ac:dyDescent="0.25">
      <c r="A1063" s="40">
        <v>45758.567685185182</v>
      </c>
      <c r="B1063" t="s">
        <v>1366</v>
      </c>
      <c r="C1063" t="s">
        <v>68</v>
      </c>
      <c r="E1063" t="s">
        <v>1364</v>
      </c>
      <c r="F1063" t="s">
        <v>1372</v>
      </c>
      <c r="G1063">
        <v>-135</v>
      </c>
    </row>
    <row r="1064" spans="1:7" x14ac:dyDescent="0.25">
      <c r="A1064" s="40">
        <v>45758.567685185182</v>
      </c>
      <c r="B1064" t="s">
        <v>1366</v>
      </c>
      <c r="C1064" t="s">
        <v>70</v>
      </c>
      <c r="E1064" t="s">
        <v>1364</v>
      </c>
      <c r="F1064" t="s">
        <v>1372</v>
      </c>
      <c r="G1064">
        <v>-760</v>
      </c>
    </row>
    <row r="1065" spans="1:7" x14ac:dyDescent="0.25">
      <c r="A1065" s="40">
        <v>45758.567685185182</v>
      </c>
      <c r="B1065" t="s">
        <v>1366</v>
      </c>
      <c r="C1065" t="s">
        <v>82</v>
      </c>
      <c r="E1065" t="s">
        <v>1364</v>
      </c>
      <c r="F1065" t="s">
        <v>1372</v>
      </c>
      <c r="G1065">
        <v>-240</v>
      </c>
    </row>
    <row r="1066" spans="1:7" x14ac:dyDescent="0.25">
      <c r="A1066" s="40">
        <v>45758.567685185182</v>
      </c>
      <c r="B1066" t="s">
        <v>1366</v>
      </c>
      <c r="C1066" t="s">
        <v>89</v>
      </c>
      <c r="E1066" t="s">
        <v>1364</v>
      </c>
      <c r="F1066" t="s">
        <v>1372</v>
      </c>
      <c r="G1066">
        <v>-350</v>
      </c>
    </row>
    <row r="1067" spans="1:7" x14ac:dyDescent="0.25">
      <c r="A1067" s="40">
        <v>45758.567685185182</v>
      </c>
      <c r="B1067" t="s">
        <v>1366</v>
      </c>
      <c r="C1067" t="s">
        <v>92</v>
      </c>
      <c r="E1067" t="s">
        <v>1364</v>
      </c>
      <c r="F1067" t="s">
        <v>1372</v>
      </c>
      <c r="G1067">
        <v>-350</v>
      </c>
    </row>
    <row r="1068" spans="1:7" x14ac:dyDescent="0.25">
      <c r="A1068" s="40">
        <v>45758.567685185182</v>
      </c>
      <c r="B1068" t="s">
        <v>1366</v>
      </c>
      <c r="C1068" t="s">
        <v>94</v>
      </c>
      <c r="E1068" t="s">
        <v>1364</v>
      </c>
      <c r="F1068" t="s">
        <v>1372</v>
      </c>
      <c r="G1068">
        <v>-240</v>
      </c>
    </row>
    <row r="1069" spans="1:7" x14ac:dyDescent="0.25">
      <c r="A1069" s="40">
        <v>45758.567685185182</v>
      </c>
      <c r="B1069" t="s">
        <v>1366</v>
      </c>
      <c r="C1069" t="s">
        <v>230</v>
      </c>
      <c r="E1069" t="s">
        <v>1364</v>
      </c>
      <c r="F1069" t="s">
        <v>1372</v>
      </c>
      <c r="G1069">
        <v>-350</v>
      </c>
    </row>
    <row r="1070" spans="1:7" x14ac:dyDescent="0.25">
      <c r="A1070" s="40">
        <v>45758.567685185182</v>
      </c>
      <c r="B1070" t="s">
        <v>1366</v>
      </c>
      <c r="C1070" t="s">
        <v>420</v>
      </c>
      <c r="E1070" t="s">
        <v>1364</v>
      </c>
      <c r="F1070" t="s">
        <v>1372</v>
      </c>
      <c r="G1070">
        <v>-350</v>
      </c>
    </row>
    <row r="1071" spans="1:7" x14ac:dyDescent="0.25">
      <c r="A1071" s="40">
        <v>45758.567685185182</v>
      </c>
      <c r="B1071" t="s">
        <v>1366</v>
      </c>
      <c r="C1071" t="s">
        <v>693</v>
      </c>
      <c r="E1071" t="s">
        <v>1364</v>
      </c>
      <c r="F1071" t="s">
        <v>1372</v>
      </c>
      <c r="G1071">
        <v>-135</v>
      </c>
    </row>
    <row r="1072" spans="1:7" x14ac:dyDescent="0.25">
      <c r="A1072" s="40">
        <v>45758.567685185182</v>
      </c>
      <c r="B1072" t="s">
        <v>1366</v>
      </c>
      <c r="C1072" t="s">
        <v>335</v>
      </c>
      <c r="E1072" t="s">
        <v>1364</v>
      </c>
      <c r="F1072" t="s">
        <v>1372</v>
      </c>
      <c r="G1072">
        <v>-135</v>
      </c>
    </row>
    <row r="1073" spans="1:12" x14ac:dyDescent="0.25">
      <c r="A1073" s="40">
        <v>45758.567685185182</v>
      </c>
      <c r="B1073" t="s">
        <v>1366</v>
      </c>
      <c r="C1073" t="s">
        <v>441</v>
      </c>
      <c r="E1073" t="s">
        <v>1364</v>
      </c>
      <c r="F1073" t="s">
        <v>1372</v>
      </c>
      <c r="G1073">
        <v>-135</v>
      </c>
    </row>
    <row r="1074" spans="1:12" x14ac:dyDescent="0.25">
      <c r="A1074" s="40">
        <v>45758.567685185182</v>
      </c>
      <c r="B1074" t="s">
        <v>1366</v>
      </c>
      <c r="C1074" t="s">
        <v>414</v>
      </c>
      <c r="E1074" t="s">
        <v>1364</v>
      </c>
      <c r="F1074" t="s">
        <v>1372</v>
      </c>
      <c r="G1074">
        <v>-135</v>
      </c>
    </row>
    <row r="1075" spans="1:12" x14ac:dyDescent="0.25">
      <c r="A1075" s="40">
        <v>45758.567685185182</v>
      </c>
      <c r="B1075" t="s">
        <v>1366</v>
      </c>
      <c r="C1075" t="s">
        <v>424</v>
      </c>
      <c r="E1075" t="s">
        <v>1364</v>
      </c>
      <c r="F1075" t="s">
        <v>1372</v>
      </c>
      <c r="G1075">
        <v>-240</v>
      </c>
    </row>
    <row r="1076" spans="1:12" x14ac:dyDescent="0.25">
      <c r="A1076" s="40">
        <v>45758.567685185182</v>
      </c>
      <c r="B1076" t="s">
        <v>1366</v>
      </c>
      <c r="C1076" t="s">
        <v>326</v>
      </c>
      <c r="E1076" t="s">
        <v>1364</v>
      </c>
      <c r="F1076" t="s">
        <v>1372</v>
      </c>
      <c r="G1076">
        <v>-135</v>
      </c>
    </row>
    <row r="1077" spans="1:12" x14ac:dyDescent="0.25">
      <c r="A1077" s="40">
        <v>45758.567685185182</v>
      </c>
      <c r="B1077" t="s">
        <v>1366</v>
      </c>
      <c r="C1077" t="s">
        <v>281</v>
      </c>
      <c r="E1077" t="s">
        <v>1364</v>
      </c>
      <c r="F1077" t="s">
        <v>1372</v>
      </c>
      <c r="G1077">
        <v>-240</v>
      </c>
    </row>
    <row r="1078" spans="1:12" x14ac:dyDescent="0.25">
      <c r="A1078" s="40">
        <v>45758.567685185182</v>
      </c>
      <c r="B1078" t="s">
        <v>1366</v>
      </c>
      <c r="C1078" t="s">
        <v>443</v>
      </c>
      <c r="E1078" t="s">
        <v>1364</v>
      </c>
      <c r="F1078" t="s">
        <v>1372</v>
      </c>
      <c r="G1078">
        <v>-135</v>
      </c>
    </row>
    <row r="1079" spans="1:12" x14ac:dyDescent="0.25">
      <c r="A1079" s="40">
        <v>45758.567685185182</v>
      </c>
      <c r="B1079" t="s">
        <v>1366</v>
      </c>
      <c r="C1079" t="s">
        <v>292</v>
      </c>
      <c r="E1079" t="s">
        <v>1364</v>
      </c>
      <c r="F1079" t="s">
        <v>1372</v>
      </c>
      <c r="G1079">
        <v>-660</v>
      </c>
    </row>
    <row r="1080" spans="1:12" x14ac:dyDescent="0.25">
      <c r="A1080" s="40">
        <v>45758.567685185182</v>
      </c>
      <c r="B1080" t="s">
        <v>1366</v>
      </c>
      <c r="C1080" t="s">
        <v>370</v>
      </c>
      <c r="E1080" t="s">
        <v>1364</v>
      </c>
      <c r="F1080" t="s">
        <v>1372</v>
      </c>
      <c r="G1080">
        <v>-135</v>
      </c>
    </row>
    <row r="1081" spans="1:12" x14ac:dyDescent="0.25">
      <c r="A1081" s="40">
        <v>45758.567685185182</v>
      </c>
      <c r="B1081" t="s">
        <v>1366</v>
      </c>
      <c r="C1081" t="s">
        <v>445</v>
      </c>
      <c r="E1081" t="s">
        <v>1364</v>
      </c>
      <c r="F1081" t="s">
        <v>1372</v>
      </c>
      <c r="G1081">
        <v>-240</v>
      </c>
    </row>
    <row r="1082" spans="1:12" x14ac:dyDescent="0.25">
      <c r="A1082" s="40">
        <v>45758.567685185182</v>
      </c>
      <c r="B1082" t="s">
        <v>1366</v>
      </c>
      <c r="C1082" t="s">
        <v>477</v>
      </c>
      <c r="E1082" t="s">
        <v>1364</v>
      </c>
      <c r="F1082" t="s">
        <v>1372</v>
      </c>
      <c r="G1082">
        <v>-135</v>
      </c>
    </row>
    <row r="1083" spans="1:12" x14ac:dyDescent="0.25">
      <c r="A1083" s="40">
        <v>45758.567685185182</v>
      </c>
      <c r="B1083" t="s">
        <v>1366</v>
      </c>
      <c r="C1083" t="s">
        <v>1353</v>
      </c>
      <c r="E1083" t="s">
        <v>1365</v>
      </c>
      <c r="F1083" t="s">
        <v>1372</v>
      </c>
      <c r="G1083">
        <v>-525</v>
      </c>
      <c r="H1083">
        <v>1495</v>
      </c>
    </row>
    <row r="1084" spans="1:12" x14ac:dyDescent="0.25">
      <c r="A1084" s="40">
        <v>45762.326296296298</v>
      </c>
      <c r="B1084" t="s">
        <v>1366</v>
      </c>
      <c r="C1084" t="s">
        <v>27</v>
      </c>
      <c r="E1084" t="s">
        <v>1364</v>
      </c>
      <c r="F1084" t="s">
        <v>695</v>
      </c>
      <c r="G1084">
        <v>30000</v>
      </c>
      <c r="I1084" t="s">
        <v>696</v>
      </c>
      <c r="L1084">
        <v>25.2</v>
      </c>
    </row>
    <row r="1085" spans="1:12" x14ac:dyDescent="0.25">
      <c r="A1085" s="40">
        <v>45762.326296296298</v>
      </c>
      <c r="B1085" t="s">
        <v>1366</v>
      </c>
      <c r="C1085" t="s">
        <v>44</v>
      </c>
      <c r="E1085" t="s">
        <v>1364</v>
      </c>
      <c r="F1085" t="s">
        <v>695</v>
      </c>
      <c r="G1085">
        <v>10000</v>
      </c>
      <c r="I1085" t="s">
        <v>696</v>
      </c>
      <c r="L1085">
        <v>7</v>
      </c>
    </row>
    <row r="1086" spans="1:12" x14ac:dyDescent="0.25">
      <c r="A1086" s="40">
        <v>45762.326296296298</v>
      </c>
      <c r="B1086" t="s">
        <v>1366</v>
      </c>
      <c r="C1086" t="s">
        <v>58</v>
      </c>
      <c r="E1086" t="s">
        <v>1364</v>
      </c>
      <c r="F1086" t="s">
        <v>695</v>
      </c>
      <c r="G1086">
        <v>12000</v>
      </c>
      <c r="I1086" t="s">
        <v>696</v>
      </c>
      <c r="L1086">
        <v>67.199999999999989</v>
      </c>
    </row>
    <row r="1087" spans="1:12" x14ac:dyDescent="0.25">
      <c r="A1087" s="40">
        <v>45762.326296296298</v>
      </c>
      <c r="B1087" t="s">
        <v>1366</v>
      </c>
      <c r="C1087" t="s">
        <v>296</v>
      </c>
      <c r="E1087" t="s">
        <v>1364</v>
      </c>
      <c r="F1087" t="s">
        <v>695</v>
      </c>
      <c r="G1087">
        <v>1000</v>
      </c>
      <c r="I1087" t="s">
        <v>696</v>
      </c>
      <c r="L1087">
        <v>197.54</v>
      </c>
    </row>
    <row r="1088" spans="1:12" x14ac:dyDescent="0.25">
      <c r="A1088" s="40">
        <v>45762.326296296298</v>
      </c>
      <c r="B1088" t="s">
        <v>1366</v>
      </c>
      <c r="C1088" t="s">
        <v>330</v>
      </c>
      <c r="E1088" t="s">
        <v>1364</v>
      </c>
      <c r="F1088" t="s">
        <v>695</v>
      </c>
      <c r="G1088">
        <v>6000</v>
      </c>
      <c r="I1088" t="s">
        <v>698</v>
      </c>
      <c r="L1088">
        <v>100.8</v>
      </c>
    </row>
    <row r="1089" spans="1:7" x14ac:dyDescent="0.25">
      <c r="A1089" s="40">
        <v>45762.327337962961</v>
      </c>
      <c r="B1089" t="s">
        <v>1366</v>
      </c>
      <c r="C1089" t="s">
        <v>27</v>
      </c>
      <c r="E1089" t="s">
        <v>1364</v>
      </c>
      <c r="F1089" t="s">
        <v>1372</v>
      </c>
      <c r="G1089">
        <v>-10200</v>
      </c>
    </row>
    <row r="1090" spans="1:7" x14ac:dyDescent="0.25">
      <c r="A1090" s="40">
        <v>45762.327337962961</v>
      </c>
      <c r="B1090" t="s">
        <v>1366</v>
      </c>
      <c r="C1090" t="s">
        <v>44</v>
      </c>
      <c r="E1090" t="s">
        <v>1364</v>
      </c>
      <c r="F1090" t="s">
        <v>1372</v>
      </c>
      <c r="G1090">
        <v>-2200</v>
      </c>
    </row>
    <row r="1091" spans="1:7" x14ac:dyDescent="0.25">
      <c r="A1091" s="40">
        <v>45762.327337962961</v>
      </c>
      <c r="B1091" t="s">
        <v>1366</v>
      </c>
      <c r="C1091" t="s">
        <v>58</v>
      </c>
      <c r="E1091" t="s">
        <v>1364</v>
      </c>
      <c r="F1091" t="s">
        <v>1372</v>
      </c>
      <c r="G1091">
        <v>-4400</v>
      </c>
    </row>
    <row r="1092" spans="1:7" x14ac:dyDescent="0.25">
      <c r="A1092" s="40">
        <v>45762.327337962961</v>
      </c>
      <c r="B1092" t="s">
        <v>1366</v>
      </c>
      <c r="C1092" t="s">
        <v>296</v>
      </c>
      <c r="E1092" t="s">
        <v>1364</v>
      </c>
      <c r="F1092" t="s">
        <v>1372</v>
      </c>
      <c r="G1092">
        <v>-560</v>
      </c>
    </row>
    <row r="1093" spans="1:7" x14ac:dyDescent="0.25">
      <c r="A1093" s="40">
        <v>45762.327337962961</v>
      </c>
      <c r="B1093" t="s">
        <v>1366</v>
      </c>
      <c r="C1093" t="s">
        <v>330</v>
      </c>
      <c r="E1093" t="s">
        <v>1364</v>
      </c>
      <c r="F1093" t="s">
        <v>1372</v>
      </c>
      <c r="G1093">
        <v>-2200</v>
      </c>
    </row>
    <row r="1094" spans="1:7" x14ac:dyDescent="0.25">
      <c r="A1094" s="40">
        <v>45762.340613425928</v>
      </c>
      <c r="B1094" t="s">
        <v>1368</v>
      </c>
      <c r="C1094" t="s">
        <v>1</v>
      </c>
      <c r="E1094" t="s">
        <v>1364</v>
      </c>
      <c r="F1094" t="s">
        <v>1372</v>
      </c>
      <c r="G1094">
        <v>-1700</v>
      </c>
    </row>
    <row r="1095" spans="1:7" x14ac:dyDescent="0.25">
      <c r="A1095" s="40">
        <v>45762.340613425928</v>
      </c>
      <c r="B1095" t="s">
        <v>1368</v>
      </c>
      <c r="C1095" t="s">
        <v>7</v>
      </c>
      <c r="E1095" t="s">
        <v>1364</v>
      </c>
      <c r="F1095" t="s">
        <v>1372</v>
      </c>
      <c r="G1095">
        <v>-760</v>
      </c>
    </row>
    <row r="1096" spans="1:7" x14ac:dyDescent="0.25">
      <c r="A1096" s="40">
        <v>45762.340613425928</v>
      </c>
      <c r="B1096" t="s">
        <v>1368</v>
      </c>
      <c r="C1096" t="s">
        <v>8</v>
      </c>
      <c r="E1096" t="s">
        <v>1364</v>
      </c>
      <c r="F1096" t="s">
        <v>1372</v>
      </c>
      <c r="G1096">
        <v>-450</v>
      </c>
    </row>
    <row r="1097" spans="1:7" x14ac:dyDescent="0.25">
      <c r="A1097" s="40">
        <v>45762.340613425928</v>
      </c>
      <c r="B1097" t="s">
        <v>1368</v>
      </c>
      <c r="C1097" t="s">
        <v>12</v>
      </c>
      <c r="E1097" t="s">
        <v>1364</v>
      </c>
      <c r="F1097" t="s">
        <v>1372</v>
      </c>
      <c r="G1097">
        <v>-500</v>
      </c>
    </row>
    <row r="1098" spans="1:7" x14ac:dyDescent="0.25">
      <c r="A1098" s="40">
        <v>45762.340613425928</v>
      </c>
      <c r="B1098" t="s">
        <v>1368</v>
      </c>
      <c r="C1098" t="s">
        <v>13</v>
      </c>
      <c r="E1098" t="s">
        <v>1364</v>
      </c>
      <c r="F1098" t="s">
        <v>1372</v>
      </c>
      <c r="G1098">
        <v>-240</v>
      </c>
    </row>
    <row r="1099" spans="1:7" x14ac:dyDescent="0.25">
      <c r="A1099" s="40">
        <v>45762.340613425928</v>
      </c>
      <c r="B1099" t="s">
        <v>1368</v>
      </c>
      <c r="C1099" t="s">
        <v>20</v>
      </c>
      <c r="E1099" t="s">
        <v>1364</v>
      </c>
      <c r="F1099" t="s">
        <v>1372</v>
      </c>
      <c r="G1099">
        <v>-660</v>
      </c>
    </row>
    <row r="1100" spans="1:7" x14ac:dyDescent="0.25">
      <c r="A1100" s="40">
        <v>45762.340613425928</v>
      </c>
      <c r="B1100" t="s">
        <v>1368</v>
      </c>
      <c r="C1100" t="s">
        <v>27</v>
      </c>
      <c r="E1100" t="s">
        <v>1364</v>
      </c>
      <c r="F1100" t="s">
        <v>1372</v>
      </c>
      <c r="G1100">
        <v>-1950</v>
      </c>
    </row>
    <row r="1101" spans="1:7" x14ac:dyDescent="0.25">
      <c r="A1101" s="40">
        <v>45762.340613425928</v>
      </c>
      <c r="B1101" t="s">
        <v>1368</v>
      </c>
      <c r="C1101" t="s">
        <v>28</v>
      </c>
      <c r="E1101" t="s">
        <v>1364</v>
      </c>
      <c r="F1101" t="s">
        <v>1372</v>
      </c>
      <c r="G1101">
        <v>-135</v>
      </c>
    </row>
    <row r="1102" spans="1:7" x14ac:dyDescent="0.25">
      <c r="A1102" s="40">
        <v>45762.340613425928</v>
      </c>
      <c r="B1102" t="s">
        <v>1368</v>
      </c>
      <c r="C1102" t="s">
        <v>44</v>
      </c>
      <c r="E1102" t="s">
        <v>1364</v>
      </c>
      <c r="F1102" t="s">
        <v>1372</v>
      </c>
      <c r="G1102">
        <v>-290</v>
      </c>
    </row>
    <row r="1103" spans="1:7" x14ac:dyDescent="0.25">
      <c r="A1103" s="40">
        <v>45762.340613425928</v>
      </c>
      <c r="B1103" t="s">
        <v>1368</v>
      </c>
      <c r="C1103" t="s">
        <v>47</v>
      </c>
      <c r="E1103" t="s">
        <v>1364</v>
      </c>
      <c r="F1103" t="s">
        <v>1372</v>
      </c>
      <c r="G1103">
        <v>-290</v>
      </c>
    </row>
    <row r="1104" spans="1:7" x14ac:dyDescent="0.25">
      <c r="A1104" s="40">
        <v>45762.340613425928</v>
      </c>
      <c r="B1104" t="s">
        <v>1368</v>
      </c>
      <c r="C1104" t="s">
        <v>56</v>
      </c>
      <c r="E1104" t="s">
        <v>1364</v>
      </c>
      <c r="F1104" t="s">
        <v>1372</v>
      </c>
      <c r="G1104">
        <v>-135</v>
      </c>
    </row>
    <row r="1105" spans="1:7" x14ac:dyDescent="0.25">
      <c r="A1105" s="40">
        <v>45762.340613425928</v>
      </c>
      <c r="B1105" t="s">
        <v>1368</v>
      </c>
      <c r="C1105" t="s">
        <v>58</v>
      </c>
      <c r="E1105" t="s">
        <v>1364</v>
      </c>
      <c r="F1105" t="s">
        <v>1372</v>
      </c>
      <c r="G1105">
        <v>-450</v>
      </c>
    </row>
    <row r="1106" spans="1:7" x14ac:dyDescent="0.25">
      <c r="A1106" s="40">
        <v>45762.340613425928</v>
      </c>
      <c r="B1106" t="s">
        <v>1368</v>
      </c>
      <c r="C1106" t="s">
        <v>60</v>
      </c>
      <c r="E1106" t="s">
        <v>1364</v>
      </c>
      <c r="F1106" t="s">
        <v>1372</v>
      </c>
      <c r="G1106">
        <v>-400</v>
      </c>
    </row>
    <row r="1107" spans="1:7" x14ac:dyDescent="0.25">
      <c r="A1107" s="40">
        <v>45762.340613425928</v>
      </c>
      <c r="B1107" t="s">
        <v>1368</v>
      </c>
      <c r="C1107" t="s">
        <v>62</v>
      </c>
      <c r="E1107" t="s">
        <v>1364</v>
      </c>
      <c r="F1107" t="s">
        <v>1372</v>
      </c>
      <c r="G1107">
        <v>-70</v>
      </c>
    </row>
    <row r="1108" spans="1:7" x14ac:dyDescent="0.25">
      <c r="A1108" s="40">
        <v>45762.340613425928</v>
      </c>
      <c r="B1108" t="s">
        <v>1368</v>
      </c>
      <c r="C1108" t="s">
        <v>63</v>
      </c>
      <c r="E1108" t="s">
        <v>1364</v>
      </c>
      <c r="F1108" t="s">
        <v>1372</v>
      </c>
      <c r="G1108">
        <v>-185</v>
      </c>
    </row>
    <row r="1109" spans="1:7" x14ac:dyDescent="0.25">
      <c r="A1109" s="40">
        <v>45762.340613425928</v>
      </c>
      <c r="B1109" t="s">
        <v>1368</v>
      </c>
      <c r="C1109" t="s">
        <v>68</v>
      </c>
      <c r="E1109" t="s">
        <v>1364</v>
      </c>
      <c r="F1109" t="s">
        <v>1372</v>
      </c>
      <c r="G1109">
        <v>-450</v>
      </c>
    </row>
    <row r="1110" spans="1:7" x14ac:dyDescent="0.25">
      <c r="A1110" s="40">
        <v>45762.340613425928</v>
      </c>
      <c r="B1110" t="s">
        <v>1368</v>
      </c>
      <c r="C1110" t="s">
        <v>69</v>
      </c>
      <c r="E1110" t="s">
        <v>1364</v>
      </c>
      <c r="F1110" t="s">
        <v>1372</v>
      </c>
      <c r="G1110">
        <v>-500</v>
      </c>
    </row>
    <row r="1111" spans="1:7" x14ac:dyDescent="0.25">
      <c r="A1111" s="40">
        <v>45762.340613425928</v>
      </c>
      <c r="B1111" t="s">
        <v>1368</v>
      </c>
      <c r="C1111" t="s">
        <v>70</v>
      </c>
      <c r="E1111" t="s">
        <v>1364</v>
      </c>
      <c r="F1111" t="s">
        <v>1372</v>
      </c>
      <c r="G1111">
        <v>-760</v>
      </c>
    </row>
    <row r="1112" spans="1:7" x14ac:dyDescent="0.25">
      <c r="A1112" s="40">
        <v>45762.340613425928</v>
      </c>
      <c r="B1112" t="s">
        <v>1368</v>
      </c>
      <c r="C1112" t="s">
        <v>79</v>
      </c>
      <c r="E1112" t="s">
        <v>1364</v>
      </c>
      <c r="F1112" t="s">
        <v>1372</v>
      </c>
      <c r="G1112">
        <v>-70</v>
      </c>
    </row>
    <row r="1113" spans="1:7" x14ac:dyDescent="0.25">
      <c r="A1113" s="40">
        <v>45762.340613425928</v>
      </c>
      <c r="B1113" t="s">
        <v>1368</v>
      </c>
      <c r="C1113" t="s">
        <v>82</v>
      </c>
      <c r="E1113" t="s">
        <v>1364</v>
      </c>
      <c r="F1113" t="s">
        <v>1372</v>
      </c>
      <c r="G1113">
        <v>-290</v>
      </c>
    </row>
    <row r="1114" spans="1:7" x14ac:dyDescent="0.25">
      <c r="A1114" s="40">
        <v>45762.340613425928</v>
      </c>
      <c r="B1114" t="s">
        <v>1368</v>
      </c>
      <c r="C1114" t="s">
        <v>89</v>
      </c>
      <c r="E1114" t="s">
        <v>1364</v>
      </c>
      <c r="F1114" t="s">
        <v>1372</v>
      </c>
      <c r="G1114">
        <v>-240</v>
      </c>
    </row>
    <row r="1115" spans="1:7" x14ac:dyDescent="0.25">
      <c r="A1115" s="40">
        <v>45762.340613425928</v>
      </c>
      <c r="B1115" t="s">
        <v>1368</v>
      </c>
      <c r="C1115" t="s">
        <v>230</v>
      </c>
      <c r="E1115" t="s">
        <v>1364</v>
      </c>
      <c r="F1115" t="s">
        <v>1372</v>
      </c>
      <c r="G1115">
        <v>-185</v>
      </c>
    </row>
    <row r="1116" spans="1:7" x14ac:dyDescent="0.25">
      <c r="A1116" s="40">
        <v>45762.340613425928</v>
      </c>
      <c r="B1116" t="s">
        <v>1368</v>
      </c>
      <c r="C1116" t="s">
        <v>420</v>
      </c>
      <c r="E1116" t="s">
        <v>1364</v>
      </c>
      <c r="F1116" t="s">
        <v>1372</v>
      </c>
      <c r="G1116">
        <v>-135</v>
      </c>
    </row>
    <row r="1117" spans="1:7" x14ac:dyDescent="0.25">
      <c r="A1117" s="40">
        <v>45762.340613425928</v>
      </c>
      <c r="B1117" t="s">
        <v>1368</v>
      </c>
      <c r="C1117" t="s">
        <v>693</v>
      </c>
      <c r="E1117" t="s">
        <v>1364</v>
      </c>
      <c r="F1117" t="s">
        <v>1372</v>
      </c>
      <c r="G1117">
        <v>-70</v>
      </c>
    </row>
    <row r="1118" spans="1:7" x14ac:dyDescent="0.25">
      <c r="A1118" s="40">
        <v>45762.340613425928</v>
      </c>
      <c r="B1118" t="s">
        <v>1368</v>
      </c>
      <c r="C1118" t="s">
        <v>414</v>
      </c>
      <c r="E1118" t="s">
        <v>1364</v>
      </c>
      <c r="F1118" t="s">
        <v>1372</v>
      </c>
      <c r="G1118">
        <v>-290</v>
      </c>
    </row>
    <row r="1119" spans="1:7" x14ac:dyDescent="0.25">
      <c r="A1119" s="40">
        <v>45762.340613425928</v>
      </c>
      <c r="B1119" t="s">
        <v>1368</v>
      </c>
      <c r="C1119" t="s">
        <v>424</v>
      </c>
      <c r="E1119" t="s">
        <v>1364</v>
      </c>
      <c r="F1119" t="s">
        <v>1372</v>
      </c>
      <c r="G1119">
        <v>-135</v>
      </c>
    </row>
    <row r="1120" spans="1:7" x14ac:dyDescent="0.25">
      <c r="A1120" s="40">
        <v>45762.340613425928</v>
      </c>
      <c r="B1120" t="s">
        <v>1368</v>
      </c>
      <c r="C1120" t="s">
        <v>326</v>
      </c>
      <c r="E1120" t="s">
        <v>1364</v>
      </c>
      <c r="F1120" t="s">
        <v>1372</v>
      </c>
      <c r="G1120">
        <v>-70</v>
      </c>
    </row>
    <row r="1121" spans="1:8" x14ac:dyDescent="0.25">
      <c r="A1121" s="40">
        <v>45762.340613425928</v>
      </c>
      <c r="B1121" t="s">
        <v>1368</v>
      </c>
      <c r="C1121" t="s">
        <v>281</v>
      </c>
      <c r="E1121" t="s">
        <v>1364</v>
      </c>
      <c r="F1121" t="s">
        <v>1372</v>
      </c>
      <c r="G1121">
        <v>-135</v>
      </c>
    </row>
    <row r="1122" spans="1:8" x14ac:dyDescent="0.25">
      <c r="A1122" s="40">
        <v>45762.340613425928</v>
      </c>
      <c r="B1122" t="s">
        <v>1368</v>
      </c>
      <c r="C1122" t="s">
        <v>296</v>
      </c>
      <c r="E1122" t="s">
        <v>1364</v>
      </c>
      <c r="F1122" t="s">
        <v>1372</v>
      </c>
      <c r="G1122">
        <v>-350</v>
      </c>
    </row>
    <row r="1123" spans="1:8" x14ac:dyDescent="0.25">
      <c r="A1123" s="40">
        <v>45762.340613425928</v>
      </c>
      <c r="B1123" t="s">
        <v>1368</v>
      </c>
      <c r="C1123" t="s">
        <v>330</v>
      </c>
      <c r="E1123" t="s">
        <v>1364</v>
      </c>
      <c r="F1123" t="s">
        <v>1372</v>
      </c>
      <c r="G1123">
        <v>-400</v>
      </c>
    </row>
    <row r="1124" spans="1:8" x14ac:dyDescent="0.25">
      <c r="A1124" s="40">
        <v>45762.340613425928</v>
      </c>
      <c r="B1124" t="s">
        <v>1368</v>
      </c>
      <c r="C1124" t="s">
        <v>370</v>
      </c>
      <c r="E1124" t="s">
        <v>1364</v>
      </c>
      <c r="F1124" t="s">
        <v>1372</v>
      </c>
      <c r="G1124">
        <v>-70</v>
      </c>
    </row>
    <row r="1125" spans="1:8" x14ac:dyDescent="0.25">
      <c r="A1125" s="40">
        <v>45762.340613425928</v>
      </c>
      <c r="B1125" t="s">
        <v>1368</v>
      </c>
      <c r="C1125" t="s">
        <v>445</v>
      </c>
      <c r="E1125" t="s">
        <v>1364</v>
      </c>
      <c r="F1125" t="s">
        <v>1372</v>
      </c>
      <c r="G1125">
        <v>-135</v>
      </c>
    </row>
    <row r="1126" spans="1:8" x14ac:dyDescent="0.25">
      <c r="A1126" s="40">
        <v>45762.340613425928</v>
      </c>
      <c r="B1126" t="s">
        <v>1368</v>
      </c>
      <c r="C1126" t="s">
        <v>464</v>
      </c>
      <c r="E1126" t="s">
        <v>1364</v>
      </c>
      <c r="F1126" t="s">
        <v>1372</v>
      </c>
      <c r="G1126">
        <v>-135</v>
      </c>
    </row>
    <row r="1127" spans="1:8" x14ac:dyDescent="0.25">
      <c r="A1127" s="40">
        <v>45762.340613425928</v>
      </c>
      <c r="B1127" t="s">
        <v>1368</v>
      </c>
      <c r="C1127" t="s">
        <v>477</v>
      </c>
      <c r="E1127" t="s">
        <v>1364</v>
      </c>
      <c r="F1127" t="s">
        <v>1372</v>
      </c>
      <c r="G1127">
        <v>-70</v>
      </c>
    </row>
    <row r="1128" spans="1:8" x14ac:dyDescent="0.25">
      <c r="A1128" s="40">
        <v>45762.340613425928</v>
      </c>
      <c r="B1128" t="s">
        <v>1368</v>
      </c>
      <c r="C1128" t="s">
        <v>1352</v>
      </c>
      <c r="E1128" t="s">
        <v>1365</v>
      </c>
      <c r="F1128" t="s">
        <v>1372</v>
      </c>
      <c r="G1128">
        <v>-710</v>
      </c>
    </row>
    <row r="1129" spans="1:8" x14ac:dyDescent="0.25">
      <c r="A1129" s="40">
        <v>45762.340613425928</v>
      </c>
      <c r="B1129" t="s">
        <v>1368</v>
      </c>
      <c r="C1129" t="s">
        <v>1353</v>
      </c>
      <c r="E1129" t="s">
        <v>1365</v>
      </c>
      <c r="F1129" t="s">
        <v>1372</v>
      </c>
      <c r="G1129">
        <v>-110</v>
      </c>
      <c r="H1129">
        <v>1385</v>
      </c>
    </row>
    <row r="1130" spans="1:8" x14ac:dyDescent="0.25">
      <c r="A1130" s="40">
        <v>45762.547106481485</v>
      </c>
      <c r="B1130" t="s">
        <v>1369</v>
      </c>
      <c r="C1130" t="s">
        <v>1</v>
      </c>
      <c r="E1130" t="s">
        <v>1364</v>
      </c>
      <c r="F1130" t="s">
        <v>1372</v>
      </c>
      <c r="G1130">
        <v>-65</v>
      </c>
    </row>
    <row r="1131" spans="1:8" x14ac:dyDescent="0.25">
      <c r="A1131" s="40">
        <v>45762.547106481485</v>
      </c>
      <c r="B1131" t="s">
        <v>1369</v>
      </c>
      <c r="C1131" t="s">
        <v>7</v>
      </c>
      <c r="E1131" t="s">
        <v>1364</v>
      </c>
      <c r="F1131" t="s">
        <v>1372</v>
      </c>
      <c r="G1131">
        <v>-30</v>
      </c>
    </row>
    <row r="1132" spans="1:8" x14ac:dyDescent="0.25">
      <c r="A1132" s="40">
        <v>45762.547106481485</v>
      </c>
      <c r="B1132" t="s">
        <v>1369</v>
      </c>
      <c r="C1132" t="s">
        <v>326</v>
      </c>
      <c r="E1132" t="s">
        <v>1364</v>
      </c>
      <c r="F1132" t="s">
        <v>1372</v>
      </c>
      <c r="G1132">
        <v>-25</v>
      </c>
    </row>
    <row r="1133" spans="1:8" x14ac:dyDescent="0.25">
      <c r="A1133" s="40">
        <v>45762.547106481485</v>
      </c>
      <c r="B1133" t="s">
        <v>1369</v>
      </c>
      <c r="C1133" t="s">
        <v>63</v>
      </c>
      <c r="E1133" t="s">
        <v>1364</v>
      </c>
      <c r="F1133" t="s">
        <v>1372</v>
      </c>
      <c r="G1133">
        <v>-25</v>
      </c>
    </row>
    <row r="1134" spans="1:8" x14ac:dyDescent="0.25">
      <c r="A1134" s="40">
        <v>45762.547106481485</v>
      </c>
      <c r="B1134" t="s">
        <v>1369</v>
      </c>
      <c r="C1134" t="s">
        <v>1351</v>
      </c>
      <c r="E1134" t="s">
        <v>1365</v>
      </c>
      <c r="F1134" t="s">
        <v>1372</v>
      </c>
      <c r="G1134">
        <v>-6</v>
      </c>
    </row>
    <row r="1135" spans="1:8" x14ac:dyDescent="0.25">
      <c r="A1135" s="40">
        <v>45762.547106481485</v>
      </c>
      <c r="B1135" t="s">
        <v>1369</v>
      </c>
      <c r="C1135" t="s">
        <v>25</v>
      </c>
      <c r="E1135" t="s">
        <v>1364</v>
      </c>
      <c r="F1135" t="s">
        <v>1372</v>
      </c>
      <c r="G1135">
        <v>-40</v>
      </c>
    </row>
    <row r="1136" spans="1:8" x14ac:dyDescent="0.25">
      <c r="A1136" s="40">
        <v>45762.547106481485</v>
      </c>
      <c r="B1136" t="s">
        <v>1369</v>
      </c>
      <c r="C1136" t="s">
        <v>27</v>
      </c>
      <c r="E1136" t="s">
        <v>1364</v>
      </c>
      <c r="F1136" t="s">
        <v>1372</v>
      </c>
      <c r="G1136">
        <v>-30</v>
      </c>
    </row>
    <row r="1137" spans="1:10" x14ac:dyDescent="0.25">
      <c r="A1137" s="40">
        <v>45762.547106481485</v>
      </c>
      <c r="B1137" t="s">
        <v>1369</v>
      </c>
      <c r="C1137" t="s">
        <v>18</v>
      </c>
      <c r="E1137" t="s">
        <v>1364</v>
      </c>
      <c r="F1137" t="s">
        <v>1372</v>
      </c>
      <c r="G1137">
        <v>-25</v>
      </c>
    </row>
    <row r="1138" spans="1:10" x14ac:dyDescent="0.25">
      <c r="A1138" s="40">
        <v>45762.547106481485</v>
      </c>
      <c r="B1138" t="s">
        <v>1369</v>
      </c>
      <c r="C1138" t="s">
        <v>14</v>
      </c>
      <c r="E1138" t="s">
        <v>1364</v>
      </c>
      <c r="F1138" t="s">
        <v>1372</v>
      </c>
      <c r="G1138">
        <v>-30</v>
      </c>
    </row>
    <row r="1139" spans="1:10" x14ac:dyDescent="0.25">
      <c r="A1139" s="40">
        <v>45791.743750000001</v>
      </c>
      <c r="B1139" t="s">
        <v>1380</v>
      </c>
      <c r="C1139" t="s">
        <v>258</v>
      </c>
      <c r="E1139" t="s">
        <v>1364</v>
      </c>
      <c r="F1139" t="s">
        <v>1372</v>
      </c>
      <c r="G1139">
        <v>-4</v>
      </c>
      <c r="H1139">
        <v>2845</v>
      </c>
      <c r="J1139" t="s">
        <v>1381</v>
      </c>
    </row>
    <row r="1140" spans="1:10" x14ac:dyDescent="0.25">
      <c r="A1140" s="40">
        <v>45791.743750000001</v>
      </c>
      <c r="B1140" t="s">
        <v>1380</v>
      </c>
      <c r="C1140" t="s">
        <v>58</v>
      </c>
      <c r="E1140" t="s">
        <v>1364</v>
      </c>
      <c r="F1140" t="s">
        <v>1372</v>
      </c>
      <c r="G1140">
        <v>-2</v>
      </c>
      <c r="H1140">
        <v>8336</v>
      </c>
      <c r="J1140" t="s">
        <v>1381</v>
      </c>
    </row>
    <row r="1141" spans="1:10" x14ac:dyDescent="0.25">
      <c r="A1141" s="40">
        <v>45791.743750000001</v>
      </c>
      <c r="B1141" t="s">
        <v>1380</v>
      </c>
      <c r="C1141" t="s">
        <v>2</v>
      </c>
      <c r="E1141" t="s">
        <v>1364</v>
      </c>
      <c r="F1141" t="s">
        <v>1372</v>
      </c>
      <c r="G1141">
        <v>-16</v>
      </c>
      <c r="H1141">
        <v>7815</v>
      </c>
      <c r="J1141" t="s">
        <v>1381</v>
      </c>
    </row>
    <row r="1142" spans="1:10" x14ac:dyDescent="0.25">
      <c r="A1142" s="40">
        <v>45791.743750000001</v>
      </c>
      <c r="B1142" t="s">
        <v>1380</v>
      </c>
      <c r="C1142" t="s">
        <v>260</v>
      </c>
      <c r="E1142" t="s">
        <v>1364</v>
      </c>
      <c r="F1142" t="s">
        <v>1372</v>
      </c>
      <c r="G1142">
        <v>-8</v>
      </c>
      <c r="H1142">
        <v>210</v>
      </c>
      <c r="J1142" t="s">
        <v>1381</v>
      </c>
    </row>
    <row r="1143" spans="1:10" x14ac:dyDescent="0.25">
      <c r="A1143" s="40">
        <v>45791.743750000001</v>
      </c>
      <c r="B1143" t="s">
        <v>1380</v>
      </c>
      <c r="C1143" t="s">
        <v>55</v>
      </c>
      <c r="E1143" t="s">
        <v>1364</v>
      </c>
      <c r="F1143" t="s">
        <v>1372</v>
      </c>
      <c r="G1143">
        <v>-4</v>
      </c>
      <c r="H1143">
        <v>1752</v>
      </c>
      <c r="J1143" t="s">
        <v>1381</v>
      </c>
    </row>
    <row r="1144" spans="1:10" x14ac:dyDescent="0.25">
      <c r="A1144" s="40">
        <v>45791.743750000001</v>
      </c>
      <c r="B1144" t="s">
        <v>1380</v>
      </c>
      <c r="C1144" t="s">
        <v>57</v>
      </c>
      <c r="E1144" t="s">
        <v>1364</v>
      </c>
      <c r="F1144" t="s">
        <v>1372</v>
      </c>
      <c r="G1144">
        <v>-2</v>
      </c>
      <c r="H1144">
        <v>3306</v>
      </c>
      <c r="J1144" t="s">
        <v>1381</v>
      </c>
    </row>
    <row r="1145" spans="1:10" x14ac:dyDescent="0.25">
      <c r="A1145" s="40">
        <v>45791.743750000001</v>
      </c>
      <c r="B1145" t="s">
        <v>1380</v>
      </c>
      <c r="C1145" t="s">
        <v>56</v>
      </c>
      <c r="E1145" t="s">
        <v>1364</v>
      </c>
      <c r="F1145" t="s">
        <v>1372</v>
      </c>
      <c r="G1145">
        <v>-6</v>
      </c>
      <c r="H1145">
        <v>243</v>
      </c>
      <c r="J1145" t="s">
        <v>1381</v>
      </c>
    </row>
    <row r="1146" spans="1:10" x14ac:dyDescent="0.25">
      <c r="A1146" s="40">
        <v>45791.743750000001</v>
      </c>
      <c r="B1146" t="s">
        <v>1380</v>
      </c>
      <c r="C1146" t="s">
        <v>277</v>
      </c>
      <c r="E1146" t="s">
        <v>1364</v>
      </c>
      <c r="F1146" t="s">
        <v>1372</v>
      </c>
      <c r="G1146">
        <v>-4</v>
      </c>
      <c r="H1146">
        <v>3020</v>
      </c>
      <c r="J1146" t="s">
        <v>1381</v>
      </c>
    </row>
    <row r="1147" spans="1:10" x14ac:dyDescent="0.25">
      <c r="A1147" s="40">
        <v>45791.743750000001</v>
      </c>
      <c r="B1147" t="s">
        <v>1380</v>
      </c>
      <c r="C1147" t="s">
        <v>3</v>
      </c>
      <c r="E1147" t="s">
        <v>1364</v>
      </c>
      <c r="F1147" t="s">
        <v>1372</v>
      </c>
      <c r="G1147">
        <v>-40</v>
      </c>
      <c r="H1147">
        <v>10922</v>
      </c>
      <c r="J1147" t="s">
        <v>1381</v>
      </c>
    </row>
    <row r="1148" spans="1:10" x14ac:dyDescent="0.25">
      <c r="A1148" s="40">
        <v>45791.743750000001</v>
      </c>
      <c r="B1148" t="s">
        <v>1380</v>
      </c>
      <c r="C1148" t="s">
        <v>304</v>
      </c>
      <c r="E1148" t="s">
        <v>1364</v>
      </c>
      <c r="F1148" t="s">
        <v>1372</v>
      </c>
      <c r="G1148">
        <v>-26</v>
      </c>
      <c r="H1148">
        <v>1225</v>
      </c>
      <c r="J1148" t="s">
        <v>1381</v>
      </c>
    </row>
    <row r="1149" spans="1:10" x14ac:dyDescent="0.25">
      <c r="A1149" s="40">
        <v>45791.743750000001</v>
      </c>
      <c r="B1149" t="s">
        <v>1380</v>
      </c>
      <c r="C1149" t="s">
        <v>1</v>
      </c>
      <c r="E1149" t="s">
        <v>1364</v>
      </c>
      <c r="F1149" t="s">
        <v>1372</v>
      </c>
      <c r="G1149">
        <v>-102</v>
      </c>
      <c r="H1149">
        <v>12742</v>
      </c>
      <c r="J1149" t="s">
        <v>1381</v>
      </c>
    </row>
    <row r="1150" spans="1:10" x14ac:dyDescent="0.25">
      <c r="A1150" s="40">
        <v>45791.743750000001</v>
      </c>
      <c r="B1150" t="s">
        <v>1380</v>
      </c>
      <c r="C1150" t="s">
        <v>230</v>
      </c>
      <c r="E1150" t="s">
        <v>1364</v>
      </c>
      <c r="F1150" t="s">
        <v>1372</v>
      </c>
      <c r="G1150">
        <v>-8</v>
      </c>
      <c r="H1150">
        <v>6221</v>
      </c>
      <c r="J1150" t="s">
        <v>1381</v>
      </c>
    </row>
    <row r="1151" spans="1:10" x14ac:dyDescent="0.25">
      <c r="A1151" s="40">
        <v>45791.743750000001</v>
      </c>
      <c r="B1151" t="s">
        <v>1380</v>
      </c>
      <c r="C1151" t="s">
        <v>7</v>
      </c>
      <c r="E1151" t="s">
        <v>1364</v>
      </c>
      <c r="F1151" t="s">
        <v>1372</v>
      </c>
      <c r="G1151">
        <v>-26</v>
      </c>
      <c r="H1151">
        <v>11939</v>
      </c>
      <c r="J1151" t="s">
        <v>1381</v>
      </c>
    </row>
    <row r="1152" spans="1:10" x14ac:dyDescent="0.25">
      <c r="A1152" s="40">
        <v>45791.743750000001</v>
      </c>
      <c r="B1152" t="s">
        <v>1380</v>
      </c>
      <c r="C1152" t="s">
        <v>75</v>
      </c>
      <c r="E1152" t="s">
        <v>1364</v>
      </c>
      <c r="F1152" t="s">
        <v>1372</v>
      </c>
      <c r="G1152">
        <v>-6</v>
      </c>
      <c r="H1152">
        <v>3063</v>
      </c>
      <c r="J1152" t="s">
        <v>1381</v>
      </c>
    </row>
    <row r="1153" spans="1:10" x14ac:dyDescent="0.25">
      <c r="A1153" s="40">
        <v>45791.743750000001</v>
      </c>
      <c r="B1153" t="s">
        <v>1380</v>
      </c>
      <c r="C1153" t="s">
        <v>324</v>
      </c>
      <c r="E1153" t="s">
        <v>1364</v>
      </c>
      <c r="F1153" t="s">
        <v>1372</v>
      </c>
      <c r="G1153">
        <v>-10</v>
      </c>
      <c r="H1153">
        <v>1299</v>
      </c>
      <c r="J1153" t="s">
        <v>1381</v>
      </c>
    </row>
    <row r="1154" spans="1:10" x14ac:dyDescent="0.25">
      <c r="A1154" s="40">
        <v>45791.743750000001</v>
      </c>
      <c r="B1154" t="s">
        <v>1380</v>
      </c>
      <c r="C1154" t="s">
        <v>322</v>
      </c>
      <c r="E1154" t="s">
        <v>1364</v>
      </c>
      <c r="F1154" t="s">
        <v>1372</v>
      </c>
      <c r="G1154">
        <v>-4</v>
      </c>
      <c r="H1154">
        <v>1550</v>
      </c>
      <c r="J1154" t="s">
        <v>1381</v>
      </c>
    </row>
    <row r="1155" spans="1:10" x14ac:dyDescent="0.25">
      <c r="A1155" s="40">
        <v>45791.743750000001</v>
      </c>
      <c r="B1155" t="s">
        <v>1380</v>
      </c>
      <c r="C1155" t="s">
        <v>9</v>
      </c>
      <c r="E1155" t="s">
        <v>1364</v>
      </c>
      <c r="F1155" t="s">
        <v>1372</v>
      </c>
      <c r="G1155">
        <v>-6</v>
      </c>
      <c r="H1155">
        <v>3525</v>
      </c>
      <c r="J1155" t="s">
        <v>1381</v>
      </c>
    </row>
    <row r="1156" spans="1:10" x14ac:dyDescent="0.25">
      <c r="A1156" s="40">
        <v>45791.743750000001</v>
      </c>
      <c r="B1156" t="s">
        <v>1380</v>
      </c>
      <c r="C1156" t="s">
        <v>328</v>
      </c>
      <c r="E1156" t="s">
        <v>1364</v>
      </c>
      <c r="F1156" t="s">
        <v>1372</v>
      </c>
      <c r="G1156">
        <v>-2</v>
      </c>
      <c r="H1156">
        <v>3495</v>
      </c>
      <c r="J1156" t="s">
        <v>1381</v>
      </c>
    </row>
    <row r="1157" spans="1:10" x14ac:dyDescent="0.25">
      <c r="A1157" s="40">
        <v>45791.743750000001</v>
      </c>
      <c r="B1157" t="s">
        <v>1380</v>
      </c>
      <c r="C1157" t="s">
        <v>61</v>
      </c>
      <c r="E1157" t="s">
        <v>1364</v>
      </c>
      <c r="F1157" t="s">
        <v>1372</v>
      </c>
      <c r="G1157">
        <v>-14</v>
      </c>
      <c r="H1157">
        <v>1919</v>
      </c>
      <c r="J1157" t="s">
        <v>1381</v>
      </c>
    </row>
    <row r="1158" spans="1:10" x14ac:dyDescent="0.25">
      <c r="A1158" s="40">
        <v>45791.743750000001</v>
      </c>
      <c r="B1158" t="s">
        <v>1380</v>
      </c>
      <c r="C1158" t="s">
        <v>60</v>
      </c>
      <c r="E1158" t="s">
        <v>1364</v>
      </c>
      <c r="F1158" t="s">
        <v>1372</v>
      </c>
      <c r="G1158">
        <v>-20</v>
      </c>
      <c r="H1158">
        <v>485</v>
      </c>
      <c r="J1158" t="s">
        <v>1381</v>
      </c>
    </row>
    <row r="1159" spans="1:10" x14ac:dyDescent="0.25">
      <c r="A1159" s="40">
        <v>45791.743750000001</v>
      </c>
      <c r="B1159" t="s">
        <v>1380</v>
      </c>
      <c r="C1159" t="s">
        <v>66</v>
      </c>
      <c r="E1159" t="s">
        <v>1364</v>
      </c>
      <c r="F1159" t="s">
        <v>1372</v>
      </c>
      <c r="G1159">
        <v>-4</v>
      </c>
      <c r="H1159">
        <v>4337</v>
      </c>
      <c r="J1159" t="s">
        <v>1381</v>
      </c>
    </row>
    <row r="1160" spans="1:10" x14ac:dyDescent="0.25">
      <c r="A1160" s="40">
        <v>45791.743750000001</v>
      </c>
      <c r="B1160" t="s">
        <v>1380</v>
      </c>
      <c r="C1160" t="s">
        <v>79</v>
      </c>
      <c r="E1160" t="s">
        <v>1364</v>
      </c>
      <c r="F1160" t="s">
        <v>1372</v>
      </c>
      <c r="G1160">
        <v>-2</v>
      </c>
      <c r="H1160">
        <v>2391</v>
      </c>
      <c r="J1160" t="s">
        <v>1381</v>
      </c>
    </row>
    <row r="1161" spans="1:10" x14ac:dyDescent="0.25">
      <c r="A1161" s="40">
        <v>45791.743750000001</v>
      </c>
      <c r="B1161" t="s">
        <v>1380</v>
      </c>
      <c r="C1161" t="s">
        <v>82</v>
      </c>
      <c r="E1161" t="s">
        <v>1364</v>
      </c>
      <c r="F1161" t="s">
        <v>1372</v>
      </c>
      <c r="G1161">
        <v>-14</v>
      </c>
      <c r="H1161">
        <v>2594</v>
      </c>
      <c r="J1161" t="s">
        <v>1381</v>
      </c>
    </row>
    <row r="1162" spans="1:10" x14ac:dyDescent="0.25">
      <c r="A1162" s="40">
        <v>45791.743750000001</v>
      </c>
      <c r="B1162" t="s">
        <v>1380</v>
      </c>
      <c r="C1162" t="s">
        <v>335</v>
      </c>
      <c r="E1162" t="s">
        <v>1364</v>
      </c>
      <c r="F1162" t="s">
        <v>1372</v>
      </c>
      <c r="G1162">
        <v>-2</v>
      </c>
      <c r="H1162">
        <v>2830</v>
      </c>
      <c r="J1162" t="s">
        <v>1381</v>
      </c>
    </row>
    <row r="1163" spans="1:10" x14ac:dyDescent="0.25">
      <c r="A1163" s="40">
        <v>45791.743750000001</v>
      </c>
      <c r="B1163" t="s">
        <v>1380</v>
      </c>
      <c r="C1163" t="s">
        <v>89</v>
      </c>
      <c r="E1163" t="s">
        <v>1364</v>
      </c>
      <c r="F1163" t="s">
        <v>1372</v>
      </c>
      <c r="G1163">
        <v>-30</v>
      </c>
      <c r="H1163">
        <v>-27</v>
      </c>
      <c r="J1163" t="s">
        <v>1381</v>
      </c>
    </row>
    <row r="1164" spans="1:10" x14ac:dyDescent="0.25">
      <c r="A1164" s="40">
        <v>45791.743750000001</v>
      </c>
      <c r="B1164" t="s">
        <v>1380</v>
      </c>
      <c r="C1164" t="s">
        <v>1355</v>
      </c>
      <c r="E1164" t="s">
        <v>1365</v>
      </c>
      <c r="F1164" t="s">
        <v>1372</v>
      </c>
      <c r="G1164">
        <v>-2</v>
      </c>
      <c r="H1164">
        <v>58</v>
      </c>
      <c r="J1164" t="s">
        <v>1381</v>
      </c>
    </row>
    <row r="1165" spans="1:10" x14ac:dyDescent="0.25">
      <c r="A1165" s="40">
        <v>45791.743750000001</v>
      </c>
      <c r="B1165" t="s">
        <v>1380</v>
      </c>
      <c r="C1165" t="s">
        <v>68</v>
      </c>
      <c r="E1165" t="s">
        <v>1364</v>
      </c>
      <c r="F1165" t="s">
        <v>1372</v>
      </c>
      <c r="G1165">
        <v>-16</v>
      </c>
      <c r="H1165">
        <v>352</v>
      </c>
      <c r="J1165" t="s">
        <v>1381</v>
      </c>
    </row>
    <row r="1166" spans="1:10" x14ac:dyDescent="0.25">
      <c r="A1166" s="40">
        <v>45791.743750000001</v>
      </c>
      <c r="B1166" t="s">
        <v>1380</v>
      </c>
      <c r="C1166" t="s">
        <v>69</v>
      </c>
      <c r="E1166" t="s">
        <v>1364</v>
      </c>
      <c r="F1166" t="s">
        <v>1372</v>
      </c>
      <c r="G1166">
        <v>-14</v>
      </c>
      <c r="H1166">
        <v>1052</v>
      </c>
      <c r="J1166" t="s">
        <v>1381</v>
      </c>
    </row>
    <row r="1167" spans="1:10" x14ac:dyDescent="0.25">
      <c r="A1167" s="40">
        <v>45791.743750000001</v>
      </c>
      <c r="B1167" t="s">
        <v>1380</v>
      </c>
      <c r="C1167" t="s">
        <v>6</v>
      </c>
      <c r="E1167" t="s">
        <v>1364</v>
      </c>
      <c r="F1167" t="s">
        <v>1372</v>
      </c>
      <c r="G1167">
        <v>-2</v>
      </c>
      <c r="H1167">
        <v>7635</v>
      </c>
      <c r="J1167" t="s">
        <v>1381</v>
      </c>
    </row>
    <row r="1168" spans="1:10" x14ac:dyDescent="0.25">
      <c r="A1168" s="40">
        <v>45791.743750000001</v>
      </c>
      <c r="B1168" t="s">
        <v>1380</v>
      </c>
      <c r="C1168" t="s">
        <v>104</v>
      </c>
      <c r="E1168" t="s">
        <v>1364</v>
      </c>
      <c r="F1168" t="s">
        <v>1372</v>
      </c>
      <c r="G1168">
        <v>-8</v>
      </c>
      <c r="H1168">
        <v>2804</v>
      </c>
      <c r="J1168" t="s">
        <v>1381</v>
      </c>
    </row>
    <row r="1169" spans="1:10" x14ac:dyDescent="0.25">
      <c r="A1169" s="40">
        <v>45791.743750000001</v>
      </c>
      <c r="B1169" t="s">
        <v>1380</v>
      </c>
      <c r="C1169" t="s">
        <v>93</v>
      </c>
      <c r="E1169" t="s">
        <v>1364</v>
      </c>
      <c r="F1169" t="s">
        <v>1372</v>
      </c>
      <c r="G1169">
        <v>-2</v>
      </c>
      <c r="H1169">
        <v>4581</v>
      </c>
      <c r="J1169" t="s">
        <v>1381</v>
      </c>
    </row>
    <row r="1170" spans="1:10" x14ac:dyDescent="0.25">
      <c r="A1170" s="40">
        <v>45791.743750000001</v>
      </c>
      <c r="B1170" t="s">
        <v>1380</v>
      </c>
      <c r="C1170" t="s">
        <v>420</v>
      </c>
      <c r="E1170" t="s">
        <v>1364</v>
      </c>
      <c r="F1170" t="s">
        <v>1372</v>
      </c>
      <c r="G1170">
        <v>-16</v>
      </c>
      <c r="H1170">
        <v>2230</v>
      </c>
      <c r="J1170" t="s">
        <v>1381</v>
      </c>
    </row>
    <row r="1171" spans="1:10" x14ac:dyDescent="0.25">
      <c r="A1171" s="40">
        <v>45791.743750000001</v>
      </c>
      <c r="B1171" t="s">
        <v>1380</v>
      </c>
      <c r="C1171" t="s">
        <v>92</v>
      </c>
      <c r="E1171" t="s">
        <v>1364</v>
      </c>
      <c r="F1171" t="s">
        <v>1372</v>
      </c>
      <c r="G1171">
        <v>-8</v>
      </c>
      <c r="H1171">
        <v>3229</v>
      </c>
      <c r="J1171" t="s">
        <v>1381</v>
      </c>
    </row>
    <row r="1172" spans="1:10" x14ac:dyDescent="0.25">
      <c r="A1172" s="40">
        <v>45791.743750000001</v>
      </c>
      <c r="B1172" t="s">
        <v>1380</v>
      </c>
      <c r="C1172" t="s">
        <v>426</v>
      </c>
      <c r="E1172" t="s">
        <v>1364</v>
      </c>
      <c r="F1172" t="s">
        <v>1372</v>
      </c>
      <c r="G1172">
        <v>-4</v>
      </c>
      <c r="H1172">
        <v>4505</v>
      </c>
      <c r="J1172" t="s">
        <v>1381</v>
      </c>
    </row>
    <row r="1173" spans="1:10" x14ac:dyDescent="0.25">
      <c r="A1173" s="40">
        <v>45791.743750000001</v>
      </c>
      <c r="B1173" t="s">
        <v>1380</v>
      </c>
      <c r="C1173" t="s">
        <v>447</v>
      </c>
      <c r="E1173" t="s">
        <v>1364</v>
      </c>
      <c r="F1173" t="s">
        <v>1372</v>
      </c>
      <c r="G1173">
        <v>-2</v>
      </c>
      <c r="H1173">
        <v>3740</v>
      </c>
      <c r="J1173" t="s">
        <v>1381</v>
      </c>
    </row>
    <row r="1174" spans="1:10" x14ac:dyDescent="0.25">
      <c r="A1174" s="40">
        <v>45791.743750000001</v>
      </c>
      <c r="B1174" t="s">
        <v>1380</v>
      </c>
      <c r="C1174" t="s">
        <v>94</v>
      </c>
      <c r="E1174" t="s">
        <v>1364</v>
      </c>
      <c r="F1174" t="s">
        <v>1372</v>
      </c>
      <c r="G1174">
        <v>-2</v>
      </c>
      <c r="H1174">
        <v>1034</v>
      </c>
      <c r="J1174" t="s">
        <v>1381</v>
      </c>
    </row>
    <row r="1175" spans="1:10" x14ac:dyDescent="0.25">
      <c r="A1175" s="40">
        <v>45791.743750000001</v>
      </c>
      <c r="B1175" t="s">
        <v>1380</v>
      </c>
      <c r="C1175" t="s">
        <v>45</v>
      </c>
      <c r="E1175" t="s">
        <v>1364</v>
      </c>
      <c r="F1175" t="s">
        <v>1372</v>
      </c>
      <c r="G1175">
        <v>-2</v>
      </c>
      <c r="H1175">
        <v>4036</v>
      </c>
      <c r="J1175" t="s">
        <v>1381</v>
      </c>
    </row>
    <row r="1176" spans="1:10" x14ac:dyDescent="0.25">
      <c r="A1176" s="40">
        <v>45791.743750000001</v>
      </c>
      <c r="B1176" t="s">
        <v>1380</v>
      </c>
      <c r="C1176" t="s">
        <v>47</v>
      </c>
      <c r="E1176" t="s">
        <v>1364</v>
      </c>
      <c r="F1176" t="s">
        <v>1372</v>
      </c>
      <c r="G1176">
        <v>-34</v>
      </c>
      <c r="H1176">
        <v>38436</v>
      </c>
      <c r="J1176" t="s">
        <v>1381</v>
      </c>
    </row>
    <row r="1177" spans="1:10" x14ac:dyDescent="0.25">
      <c r="A1177" s="40">
        <v>45791.743750000001</v>
      </c>
      <c r="B1177" t="s">
        <v>1380</v>
      </c>
      <c r="C1177" t="s">
        <v>418</v>
      </c>
      <c r="E1177" t="s">
        <v>1364</v>
      </c>
      <c r="F1177" t="s">
        <v>1372</v>
      </c>
      <c r="G1177">
        <v>-2</v>
      </c>
      <c r="H1177">
        <v>2780</v>
      </c>
      <c r="J1177" t="s">
        <v>1381</v>
      </c>
    </row>
    <row r="1178" spans="1:10" x14ac:dyDescent="0.25">
      <c r="A1178" s="40">
        <v>45791.743750000001</v>
      </c>
      <c r="B1178" t="s">
        <v>1380</v>
      </c>
      <c r="C1178" t="s">
        <v>441</v>
      </c>
      <c r="E1178" t="s">
        <v>1364</v>
      </c>
      <c r="F1178" t="s">
        <v>1372</v>
      </c>
      <c r="G1178">
        <v>-26</v>
      </c>
      <c r="H1178">
        <v>970</v>
      </c>
      <c r="J1178" t="s">
        <v>1381</v>
      </c>
    </row>
    <row r="1179" spans="1:10" x14ac:dyDescent="0.25">
      <c r="A1179" s="40">
        <v>45791.743750000001</v>
      </c>
      <c r="B1179" t="s">
        <v>1380</v>
      </c>
      <c r="C1179" t="s">
        <v>20</v>
      </c>
      <c r="E1179" t="s">
        <v>1364</v>
      </c>
      <c r="F1179" t="s">
        <v>1372</v>
      </c>
      <c r="G1179">
        <v>-48</v>
      </c>
      <c r="H1179">
        <v>10795</v>
      </c>
      <c r="J1179" t="s">
        <v>1381</v>
      </c>
    </row>
    <row r="1180" spans="1:10" x14ac:dyDescent="0.25">
      <c r="A1180" s="40">
        <v>45791.743750000001</v>
      </c>
      <c r="B1180" t="s">
        <v>1380</v>
      </c>
      <c r="C1180" t="s">
        <v>32</v>
      </c>
      <c r="E1180" t="s">
        <v>1364</v>
      </c>
      <c r="F1180" t="s">
        <v>1372</v>
      </c>
      <c r="G1180">
        <v>-2</v>
      </c>
      <c r="H1180">
        <v>4266</v>
      </c>
      <c r="J1180" t="s">
        <v>1381</v>
      </c>
    </row>
    <row r="1181" spans="1:10" x14ac:dyDescent="0.25">
      <c r="A1181" s="40">
        <v>45791.743750000001</v>
      </c>
      <c r="B1181" t="s">
        <v>1380</v>
      </c>
      <c r="C1181" t="s">
        <v>29</v>
      </c>
      <c r="E1181" t="s">
        <v>1364</v>
      </c>
      <c r="F1181" t="s">
        <v>1372</v>
      </c>
      <c r="G1181">
        <v>-12</v>
      </c>
      <c r="H1181">
        <v>1089</v>
      </c>
      <c r="J1181" t="s">
        <v>1381</v>
      </c>
    </row>
    <row r="1182" spans="1:10" x14ac:dyDescent="0.25">
      <c r="A1182" s="40">
        <v>45791.743750000001</v>
      </c>
      <c r="B1182" t="s">
        <v>1380</v>
      </c>
      <c r="C1182" t="s">
        <v>44</v>
      </c>
      <c r="E1182" t="s">
        <v>1364</v>
      </c>
      <c r="F1182" t="s">
        <v>1372</v>
      </c>
      <c r="G1182">
        <v>-14</v>
      </c>
      <c r="H1182">
        <v>8737</v>
      </c>
      <c r="J1182" t="s">
        <v>1381</v>
      </c>
    </row>
    <row r="1183" spans="1:10" x14ac:dyDescent="0.25">
      <c r="A1183" s="40">
        <v>45791.743750000001</v>
      </c>
      <c r="B1183" t="s">
        <v>1380</v>
      </c>
      <c r="C1183" t="s">
        <v>456</v>
      </c>
      <c r="E1183" t="s">
        <v>1364</v>
      </c>
      <c r="F1183" t="s">
        <v>1372</v>
      </c>
      <c r="G1183">
        <v>-14</v>
      </c>
      <c r="H1183">
        <v>1435</v>
      </c>
      <c r="J1183" t="s">
        <v>1381</v>
      </c>
    </row>
    <row r="1184" spans="1:10" x14ac:dyDescent="0.25">
      <c r="A1184" s="40">
        <v>45791.743750000001</v>
      </c>
      <c r="B1184" t="s">
        <v>1380</v>
      </c>
      <c r="C1184" t="s">
        <v>40</v>
      </c>
      <c r="E1184" t="s">
        <v>1364</v>
      </c>
      <c r="F1184" t="s">
        <v>1372</v>
      </c>
      <c r="G1184">
        <v>-4</v>
      </c>
      <c r="H1184">
        <v>3827</v>
      </c>
      <c r="J1184" t="s">
        <v>1381</v>
      </c>
    </row>
    <row r="1185" spans="1:11" x14ac:dyDescent="0.25">
      <c r="A1185" s="40">
        <v>45791.743750000001</v>
      </c>
      <c r="B1185" t="s">
        <v>1380</v>
      </c>
      <c r="C1185" t="s">
        <v>27</v>
      </c>
      <c r="E1185" t="s">
        <v>1364</v>
      </c>
      <c r="F1185" t="s">
        <v>1372</v>
      </c>
      <c r="G1185">
        <v>-90</v>
      </c>
      <c r="H1185">
        <v>19737</v>
      </c>
      <c r="J1185" t="s">
        <v>1381</v>
      </c>
    </row>
    <row r="1186" spans="1:11" x14ac:dyDescent="0.25">
      <c r="A1186" s="40">
        <v>45791.743750000001</v>
      </c>
      <c r="B1186" t="s">
        <v>1380</v>
      </c>
      <c r="C1186" t="s">
        <v>468</v>
      </c>
      <c r="E1186" t="s">
        <v>1364</v>
      </c>
      <c r="F1186" t="s">
        <v>1372</v>
      </c>
      <c r="G1186">
        <v>-2</v>
      </c>
      <c r="H1186">
        <v>4740</v>
      </c>
      <c r="J1186" t="s">
        <v>1381</v>
      </c>
    </row>
    <row r="1187" spans="1:11" x14ac:dyDescent="0.25">
      <c r="A1187" s="40">
        <v>45791.743750000001</v>
      </c>
      <c r="B1187" t="s">
        <v>1380</v>
      </c>
      <c r="C1187" t="s">
        <v>96</v>
      </c>
      <c r="E1187" t="s">
        <v>1364</v>
      </c>
      <c r="F1187" t="s">
        <v>1372</v>
      </c>
      <c r="G1187">
        <v>-14</v>
      </c>
      <c r="H1187">
        <v>2278</v>
      </c>
      <c r="J1187" t="s">
        <v>1381</v>
      </c>
    </row>
    <row r="1188" spans="1:11" x14ac:dyDescent="0.25">
      <c r="A1188" s="40">
        <v>45791.743750000001</v>
      </c>
      <c r="B1188" t="s">
        <v>1380</v>
      </c>
      <c r="C1188" t="s">
        <v>360</v>
      </c>
      <c r="E1188" t="s">
        <v>1364</v>
      </c>
      <c r="F1188" t="s">
        <v>1372</v>
      </c>
      <c r="G1188">
        <v>-2</v>
      </c>
      <c r="H1188">
        <v>740</v>
      </c>
      <c r="J1188" t="s">
        <v>1381</v>
      </c>
    </row>
    <row r="1189" spans="1:11" x14ac:dyDescent="0.25">
      <c r="A1189" s="40">
        <v>45791.743750000001</v>
      </c>
      <c r="B1189" t="s">
        <v>1380</v>
      </c>
      <c r="C1189" t="s">
        <v>1352</v>
      </c>
      <c r="E1189" t="s">
        <v>1365</v>
      </c>
      <c r="F1189" t="s">
        <v>1372</v>
      </c>
      <c r="G1189">
        <v>-6</v>
      </c>
      <c r="H1189">
        <v>799</v>
      </c>
      <c r="J1189" t="s">
        <v>1381</v>
      </c>
    </row>
    <row r="1190" spans="1:11" x14ac:dyDescent="0.25">
      <c r="A1190" s="40">
        <v>45791.743750000001</v>
      </c>
      <c r="B1190" t="s">
        <v>1380</v>
      </c>
      <c r="C1190" t="s">
        <v>1353</v>
      </c>
      <c r="E1190" t="s">
        <v>1365</v>
      </c>
      <c r="F1190" t="s">
        <v>1372</v>
      </c>
      <c r="G1190">
        <v>-10</v>
      </c>
      <c r="H1190">
        <v>1375</v>
      </c>
      <c r="J1190" t="s">
        <v>1381</v>
      </c>
    </row>
    <row r="1191" spans="1:11" x14ac:dyDescent="0.25">
      <c r="A1191" s="40">
        <v>45791.411574074074</v>
      </c>
      <c r="B1191" t="s">
        <v>1382</v>
      </c>
      <c r="C1191" t="s">
        <v>1</v>
      </c>
      <c r="D1191" t="s">
        <v>250</v>
      </c>
      <c r="E1191" t="s">
        <v>1364</v>
      </c>
      <c r="F1191" t="s">
        <v>1372</v>
      </c>
      <c r="G1191">
        <v>-3747</v>
      </c>
      <c r="H1191">
        <v>5248</v>
      </c>
      <c r="K1191" t="s">
        <v>1383</v>
      </c>
    </row>
    <row r="1192" spans="1:11" x14ac:dyDescent="0.25">
      <c r="A1192" s="40">
        <v>45791.411574074074</v>
      </c>
      <c r="B1192" t="s">
        <v>1382</v>
      </c>
      <c r="C1192" t="s">
        <v>101</v>
      </c>
      <c r="D1192" t="s">
        <v>507</v>
      </c>
      <c r="E1192" t="s">
        <v>1364</v>
      </c>
      <c r="F1192" t="s">
        <v>1372</v>
      </c>
      <c r="G1192">
        <v>-36</v>
      </c>
      <c r="H1192">
        <v>4928</v>
      </c>
      <c r="K1192" t="s">
        <v>1383</v>
      </c>
    </row>
    <row r="1193" spans="1:11" x14ac:dyDescent="0.25">
      <c r="A1193" s="40">
        <v>45791.411574074074</v>
      </c>
      <c r="B1193" t="s">
        <v>1382</v>
      </c>
      <c r="C1193" t="s">
        <v>8</v>
      </c>
      <c r="D1193" t="s">
        <v>311</v>
      </c>
      <c r="E1193" t="s">
        <v>1364</v>
      </c>
      <c r="F1193" t="s">
        <v>1372</v>
      </c>
      <c r="G1193">
        <v>-482</v>
      </c>
      <c r="H1193">
        <v>4068</v>
      </c>
      <c r="K1193" t="s">
        <v>1383</v>
      </c>
    </row>
    <row r="1194" spans="1:11" x14ac:dyDescent="0.25">
      <c r="A1194" s="40">
        <v>45791.411574074074</v>
      </c>
      <c r="B1194" t="s">
        <v>1382</v>
      </c>
      <c r="C1194" t="s">
        <v>1363</v>
      </c>
      <c r="E1194" t="s">
        <v>1365</v>
      </c>
      <c r="F1194" t="s">
        <v>1372</v>
      </c>
      <c r="G1194">
        <v>-105</v>
      </c>
      <c r="H1194">
        <v>-65</v>
      </c>
      <c r="K1194" t="s">
        <v>1383</v>
      </c>
    </row>
    <row r="1195" spans="1:11" x14ac:dyDescent="0.25">
      <c r="A1195" s="40">
        <v>45791.411574074074</v>
      </c>
      <c r="B1195" t="s">
        <v>1382</v>
      </c>
      <c r="C1195" t="s">
        <v>341</v>
      </c>
      <c r="D1195" t="s">
        <v>342</v>
      </c>
      <c r="E1195" t="s">
        <v>1364</v>
      </c>
      <c r="F1195" t="s">
        <v>1372</v>
      </c>
      <c r="G1195">
        <v>-1025</v>
      </c>
      <c r="H1195">
        <v>1975</v>
      </c>
      <c r="K1195" t="s">
        <v>1383</v>
      </c>
    </row>
    <row r="1196" spans="1:11" x14ac:dyDescent="0.25">
      <c r="A1196" s="40">
        <v>45791.411574074074</v>
      </c>
      <c r="B1196" t="s">
        <v>1382</v>
      </c>
      <c r="C1196" t="s">
        <v>441</v>
      </c>
      <c r="D1196" t="s">
        <v>442</v>
      </c>
      <c r="E1196" t="s">
        <v>1364</v>
      </c>
      <c r="F1196" t="s">
        <v>1372</v>
      </c>
      <c r="G1196">
        <v>-96</v>
      </c>
      <c r="H1196">
        <v>874</v>
      </c>
      <c r="K1196" t="s">
        <v>1383</v>
      </c>
    </row>
    <row r="1197" spans="1:11" x14ac:dyDescent="0.25">
      <c r="A1197" s="40">
        <v>45791.411574074074</v>
      </c>
      <c r="B1197" t="s">
        <v>1382</v>
      </c>
      <c r="C1197" t="s">
        <v>456</v>
      </c>
      <c r="D1197" t="s">
        <v>457</v>
      </c>
      <c r="E1197" t="s">
        <v>1364</v>
      </c>
      <c r="F1197" t="s">
        <v>1372</v>
      </c>
      <c r="G1197">
        <v>-1512</v>
      </c>
      <c r="H1197">
        <v>-77</v>
      </c>
      <c r="K1197" t="s">
        <v>1383</v>
      </c>
    </row>
    <row r="1198" spans="1:11" x14ac:dyDescent="0.25">
      <c r="A1198" s="40">
        <v>45791.411574074074</v>
      </c>
      <c r="B1198" t="s">
        <v>1382</v>
      </c>
      <c r="C1198" t="s">
        <v>1353</v>
      </c>
      <c r="E1198" t="s">
        <v>1365</v>
      </c>
      <c r="F1198" t="s">
        <v>1372</v>
      </c>
      <c r="G1198">
        <v>-1116</v>
      </c>
      <c r="H1198">
        <v>259</v>
      </c>
      <c r="K1198" t="s">
        <v>1383</v>
      </c>
    </row>
    <row r="1199" spans="1:11" x14ac:dyDescent="0.25">
      <c r="A1199" s="40">
        <v>45791.411574074074</v>
      </c>
      <c r="B1199" t="s">
        <v>1382</v>
      </c>
      <c r="C1199" t="s">
        <v>428</v>
      </c>
      <c r="D1199" t="s">
        <v>429</v>
      </c>
      <c r="E1199" t="s">
        <v>1364</v>
      </c>
      <c r="F1199" t="s">
        <v>1372</v>
      </c>
      <c r="G1199">
        <v>-2736</v>
      </c>
      <c r="H1199">
        <v>-2008</v>
      </c>
      <c r="K1199" t="s">
        <v>1383</v>
      </c>
    </row>
    <row r="1200" spans="1:11" x14ac:dyDescent="0.25">
      <c r="A1200" s="40">
        <v>45791.411574074074</v>
      </c>
      <c r="B1200" t="s">
        <v>1382</v>
      </c>
      <c r="C1200" t="s">
        <v>412</v>
      </c>
      <c r="D1200" t="s">
        <v>413</v>
      </c>
      <c r="E1200" t="s">
        <v>1364</v>
      </c>
      <c r="F1200" t="s">
        <v>1372</v>
      </c>
      <c r="G1200">
        <v>-36</v>
      </c>
      <c r="H1200">
        <v>3624</v>
      </c>
      <c r="K1200" t="s">
        <v>1383</v>
      </c>
    </row>
    <row r="1201" spans="1:11" x14ac:dyDescent="0.25">
      <c r="A1201" s="40">
        <v>45791.411574074074</v>
      </c>
      <c r="B1201" t="s">
        <v>1382</v>
      </c>
      <c r="C1201" t="s">
        <v>104</v>
      </c>
      <c r="D1201" t="s">
        <v>410</v>
      </c>
      <c r="E1201" t="s">
        <v>1364</v>
      </c>
      <c r="F1201" t="s">
        <v>1372</v>
      </c>
      <c r="G1201">
        <v>-36</v>
      </c>
      <c r="H1201">
        <v>2768</v>
      </c>
      <c r="K1201" t="s">
        <v>1383</v>
      </c>
    </row>
    <row r="1202" spans="1:11" x14ac:dyDescent="0.25">
      <c r="A1202" s="40">
        <v>45791.411574074074</v>
      </c>
      <c r="B1202" t="s">
        <v>1382</v>
      </c>
      <c r="C1202" t="s">
        <v>61</v>
      </c>
      <c r="D1202" t="s">
        <v>353</v>
      </c>
      <c r="E1202" t="s">
        <v>1364</v>
      </c>
      <c r="F1202" t="s">
        <v>1372</v>
      </c>
      <c r="G1202">
        <v>-1288</v>
      </c>
      <c r="H1202">
        <v>631</v>
      </c>
      <c r="K1202" t="s">
        <v>1383</v>
      </c>
    </row>
    <row r="1203" spans="1:11" x14ac:dyDescent="0.25">
      <c r="A1203" s="40">
        <v>45791.411574074074</v>
      </c>
      <c r="B1203" t="s">
        <v>1382</v>
      </c>
      <c r="C1203" t="s">
        <v>435</v>
      </c>
      <c r="D1203" t="s">
        <v>436</v>
      </c>
      <c r="E1203" t="s">
        <v>1364</v>
      </c>
      <c r="F1203" t="s">
        <v>1372</v>
      </c>
      <c r="G1203">
        <v>-110</v>
      </c>
      <c r="H1203">
        <v>3380</v>
      </c>
      <c r="K1203" t="s">
        <v>1383</v>
      </c>
    </row>
    <row r="1204" spans="1:11" x14ac:dyDescent="0.25">
      <c r="A1204" s="40">
        <v>45791.411574074074</v>
      </c>
      <c r="B1204" t="s">
        <v>1382</v>
      </c>
      <c r="C1204" t="s">
        <v>330</v>
      </c>
      <c r="D1204" t="s">
        <v>331</v>
      </c>
      <c r="E1204" t="s">
        <v>1364</v>
      </c>
      <c r="F1204" t="s">
        <v>1372</v>
      </c>
      <c r="G1204">
        <v>-227</v>
      </c>
      <c r="H1204">
        <v>4943</v>
      </c>
      <c r="K1204" t="s">
        <v>1383</v>
      </c>
    </row>
    <row r="1205" spans="1:11" x14ac:dyDescent="0.25">
      <c r="A1205" s="40">
        <v>45791.411574074074</v>
      </c>
      <c r="B1205" t="s">
        <v>1382</v>
      </c>
      <c r="C1205" t="s">
        <v>326</v>
      </c>
      <c r="D1205" t="s">
        <v>327</v>
      </c>
      <c r="E1205" t="s">
        <v>1364</v>
      </c>
      <c r="F1205" t="s">
        <v>1372</v>
      </c>
      <c r="G1205">
        <v>-135</v>
      </c>
      <c r="H1205">
        <v>2143</v>
      </c>
      <c r="K1205" t="s">
        <v>1383</v>
      </c>
    </row>
    <row r="1206" spans="1:11" x14ac:dyDescent="0.25">
      <c r="A1206" s="40">
        <v>45791.411574074074</v>
      </c>
      <c r="B1206" t="s">
        <v>1382</v>
      </c>
      <c r="C1206" t="s">
        <v>75</v>
      </c>
      <c r="D1206" t="s">
        <v>251</v>
      </c>
      <c r="E1206" t="s">
        <v>1364</v>
      </c>
      <c r="F1206" t="s">
        <v>1372</v>
      </c>
      <c r="G1206">
        <v>-110</v>
      </c>
      <c r="H1206">
        <v>2953</v>
      </c>
      <c r="K1206" t="s">
        <v>1383</v>
      </c>
    </row>
    <row r="1207" spans="1:11" x14ac:dyDescent="0.25">
      <c r="A1207" s="40">
        <v>45791.411574074074</v>
      </c>
      <c r="B1207" t="s">
        <v>1382</v>
      </c>
      <c r="C1207" t="s">
        <v>102</v>
      </c>
      <c r="D1207" t="s">
        <v>508</v>
      </c>
      <c r="E1207" t="s">
        <v>1364</v>
      </c>
      <c r="F1207" t="s">
        <v>1372</v>
      </c>
      <c r="G1207">
        <v>-126</v>
      </c>
      <c r="H1207">
        <v>4874</v>
      </c>
      <c r="K1207" t="s">
        <v>1383</v>
      </c>
    </row>
    <row r="1208" spans="1:11" x14ac:dyDescent="0.25">
      <c r="A1208" s="40">
        <v>45791.411574074074</v>
      </c>
      <c r="B1208" t="s">
        <v>1382</v>
      </c>
      <c r="C1208" t="s">
        <v>420</v>
      </c>
      <c r="D1208" t="s">
        <v>421</v>
      </c>
      <c r="E1208" t="s">
        <v>1364</v>
      </c>
      <c r="F1208" t="s">
        <v>1372</v>
      </c>
      <c r="G1208">
        <v>-380</v>
      </c>
      <c r="H1208">
        <v>1850</v>
      </c>
      <c r="K1208" t="s">
        <v>1383</v>
      </c>
    </row>
    <row r="1209" spans="1:11" x14ac:dyDescent="0.25">
      <c r="A1209" s="40">
        <v>45791.411574074074</v>
      </c>
      <c r="B1209" t="s">
        <v>1382</v>
      </c>
      <c r="C1209" t="s">
        <v>62</v>
      </c>
      <c r="D1209" t="s">
        <v>354</v>
      </c>
      <c r="E1209" t="s">
        <v>1364</v>
      </c>
      <c r="F1209" t="s">
        <v>1372</v>
      </c>
      <c r="G1209">
        <v>-36</v>
      </c>
      <c r="H1209">
        <v>1794</v>
      </c>
      <c r="K1209" t="s">
        <v>1383</v>
      </c>
    </row>
    <row r="1210" spans="1:11" x14ac:dyDescent="0.25">
      <c r="A1210" s="40">
        <v>45791.411574074074</v>
      </c>
      <c r="B1210" t="s">
        <v>1382</v>
      </c>
      <c r="C1210" t="s">
        <v>37</v>
      </c>
      <c r="D1210" t="s">
        <v>497</v>
      </c>
      <c r="E1210" t="s">
        <v>1364</v>
      </c>
      <c r="F1210" t="s">
        <v>1372</v>
      </c>
      <c r="G1210">
        <v>-111</v>
      </c>
      <c r="H1210">
        <v>3144</v>
      </c>
      <c r="K1210" t="s">
        <v>1383</v>
      </c>
    </row>
    <row r="1211" spans="1:11" x14ac:dyDescent="0.25">
      <c r="A1211" s="40">
        <v>45791.411574074074</v>
      </c>
      <c r="B1211" t="s">
        <v>1382</v>
      </c>
      <c r="C1211" t="s">
        <v>339</v>
      </c>
      <c r="D1211" t="s">
        <v>340</v>
      </c>
      <c r="E1211" t="s">
        <v>1364</v>
      </c>
      <c r="F1211" t="s">
        <v>1372</v>
      </c>
      <c r="G1211">
        <v>-68</v>
      </c>
      <c r="H1211">
        <v>2582</v>
      </c>
      <c r="K1211" t="s">
        <v>1383</v>
      </c>
    </row>
    <row r="1212" spans="1:11" x14ac:dyDescent="0.25">
      <c r="A1212" s="40">
        <v>45791.411574074074</v>
      </c>
      <c r="B1212" t="s">
        <v>1382</v>
      </c>
      <c r="C1212" t="s">
        <v>335</v>
      </c>
      <c r="D1212" t="s">
        <v>336</v>
      </c>
      <c r="E1212" t="s">
        <v>1364</v>
      </c>
      <c r="F1212" t="s">
        <v>1372</v>
      </c>
      <c r="G1212">
        <v>-36</v>
      </c>
      <c r="H1212">
        <v>2794</v>
      </c>
      <c r="K1212" t="s">
        <v>1383</v>
      </c>
    </row>
    <row r="1213" spans="1:11" x14ac:dyDescent="0.25">
      <c r="A1213" s="40">
        <v>45791.411574074074</v>
      </c>
      <c r="B1213" t="s">
        <v>1382</v>
      </c>
      <c r="C1213" t="s">
        <v>36</v>
      </c>
      <c r="D1213" t="s">
        <v>385</v>
      </c>
      <c r="E1213" t="s">
        <v>1364</v>
      </c>
      <c r="F1213" t="s">
        <v>1372</v>
      </c>
      <c r="G1213">
        <v>-310</v>
      </c>
      <c r="H1213">
        <v>10279</v>
      </c>
      <c r="K1213" t="s">
        <v>1383</v>
      </c>
    </row>
    <row r="1214" spans="1:11" x14ac:dyDescent="0.25">
      <c r="A1214" s="40">
        <v>45791.411574074074</v>
      </c>
      <c r="B1214" t="s">
        <v>1382</v>
      </c>
      <c r="C1214" t="s">
        <v>18</v>
      </c>
      <c r="D1214" t="s">
        <v>487</v>
      </c>
      <c r="E1214" t="s">
        <v>1364</v>
      </c>
      <c r="F1214" t="s">
        <v>1372</v>
      </c>
      <c r="G1214">
        <v>-2502</v>
      </c>
      <c r="H1214">
        <v>5790</v>
      </c>
      <c r="K1214" t="s">
        <v>1383</v>
      </c>
    </row>
    <row r="1215" spans="1:11" x14ac:dyDescent="0.25">
      <c r="A1215" s="40">
        <v>45791.411574074074</v>
      </c>
      <c r="B1215" t="s">
        <v>1382</v>
      </c>
      <c r="C1215" t="s">
        <v>64</v>
      </c>
      <c r="D1215" t="s">
        <v>356</v>
      </c>
      <c r="E1215" t="s">
        <v>1364</v>
      </c>
      <c r="F1215" t="s">
        <v>1372</v>
      </c>
      <c r="G1215">
        <v>-68</v>
      </c>
      <c r="H1215">
        <v>1947</v>
      </c>
      <c r="K1215" t="s">
        <v>1383</v>
      </c>
    </row>
    <row r="1216" spans="1:11" x14ac:dyDescent="0.25">
      <c r="A1216" s="40">
        <v>45791.411574074074</v>
      </c>
      <c r="B1216" t="s">
        <v>1382</v>
      </c>
      <c r="C1216" t="s">
        <v>296</v>
      </c>
      <c r="D1216" t="s">
        <v>297</v>
      </c>
      <c r="E1216" t="s">
        <v>1364</v>
      </c>
      <c r="F1216" t="s">
        <v>1372</v>
      </c>
      <c r="G1216">
        <v>-614</v>
      </c>
      <c r="H1216">
        <v>-354</v>
      </c>
      <c r="K1216" t="s">
        <v>1383</v>
      </c>
    </row>
    <row r="1217" spans="1:11" x14ac:dyDescent="0.25">
      <c r="A1217" s="40">
        <v>45791.411574074074</v>
      </c>
      <c r="B1217" t="s">
        <v>1382</v>
      </c>
      <c r="C1217" t="s">
        <v>23</v>
      </c>
      <c r="D1217" t="s">
        <v>490</v>
      </c>
      <c r="E1217" t="s">
        <v>1364</v>
      </c>
      <c r="F1217" t="s">
        <v>1372</v>
      </c>
      <c r="G1217">
        <v>-36</v>
      </c>
      <c r="H1217">
        <v>4219</v>
      </c>
      <c r="K1217" t="s">
        <v>1383</v>
      </c>
    </row>
    <row r="1218" spans="1:11" x14ac:dyDescent="0.25">
      <c r="A1218" s="40">
        <v>45791.411574074074</v>
      </c>
      <c r="B1218" t="s">
        <v>1382</v>
      </c>
      <c r="C1218" t="s">
        <v>3</v>
      </c>
      <c r="D1218" t="s">
        <v>287</v>
      </c>
      <c r="E1218" t="s">
        <v>1364</v>
      </c>
      <c r="F1218" t="s">
        <v>1372</v>
      </c>
      <c r="G1218">
        <v>-2708</v>
      </c>
      <c r="H1218">
        <v>8214</v>
      </c>
      <c r="K1218" t="s">
        <v>1383</v>
      </c>
    </row>
    <row r="1219" spans="1:11" x14ac:dyDescent="0.25">
      <c r="A1219" s="40">
        <v>45791.411574074074</v>
      </c>
      <c r="B1219" t="s">
        <v>1382</v>
      </c>
      <c r="C1219" t="s">
        <v>89</v>
      </c>
      <c r="D1219" t="s">
        <v>359</v>
      </c>
      <c r="E1219" t="s">
        <v>1364</v>
      </c>
      <c r="F1219" t="s">
        <v>1372</v>
      </c>
      <c r="G1219">
        <v>-522</v>
      </c>
      <c r="H1219">
        <v>-549</v>
      </c>
      <c r="K1219" t="s">
        <v>1383</v>
      </c>
    </row>
    <row r="1220" spans="1:11" x14ac:dyDescent="0.25">
      <c r="A1220" s="40">
        <v>45791.411574074074</v>
      </c>
      <c r="B1220" t="s">
        <v>1382</v>
      </c>
      <c r="C1220" t="s">
        <v>40</v>
      </c>
      <c r="D1220" t="s">
        <v>388</v>
      </c>
      <c r="E1220" t="s">
        <v>1364</v>
      </c>
      <c r="F1220" t="s">
        <v>1372</v>
      </c>
      <c r="G1220">
        <v>-143</v>
      </c>
      <c r="H1220">
        <v>3684</v>
      </c>
      <c r="K1220" t="s">
        <v>1383</v>
      </c>
    </row>
    <row r="1221" spans="1:11" x14ac:dyDescent="0.25">
      <c r="A1221" s="40">
        <v>45791.411574074074</v>
      </c>
      <c r="B1221" t="s">
        <v>1382</v>
      </c>
      <c r="C1221" t="s">
        <v>230</v>
      </c>
      <c r="D1221" t="s">
        <v>255</v>
      </c>
      <c r="E1221" t="s">
        <v>1364</v>
      </c>
      <c r="F1221" t="s">
        <v>1372</v>
      </c>
      <c r="G1221">
        <v>-123</v>
      </c>
      <c r="H1221">
        <v>6098</v>
      </c>
      <c r="K1221" t="s">
        <v>1383</v>
      </c>
    </row>
    <row r="1222" spans="1:11" x14ac:dyDescent="0.25">
      <c r="A1222" s="40">
        <v>45791.411574074074</v>
      </c>
      <c r="B1222" t="s">
        <v>1382</v>
      </c>
      <c r="C1222" t="s">
        <v>324</v>
      </c>
      <c r="D1222" t="s">
        <v>325</v>
      </c>
      <c r="E1222" t="s">
        <v>1364</v>
      </c>
      <c r="F1222" t="s">
        <v>1372</v>
      </c>
      <c r="G1222">
        <v>-70</v>
      </c>
      <c r="H1222">
        <v>1229</v>
      </c>
      <c r="K1222" t="s">
        <v>1383</v>
      </c>
    </row>
    <row r="1223" spans="1:11" x14ac:dyDescent="0.25">
      <c r="A1223" s="40">
        <v>45791.411574074074</v>
      </c>
      <c r="B1223" t="s">
        <v>1382</v>
      </c>
      <c r="C1223" t="s">
        <v>39</v>
      </c>
      <c r="D1223" t="s">
        <v>387</v>
      </c>
      <c r="E1223" t="s">
        <v>1364</v>
      </c>
      <c r="F1223" t="s">
        <v>1372</v>
      </c>
      <c r="G1223">
        <v>-47</v>
      </c>
      <c r="H1223">
        <v>4157</v>
      </c>
      <c r="K1223" t="s">
        <v>1383</v>
      </c>
    </row>
    <row r="1224" spans="1:11" x14ac:dyDescent="0.25">
      <c r="A1224" s="40">
        <v>45791.411574074074</v>
      </c>
      <c r="B1224" t="s">
        <v>1382</v>
      </c>
      <c r="C1224" t="s">
        <v>292</v>
      </c>
      <c r="D1224" t="s">
        <v>293</v>
      </c>
      <c r="E1224" t="s">
        <v>1364</v>
      </c>
      <c r="F1224" t="s">
        <v>1372</v>
      </c>
      <c r="G1224">
        <v>-720</v>
      </c>
      <c r="H1224">
        <v>60</v>
      </c>
      <c r="K1224" t="s">
        <v>1383</v>
      </c>
    </row>
    <row r="1225" spans="1:11" x14ac:dyDescent="0.25">
      <c r="A1225" s="40">
        <v>45791.411574074074</v>
      </c>
      <c r="B1225" t="s">
        <v>1382</v>
      </c>
      <c r="C1225" t="s">
        <v>82</v>
      </c>
      <c r="D1225" t="s">
        <v>318</v>
      </c>
      <c r="E1225" t="s">
        <v>1364</v>
      </c>
      <c r="F1225" t="s">
        <v>1372</v>
      </c>
      <c r="G1225">
        <v>-96</v>
      </c>
      <c r="H1225">
        <v>2498</v>
      </c>
      <c r="K1225" t="s">
        <v>1383</v>
      </c>
    </row>
    <row r="1226" spans="1:11" x14ac:dyDescent="0.25">
      <c r="A1226" s="40">
        <v>45791.411574074074</v>
      </c>
      <c r="B1226" t="s">
        <v>1382</v>
      </c>
      <c r="C1226" t="s">
        <v>416</v>
      </c>
      <c r="D1226" t="s">
        <v>417</v>
      </c>
      <c r="E1226" t="s">
        <v>1364</v>
      </c>
      <c r="F1226" t="s">
        <v>1372</v>
      </c>
      <c r="G1226">
        <v>-401</v>
      </c>
      <c r="H1226">
        <v>2227</v>
      </c>
      <c r="K1226" t="s">
        <v>1383</v>
      </c>
    </row>
    <row r="1227" spans="1:11" x14ac:dyDescent="0.25">
      <c r="A1227" s="40">
        <v>45791.411574074074</v>
      </c>
      <c r="B1227" t="s">
        <v>1382</v>
      </c>
      <c r="C1227" t="s">
        <v>68</v>
      </c>
      <c r="D1227" t="s">
        <v>374</v>
      </c>
      <c r="E1227" t="s">
        <v>1364</v>
      </c>
      <c r="F1227" t="s">
        <v>1372</v>
      </c>
      <c r="G1227">
        <v>-1849</v>
      </c>
      <c r="H1227">
        <v>-1497</v>
      </c>
      <c r="K1227" t="s">
        <v>1383</v>
      </c>
    </row>
    <row r="1228" spans="1:11" x14ac:dyDescent="0.25">
      <c r="A1228" s="40">
        <v>45791.411574074074</v>
      </c>
      <c r="B1228" t="s">
        <v>1382</v>
      </c>
      <c r="C1228" t="s">
        <v>26</v>
      </c>
      <c r="D1228" t="s">
        <v>380</v>
      </c>
      <c r="E1228" t="s">
        <v>1364</v>
      </c>
      <c r="F1228" t="s">
        <v>1372</v>
      </c>
      <c r="G1228">
        <v>-52</v>
      </c>
      <c r="H1228">
        <v>4293</v>
      </c>
      <c r="K1228" t="s">
        <v>1383</v>
      </c>
    </row>
    <row r="1229" spans="1:11" x14ac:dyDescent="0.25">
      <c r="A1229" s="40">
        <v>45791.411574074074</v>
      </c>
      <c r="B1229" t="s">
        <v>1382</v>
      </c>
      <c r="C1229" t="s">
        <v>63</v>
      </c>
      <c r="D1229" t="s">
        <v>355</v>
      </c>
      <c r="E1229" t="s">
        <v>1364</v>
      </c>
      <c r="F1229" t="s">
        <v>1372</v>
      </c>
      <c r="G1229">
        <v>-272</v>
      </c>
      <c r="H1229">
        <v>1316</v>
      </c>
      <c r="K1229" t="s">
        <v>1383</v>
      </c>
    </row>
    <row r="1230" spans="1:11" x14ac:dyDescent="0.25">
      <c r="A1230" s="40">
        <v>45791.411574074074</v>
      </c>
      <c r="B1230" t="s">
        <v>1382</v>
      </c>
      <c r="C1230" t="s">
        <v>56</v>
      </c>
      <c r="D1230" t="s">
        <v>313</v>
      </c>
      <c r="E1230" t="s">
        <v>1364</v>
      </c>
      <c r="F1230" t="s">
        <v>1372</v>
      </c>
      <c r="G1230">
        <v>-149</v>
      </c>
      <c r="H1230">
        <v>94</v>
      </c>
      <c r="K1230" t="s">
        <v>1383</v>
      </c>
    </row>
    <row r="1231" spans="1:11" x14ac:dyDescent="0.25">
      <c r="A1231" s="40">
        <v>45791.411574074074</v>
      </c>
      <c r="B1231" t="s">
        <v>1382</v>
      </c>
      <c r="C1231" t="s">
        <v>343</v>
      </c>
      <c r="D1231" t="s">
        <v>344</v>
      </c>
      <c r="E1231" t="s">
        <v>1364</v>
      </c>
      <c r="F1231" t="s">
        <v>1372</v>
      </c>
      <c r="G1231">
        <v>-482</v>
      </c>
      <c r="H1231">
        <v>1248</v>
      </c>
      <c r="K1231" t="s">
        <v>1383</v>
      </c>
    </row>
    <row r="1232" spans="1:11" x14ac:dyDescent="0.25">
      <c r="A1232" s="40">
        <v>45791.411574074074</v>
      </c>
      <c r="B1232" t="s">
        <v>1382</v>
      </c>
      <c r="C1232" t="s">
        <v>42</v>
      </c>
      <c r="D1232" t="s">
        <v>391</v>
      </c>
      <c r="E1232" t="s">
        <v>1364</v>
      </c>
      <c r="F1232" t="s">
        <v>1372</v>
      </c>
      <c r="G1232">
        <v>-47</v>
      </c>
      <c r="H1232">
        <v>1220</v>
      </c>
      <c r="K1232" t="s">
        <v>1383</v>
      </c>
    </row>
    <row r="1233" spans="1:11" x14ac:dyDescent="0.25">
      <c r="A1233" s="40">
        <v>45791.411574074074</v>
      </c>
      <c r="B1233" t="s">
        <v>1382</v>
      </c>
      <c r="C1233" t="s">
        <v>279</v>
      </c>
      <c r="D1233" t="s">
        <v>280</v>
      </c>
      <c r="E1233" t="s">
        <v>1364</v>
      </c>
      <c r="F1233" t="s">
        <v>1372</v>
      </c>
      <c r="G1233">
        <v>-36</v>
      </c>
      <c r="H1233">
        <v>3964</v>
      </c>
      <c r="K1233" t="s">
        <v>1383</v>
      </c>
    </row>
    <row r="1234" spans="1:11" x14ac:dyDescent="0.25">
      <c r="A1234" s="40">
        <v>45791.411574074074</v>
      </c>
      <c r="B1234" t="s">
        <v>1382</v>
      </c>
      <c r="C1234" t="s">
        <v>14</v>
      </c>
      <c r="D1234" t="s">
        <v>483</v>
      </c>
      <c r="E1234" t="s">
        <v>1364</v>
      </c>
      <c r="F1234" t="s">
        <v>1372</v>
      </c>
      <c r="G1234">
        <v>-240</v>
      </c>
      <c r="H1234">
        <v>2776</v>
      </c>
      <c r="K1234" t="s">
        <v>1383</v>
      </c>
    </row>
    <row r="1235" spans="1:11" x14ac:dyDescent="0.25">
      <c r="A1235" s="40">
        <v>45791.411574074074</v>
      </c>
      <c r="B1235" t="s">
        <v>1382</v>
      </c>
      <c r="C1235" t="s">
        <v>38</v>
      </c>
      <c r="D1235" t="s">
        <v>386</v>
      </c>
      <c r="E1235" t="s">
        <v>1364</v>
      </c>
      <c r="F1235" t="s">
        <v>1372</v>
      </c>
      <c r="G1235">
        <v>-47</v>
      </c>
      <c r="H1235">
        <v>16770</v>
      </c>
      <c r="K1235" t="s">
        <v>1383</v>
      </c>
    </row>
    <row r="1236" spans="1:11" x14ac:dyDescent="0.25">
      <c r="A1236" s="40">
        <v>45791.411574074074</v>
      </c>
      <c r="B1236" t="s">
        <v>1382</v>
      </c>
      <c r="C1236" t="s">
        <v>90</v>
      </c>
      <c r="D1236" t="s">
        <v>503</v>
      </c>
      <c r="E1236" t="s">
        <v>1364</v>
      </c>
      <c r="F1236" t="s">
        <v>1372</v>
      </c>
      <c r="G1236">
        <v>-36</v>
      </c>
      <c r="H1236">
        <v>4154</v>
      </c>
      <c r="K1236" t="s">
        <v>1383</v>
      </c>
    </row>
    <row r="1237" spans="1:11" x14ac:dyDescent="0.25">
      <c r="A1237" s="40">
        <v>45791.411574074074</v>
      </c>
      <c r="B1237" t="s">
        <v>1382</v>
      </c>
      <c r="C1237" t="s">
        <v>370</v>
      </c>
      <c r="D1237" t="s">
        <v>371</v>
      </c>
      <c r="E1237" t="s">
        <v>1364</v>
      </c>
      <c r="F1237" t="s">
        <v>1372</v>
      </c>
      <c r="G1237">
        <v>-70</v>
      </c>
      <c r="H1237">
        <v>3259</v>
      </c>
      <c r="K1237" t="s">
        <v>1383</v>
      </c>
    </row>
    <row r="1238" spans="1:11" x14ac:dyDescent="0.25">
      <c r="A1238" s="40">
        <v>45791.411574074074</v>
      </c>
      <c r="B1238" t="s">
        <v>1382</v>
      </c>
      <c r="C1238" t="s">
        <v>94</v>
      </c>
      <c r="D1238" t="s">
        <v>404</v>
      </c>
      <c r="E1238" t="s">
        <v>1364</v>
      </c>
      <c r="F1238" t="s">
        <v>1372</v>
      </c>
      <c r="G1238">
        <v>-197</v>
      </c>
      <c r="H1238">
        <v>837</v>
      </c>
      <c r="K1238" t="s">
        <v>1383</v>
      </c>
    </row>
    <row r="1239" spans="1:11" x14ac:dyDescent="0.25">
      <c r="A1239" s="40">
        <v>45791.411574074074</v>
      </c>
      <c r="B1239" t="s">
        <v>1382</v>
      </c>
      <c r="C1239" t="s">
        <v>69</v>
      </c>
      <c r="D1239" t="s">
        <v>375</v>
      </c>
      <c r="E1239" t="s">
        <v>1364</v>
      </c>
      <c r="F1239" t="s">
        <v>1372</v>
      </c>
      <c r="G1239">
        <v>-1708</v>
      </c>
      <c r="H1239">
        <v>-656</v>
      </c>
      <c r="K1239" t="s">
        <v>1383</v>
      </c>
    </row>
    <row r="1240" spans="1:11" x14ac:dyDescent="0.25">
      <c r="A1240" s="40">
        <v>45791.411574074074</v>
      </c>
      <c r="B1240" t="s">
        <v>1382</v>
      </c>
      <c r="C1240" t="s">
        <v>20</v>
      </c>
      <c r="D1240" t="s">
        <v>498</v>
      </c>
      <c r="E1240" t="s">
        <v>1364</v>
      </c>
      <c r="F1240" t="s">
        <v>1372</v>
      </c>
      <c r="G1240">
        <v>-3540</v>
      </c>
      <c r="H1240">
        <v>7255</v>
      </c>
      <c r="K1240" t="s">
        <v>1383</v>
      </c>
    </row>
    <row r="1241" spans="1:11" x14ac:dyDescent="0.25">
      <c r="A1241" s="40">
        <v>45791.411574074074</v>
      </c>
      <c r="B1241" t="s">
        <v>1382</v>
      </c>
      <c r="C1241" t="s">
        <v>11</v>
      </c>
      <c r="D1241" t="s">
        <v>411</v>
      </c>
      <c r="E1241" t="s">
        <v>1364</v>
      </c>
      <c r="F1241" t="s">
        <v>1372</v>
      </c>
      <c r="G1241">
        <v>-52</v>
      </c>
      <c r="H1241">
        <v>4252</v>
      </c>
      <c r="K1241" t="s">
        <v>1383</v>
      </c>
    </row>
    <row r="1242" spans="1:11" x14ac:dyDescent="0.25">
      <c r="A1242" s="40">
        <v>45791.411574074074</v>
      </c>
      <c r="B1242" t="s">
        <v>1382</v>
      </c>
      <c r="C1242" t="s">
        <v>333</v>
      </c>
      <c r="D1242" t="s">
        <v>334</v>
      </c>
      <c r="E1242" t="s">
        <v>1364</v>
      </c>
      <c r="F1242" t="s">
        <v>1372</v>
      </c>
      <c r="G1242">
        <v>-47</v>
      </c>
      <c r="H1242">
        <v>2843</v>
      </c>
      <c r="K1242" t="s">
        <v>1383</v>
      </c>
    </row>
    <row r="1243" spans="1:11" x14ac:dyDescent="0.25">
      <c r="A1243" s="40">
        <v>45791.411574074074</v>
      </c>
      <c r="B1243" t="s">
        <v>1382</v>
      </c>
      <c r="C1243" t="s">
        <v>60</v>
      </c>
      <c r="D1243" t="s">
        <v>350</v>
      </c>
      <c r="E1243" t="s">
        <v>1364</v>
      </c>
      <c r="F1243" t="s">
        <v>1372</v>
      </c>
      <c r="G1243">
        <v>-1210</v>
      </c>
      <c r="H1243">
        <v>-725</v>
      </c>
      <c r="K1243" t="s">
        <v>1383</v>
      </c>
    </row>
    <row r="1244" spans="1:11" x14ac:dyDescent="0.25">
      <c r="A1244" s="40">
        <v>45791.411574074074</v>
      </c>
      <c r="B1244" t="s">
        <v>1382</v>
      </c>
      <c r="C1244" t="s">
        <v>32</v>
      </c>
      <c r="D1244" t="s">
        <v>384</v>
      </c>
      <c r="E1244" t="s">
        <v>1364</v>
      </c>
      <c r="F1244" t="s">
        <v>1372</v>
      </c>
      <c r="G1244">
        <v>-36</v>
      </c>
      <c r="H1244">
        <v>4230</v>
      </c>
      <c r="K1244" t="s">
        <v>1383</v>
      </c>
    </row>
    <row r="1245" spans="1:11" x14ac:dyDescent="0.25">
      <c r="A1245" s="40">
        <v>45791.411574074074</v>
      </c>
      <c r="B1245" t="s">
        <v>1382</v>
      </c>
      <c r="C1245" t="s">
        <v>15</v>
      </c>
      <c r="D1245" t="s">
        <v>474</v>
      </c>
      <c r="E1245" t="s">
        <v>1364</v>
      </c>
      <c r="F1245" t="s">
        <v>1372</v>
      </c>
      <c r="G1245">
        <v>-199</v>
      </c>
      <c r="H1245">
        <v>3599</v>
      </c>
      <c r="K1245" t="s">
        <v>1383</v>
      </c>
    </row>
    <row r="1246" spans="1:11" x14ac:dyDescent="0.25">
      <c r="A1246" s="40">
        <v>45791.411574074074</v>
      </c>
      <c r="B1246" t="s">
        <v>1382</v>
      </c>
      <c r="C1246" t="s">
        <v>54</v>
      </c>
      <c r="D1246" t="s">
        <v>399</v>
      </c>
      <c r="E1246" t="s">
        <v>1364</v>
      </c>
      <c r="F1246" t="s">
        <v>1372</v>
      </c>
      <c r="G1246">
        <v>-111</v>
      </c>
      <c r="H1246">
        <v>2425</v>
      </c>
      <c r="K1246" t="s">
        <v>1383</v>
      </c>
    </row>
    <row r="1247" spans="1:11" x14ac:dyDescent="0.25">
      <c r="A1247" s="40">
        <v>45791.411574074074</v>
      </c>
      <c r="B1247" t="s">
        <v>1382</v>
      </c>
      <c r="C1247" t="s">
        <v>229</v>
      </c>
      <c r="D1247" t="s">
        <v>321</v>
      </c>
      <c r="E1247" t="s">
        <v>1364</v>
      </c>
      <c r="F1247" t="s">
        <v>1372</v>
      </c>
      <c r="G1247">
        <v>-126</v>
      </c>
      <c r="H1247">
        <v>3129</v>
      </c>
      <c r="K1247" t="s">
        <v>1383</v>
      </c>
    </row>
    <row r="1248" spans="1:11" x14ac:dyDescent="0.25">
      <c r="A1248" s="40">
        <v>45791.411574074074</v>
      </c>
      <c r="B1248" t="s">
        <v>1382</v>
      </c>
      <c r="C1248" t="s">
        <v>5</v>
      </c>
      <c r="D1248" t="s">
        <v>389</v>
      </c>
      <c r="E1248" t="s">
        <v>1364</v>
      </c>
      <c r="F1248" t="s">
        <v>1372</v>
      </c>
      <c r="G1248">
        <v>-1386</v>
      </c>
      <c r="H1248">
        <v>1095</v>
      </c>
      <c r="K1248" t="s">
        <v>1383</v>
      </c>
    </row>
    <row r="1249" spans="1:12" x14ac:dyDescent="0.25">
      <c r="A1249" s="40">
        <v>45791.411574074074</v>
      </c>
      <c r="B1249" t="s">
        <v>1382</v>
      </c>
      <c r="C1249" t="s">
        <v>7</v>
      </c>
      <c r="D1249" t="s">
        <v>307</v>
      </c>
      <c r="E1249" t="s">
        <v>1364</v>
      </c>
      <c r="F1249" t="s">
        <v>1372</v>
      </c>
      <c r="G1249">
        <v>-696</v>
      </c>
      <c r="H1249">
        <v>11243</v>
      </c>
      <c r="K1249" t="s">
        <v>1383</v>
      </c>
    </row>
    <row r="1250" spans="1:12" x14ac:dyDescent="0.25">
      <c r="A1250" s="40">
        <v>45791.411574074074</v>
      </c>
      <c r="B1250" t="s">
        <v>1382</v>
      </c>
      <c r="C1250" t="s">
        <v>25</v>
      </c>
      <c r="D1250" t="s">
        <v>491</v>
      </c>
      <c r="E1250" t="s">
        <v>1364</v>
      </c>
      <c r="F1250" t="s">
        <v>1372</v>
      </c>
      <c r="G1250">
        <v>-240</v>
      </c>
      <c r="H1250">
        <v>1966</v>
      </c>
      <c r="K1250" t="s">
        <v>1383</v>
      </c>
    </row>
    <row r="1251" spans="1:12" x14ac:dyDescent="0.25">
      <c r="A1251" s="40">
        <v>45791.411574074074</v>
      </c>
      <c r="B1251" t="s">
        <v>1382</v>
      </c>
      <c r="C1251" t="s">
        <v>31</v>
      </c>
      <c r="D1251" t="s">
        <v>493</v>
      </c>
      <c r="E1251" t="s">
        <v>1364</v>
      </c>
      <c r="F1251" t="s">
        <v>1372</v>
      </c>
      <c r="G1251">
        <v>-110</v>
      </c>
      <c r="H1251">
        <v>4730</v>
      </c>
      <c r="K1251" t="s">
        <v>1383</v>
      </c>
    </row>
    <row r="1252" spans="1:12" x14ac:dyDescent="0.25">
      <c r="A1252" s="40">
        <v>45791.411574074074</v>
      </c>
      <c r="B1252" t="s">
        <v>1382</v>
      </c>
      <c r="C1252" t="s">
        <v>24</v>
      </c>
      <c r="D1252" t="s">
        <v>378</v>
      </c>
      <c r="E1252" t="s">
        <v>1364</v>
      </c>
      <c r="F1252" t="s">
        <v>1372</v>
      </c>
      <c r="G1252">
        <v>-286</v>
      </c>
      <c r="H1252">
        <v>3146</v>
      </c>
      <c r="K1252" t="s">
        <v>1383</v>
      </c>
    </row>
    <row r="1253" spans="1:12" x14ac:dyDescent="0.25">
      <c r="A1253" s="40">
        <v>45791.411574074074</v>
      </c>
      <c r="B1253" t="s">
        <v>1382</v>
      </c>
      <c r="C1253" t="s">
        <v>29</v>
      </c>
      <c r="D1253" t="s">
        <v>383</v>
      </c>
      <c r="E1253" t="s">
        <v>1364</v>
      </c>
      <c r="F1253" t="s">
        <v>1372</v>
      </c>
      <c r="G1253">
        <v>-167</v>
      </c>
      <c r="H1253">
        <v>922</v>
      </c>
      <c r="K1253" t="s">
        <v>1383</v>
      </c>
    </row>
    <row r="1254" spans="1:12" x14ac:dyDescent="0.25">
      <c r="A1254" s="40">
        <v>45791.411574074074</v>
      </c>
      <c r="B1254" t="s">
        <v>1382</v>
      </c>
      <c r="C1254" t="s">
        <v>27</v>
      </c>
      <c r="D1254" t="s">
        <v>381</v>
      </c>
      <c r="E1254" t="s">
        <v>1364</v>
      </c>
      <c r="F1254" t="s">
        <v>1372</v>
      </c>
      <c r="G1254">
        <v>-9008</v>
      </c>
      <c r="H1254">
        <v>10729</v>
      </c>
      <c r="K1254" t="s">
        <v>1383</v>
      </c>
    </row>
    <row r="1255" spans="1:12" x14ac:dyDescent="0.25">
      <c r="A1255" s="40">
        <v>45791.411574074074</v>
      </c>
      <c r="B1255" t="s">
        <v>1382</v>
      </c>
      <c r="C1255" t="s">
        <v>57</v>
      </c>
      <c r="D1255" t="s">
        <v>314</v>
      </c>
      <c r="E1255" t="s">
        <v>1364</v>
      </c>
      <c r="F1255" t="s">
        <v>1372</v>
      </c>
      <c r="G1255">
        <v>-79</v>
      </c>
      <c r="H1255">
        <v>3227</v>
      </c>
      <c r="K1255" t="s">
        <v>1383</v>
      </c>
    </row>
    <row r="1256" spans="1:12" x14ac:dyDescent="0.25">
      <c r="A1256" s="40">
        <v>45791.411574074074</v>
      </c>
      <c r="B1256" t="s">
        <v>1382</v>
      </c>
      <c r="C1256" t="s">
        <v>47</v>
      </c>
      <c r="D1256" t="s">
        <v>395</v>
      </c>
      <c r="E1256" t="s">
        <v>1364</v>
      </c>
      <c r="F1256" t="s">
        <v>1372</v>
      </c>
      <c r="G1256">
        <v>-68</v>
      </c>
      <c r="H1256">
        <v>38368</v>
      </c>
      <c r="K1256" t="s">
        <v>1383</v>
      </c>
    </row>
    <row r="1257" spans="1:12" x14ac:dyDescent="0.25">
      <c r="A1257" s="40">
        <v>45796.330405092594</v>
      </c>
      <c r="B1257" t="s">
        <v>1382</v>
      </c>
      <c r="C1257" t="s">
        <v>1363</v>
      </c>
      <c r="E1257" t="s">
        <v>1365</v>
      </c>
      <c r="F1257" t="s">
        <v>695</v>
      </c>
      <c r="G1257">
        <v>105</v>
      </c>
      <c r="H1257">
        <v>40</v>
      </c>
      <c r="I1257" t="s">
        <v>699</v>
      </c>
      <c r="K1257" t="s">
        <v>1465</v>
      </c>
      <c r="L1257">
        <v>671.79</v>
      </c>
    </row>
    <row r="1258" spans="1:12" x14ac:dyDescent="0.25">
      <c r="A1258" s="40">
        <v>45796.330405092594</v>
      </c>
      <c r="B1258" t="s">
        <v>1382</v>
      </c>
      <c r="C1258" t="s">
        <v>296</v>
      </c>
      <c r="D1258" t="s">
        <v>297</v>
      </c>
      <c r="E1258" t="s">
        <v>1364</v>
      </c>
      <c r="F1258" t="s">
        <v>695</v>
      </c>
      <c r="G1258">
        <v>2000</v>
      </c>
      <c r="H1258">
        <v>1646</v>
      </c>
      <c r="I1258" t="s">
        <v>696</v>
      </c>
      <c r="K1258" t="s">
        <v>1465</v>
      </c>
      <c r="L1258">
        <v>382.2</v>
      </c>
    </row>
    <row r="1259" spans="1:12" x14ac:dyDescent="0.25">
      <c r="A1259" s="40">
        <v>45796.330405092594</v>
      </c>
      <c r="B1259" t="s">
        <v>1382</v>
      </c>
      <c r="C1259" t="s">
        <v>428</v>
      </c>
      <c r="D1259" t="s">
        <v>429</v>
      </c>
      <c r="E1259" t="s">
        <v>1364</v>
      </c>
      <c r="F1259" t="s">
        <v>695</v>
      </c>
      <c r="G1259">
        <v>4000</v>
      </c>
      <c r="H1259">
        <v>1992</v>
      </c>
      <c r="I1259" t="s">
        <v>696</v>
      </c>
      <c r="K1259" t="s">
        <v>1465</v>
      </c>
      <c r="L1259">
        <v>53.199999999999996</v>
      </c>
    </row>
    <row r="1260" spans="1:12" x14ac:dyDescent="0.25">
      <c r="A1260" s="40">
        <v>45796.330405092594</v>
      </c>
      <c r="B1260" t="s">
        <v>1382</v>
      </c>
      <c r="C1260" t="s">
        <v>69</v>
      </c>
      <c r="D1260" t="s">
        <v>375</v>
      </c>
      <c r="E1260" t="s">
        <v>1364</v>
      </c>
      <c r="F1260" t="s">
        <v>695</v>
      </c>
      <c r="G1260">
        <v>6000</v>
      </c>
      <c r="H1260">
        <v>5344</v>
      </c>
      <c r="I1260" t="s">
        <v>698</v>
      </c>
      <c r="K1260" t="s">
        <v>1465</v>
      </c>
      <c r="L1260">
        <v>125.99999999999999</v>
      </c>
    </row>
    <row r="1261" spans="1:12" x14ac:dyDescent="0.25">
      <c r="A1261" s="40">
        <v>45796.330405092594</v>
      </c>
      <c r="B1261" t="s">
        <v>1382</v>
      </c>
      <c r="C1261" t="s">
        <v>68</v>
      </c>
      <c r="D1261" t="s">
        <v>374</v>
      </c>
      <c r="E1261" t="s">
        <v>1364</v>
      </c>
      <c r="F1261" t="s">
        <v>695</v>
      </c>
      <c r="G1261">
        <v>3000</v>
      </c>
      <c r="H1261">
        <v>1503</v>
      </c>
      <c r="I1261" t="s">
        <v>696</v>
      </c>
      <c r="K1261" t="s">
        <v>1465</v>
      </c>
      <c r="L1261">
        <v>76.44</v>
      </c>
    </row>
    <row r="1262" spans="1:12" x14ac:dyDescent="0.25">
      <c r="A1262" s="40">
        <v>45796.330405092594</v>
      </c>
      <c r="B1262" t="s">
        <v>1382</v>
      </c>
      <c r="C1262" t="s">
        <v>89</v>
      </c>
      <c r="D1262" t="s">
        <v>359</v>
      </c>
      <c r="E1262" t="s">
        <v>1364</v>
      </c>
      <c r="F1262" t="s">
        <v>695</v>
      </c>
      <c r="G1262">
        <v>3000</v>
      </c>
      <c r="H1262">
        <v>2451</v>
      </c>
      <c r="I1262" t="s">
        <v>698</v>
      </c>
      <c r="K1262" t="s">
        <v>1465</v>
      </c>
      <c r="L1262">
        <v>201.6</v>
      </c>
    </row>
    <row r="1263" spans="1:12" x14ac:dyDescent="0.25">
      <c r="A1263" s="40">
        <v>45796.330405092594</v>
      </c>
      <c r="B1263" t="s">
        <v>1382</v>
      </c>
      <c r="C1263" t="s">
        <v>456</v>
      </c>
      <c r="D1263" t="s">
        <v>457</v>
      </c>
      <c r="E1263" t="s">
        <v>1364</v>
      </c>
      <c r="F1263" t="s">
        <v>695</v>
      </c>
      <c r="G1263">
        <v>4000</v>
      </c>
      <c r="H1263">
        <v>3923</v>
      </c>
      <c r="I1263" t="s">
        <v>696</v>
      </c>
      <c r="K1263" t="s">
        <v>1465</v>
      </c>
      <c r="L1263">
        <v>92.960000000000008</v>
      </c>
    </row>
    <row r="1264" spans="1:12" x14ac:dyDescent="0.25">
      <c r="A1264" s="40">
        <v>45796.330405092594</v>
      </c>
      <c r="B1264" t="s">
        <v>1382</v>
      </c>
      <c r="C1264" t="s">
        <v>60</v>
      </c>
      <c r="D1264" t="s">
        <v>350</v>
      </c>
      <c r="E1264" t="s">
        <v>1364</v>
      </c>
      <c r="F1264" t="s">
        <v>695</v>
      </c>
      <c r="G1264">
        <v>6000</v>
      </c>
      <c r="H1264">
        <v>5275</v>
      </c>
      <c r="I1264" t="s">
        <v>698</v>
      </c>
      <c r="K1264" t="s">
        <v>1465</v>
      </c>
      <c r="L1264">
        <v>117.6</v>
      </c>
    </row>
    <row r="1265" spans="1:11" x14ac:dyDescent="0.25">
      <c r="A1265" s="40">
        <v>45799.384594907409</v>
      </c>
      <c r="B1265" t="s">
        <v>1466</v>
      </c>
      <c r="C1265" t="s">
        <v>416</v>
      </c>
      <c r="D1265" t="s">
        <v>417</v>
      </c>
      <c r="E1265" t="s">
        <v>1364</v>
      </c>
      <c r="F1265" t="s">
        <v>1372</v>
      </c>
      <c r="G1265">
        <v>-40</v>
      </c>
      <c r="H1265">
        <v>2187</v>
      </c>
      <c r="K1265" t="s">
        <v>1383</v>
      </c>
    </row>
    <row r="1266" spans="1:11" x14ac:dyDescent="0.25">
      <c r="A1266" s="40">
        <v>45799.384594907409</v>
      </c>
      <c r="B1266" t="s">
        <v>1466</v>
      </c>
      <c r="C1266" t="s">
        <v>38</v>
      </c>
      <c r="D1266" t="s">
        <v>386</v>
      </c>
      <c r="E1266" t="s">
        <v>1364</v>
      </c>
      <c r="F1266" t="s">
        <v>1372</v>
      </c>
      <c r="G1266">
        <v>-240</v>
      </c>
      <c r="H1266">
        <v>16530</v>
      </c>
      <c r="K1266" t="s">
        <v>1383</v>
      </c>
    </row>
    <row r="1267" spans="1:11" x14ac:dyDescent="0.25">
      <c r="A1267" s="40">
        <v>45799.384594907409</v>
      </c>
      <c r="B1267" t="s">
        <v>1466</v>
      </c>
      <c r="C1267" t="s">
        <v>229</v>
      </c>
      <c r="D1267" t="s">
        <v>321</v>
      </c>
      <c r="E1267" t="s">
        <v>1364</v>
      </c>
      <c r="F1267" t="s">
        <v>1372</v>
      </c>
      <c r="G1267">
        <v>-135</v>
      </c>
      <c r="H1267">
        <v>2994</v>
      </c>
      <c r="K1267" t="s">
        <v>1383</v>
      </c>
    </row>
    <row r="1268" spans="1:11" x14ac:dyDescent="0.25">
      <c r="A1268" s="40">
        <v>45799.384594907409</v>
      </c>
      <c r="B1268" t="s">
        <v>1466</v>
      </c>
      <c r="C1268" t="s">
        <v>7</v>
      </c>
      <c r="D1268" t="s">
        <v>307</v>
      </c>
      <c r="E1268" t="s">
        <v>1364</v>
      </c>
      <c r="F1268" t="s">
        <v>1372</v>
      </c>
      <c r="G1268">
        <v>-105</v>
      </c>
      <c r="H1268">
        <v>11138</v>
      </c>
      <c r="K1268" t="s">
        <v>1383</v>
      </c>
    </row>
    <row r="1269" spans="1:11" x14ac:dyDescent="0.25">
      <c r="A1269" s="40">
        <v>45799.384594907409</v>
      </c>
      <c r="B1269" t="s">
        <v>1466</v>
      </c>
      <c r="C1269" t="s">
        <v>1</v>
      </c>
      <c r="D1269" t="s">
        <v>250</v>
      </c>
      <c r="E1269" t="s">
        <v>1364</v>
      </c>
      <c r="F1269" t="s">
        <v>1372</v>
      </c>
      <c r="G1269">
        <v>-105</v>
      </c>
      <c r="H1269">
        <v>5143</v>
      </c>
      <c r="K1269" t="s">
        <v>1383</v>
      </c>
    </row>
    <row r="1270" spans="1:11" x14ac:dyDescent="0.25">
      <c r="A1270" s="40">
        <v>45799.384594907409</v>
      </c>
      <c r="B1270" t="s">
        <v>1466</v>
      </c>
      <c r="C1270" t="s">
        <v>55</v>
      </c>
      <c r="D1270" t="s">
        <v>312</v>
      </c>
      <c r="E1270" t="s">
        <v>1364</v>
      </c>
      <c r="F1270" t="s">
        <v>1372</v>
      </c>
      <c r="G1270">
        <v>-70</v>
      </c>
      <c r="H1270">
        <v>1682</v>
      </c>
      <c r="K1270" t="s">
        <v>1383</v>
      </c>
    </row>
    <row r="1271" spans="1:11" x14ac:dyDescent="0.25">
      <c r="A1271" s="40">
        <v>45799.384594907409</v>
      </c>
      <c r="B1271" t="s">
        <v>1466</v>
      </c>
      <c r="C1271" t="s">
        <v>333</v>
      </c>
      <c r="D1271" t="s">
        <v>334</v>
      </c>
      <c r="E1271" t="s">
        <v>1364</v>
      </c>
      <c r="F1271" t="s">
        <v>1372</v>
      </c>
      <c r="G1271">
        <v>-70</v>
      </c>
      <c r="H1271">
        <v>2773</v>
      </c>
      <c r="K1271" t="s">
        <v>1383</v>
      </c>
    </row>
    <row r="1272" spans="1:11" x14ac:dyDescent="0.25">
      <c r="A1272" s="40">
        <v>45799.384594907409</v>
      </c>
      <c r="B1272" t="s">
        <v>1466</v>
      </c>
      <c r="C1272" t="s">
        <v>68</v>
      </c>
      <c r="D1272" t="s">
        <v>374</v>
      </c>
      <c r="E1272" t="s">
        <v>1364</v>
      </c>
      <c r="F1272" t="s">
        <v>1372</v>
      </c>
      <c r="G1272">
        <v>-45</v>
      </c>
      <c r="H1272">
        <v>1458</v>
      </c>
      <c r="K1272" t="s">
        <v>1383</v>
      </c>
    </row>
    <row r="1273" spans="1:11" x14ac:dyDescent="0.25">
      <c r="A1273" s="40">
        <v>45799.384594907409</v>
      </c>
      <c r="B1273" t="s">
        <v>1466</v>
      </c>
      <c r="C1273" t="s">
        <v>96</v>
      </c>
      <c r="D1273" t="s">
        <v>406</v>
      </c>
      <c r="E1273" t="s">
        <v>1364</v>
      </c>
      <c r="F1273" t="s">
        <v>1372</v>
      </c>
      <c r="G1273">
        <v>-45</v>
      </c>
      <c r="H1273">
        <v>2233</v>
      </c>
      <c r="K1273" t="s">
        <v>1383</v>
      </c>
    </row>
    <row r="1274" spans="1:11" x14ac:dyDescent="0.25">
      <c r="A1274" s="40">
        <v>45799.384594907409</v>
      </c>
      <c r="B1274" t="s">
        <v>1466</v>
      </c>
      <c r="C1274" t="s">
        <v>36</v>
      </c>
      <c r="D1274" t="s">
        <v>385</v>
      </c>
      <c r="E1274" t="s">
        <v>1364</v>
      </c>
      <c r="F1274" t="s">
        <v>1372</v>
      </c>
      <c r="G1274">
        <v>-45</v>
      </c>
      <c r="H1274">
        <v>10234</v>
      </c>
      <c r="K1274" t="s">
        <v>1383</v>
      </c>
    </row>
    <row r="1275" spans="1:11" x14ac:dyDescent="0.25">
      <c r="A1275" s="40">
        <v>45799.384594907409</v>
      </c>
      <c r="B1275" t="s">
        <v>1466</v>
      </c>
      <c r="C1275" t="s">
        <v>70</v>
      </c>
      <c r="D1275" t="s">
        <v>402</v>
      </c>
      <c r="E1275" t="s">
        <v>1364</v>
      </c>
      <c r="F1275" t="s">
        <v>1372</v>
      </c>
      <c r="G1275">
        <v>-45</v>
      </c>
      <c r="H1275">
        <v>6785</v>
      </c>
      <c r="K1275" t="s">
        <v>1383</v>
      </c>
    </row>
    <row r="1276" spans="1:11" x14ac:dyDescent="0.25">
      <c r="A1276" s="40">
        <v>45799.384594907409</v>
      </c>
      <c r="B1276" t="s">
        <v>1466</v>
      </c>
      <c r="C1276" t="s">
        <v>414</v>
      </c>
      <c r="D1276" t="s">
        <v>415</v>
      </c>
      <c r="E1276" t="s">
        <v>1364</v>
      </c>
      <c r="F1276" t="s">
        <v>1372</v>
      </c>
      <c r="G1276">
        <v>-45</v>
      </c>
      <c r="H1276">
        <v>3562</v>
      </c>
      <c r="K1276" t="s">
        <v>1383</v>
      </c>
    </row>
    <row r="1277" spans="1:11" x14ac:dyDescent="0.25">
      <c r="A1277" s="40">
        <v>45799.384594907409</v>
      </c>
      <c r="B1277" t="s">
        <v>1466</v>
      </c>
      <c r="C1277" t="s">
        <v>2</v>
      </c>
      <c r="D1277" t="s">
        <v>266</v>
      </c>
      <c r="E1277" t="s">
        <v>1364</v>
      </c>
      <c r="F1277" t="s">
        <v>1372</v>
      </c>
      <c r="G1277">
        <v>-45</v>
      </c>
      <c r="H1277">
        <v>7770</v>
      </c>
      <c r="K1277" t="s">
        <v>1383</v>
      </c>
    </row>
    <row r="1278" spans="1:11" x14ac:dyDescent="0.25">
      <c r="A1278" s="40">
        <v>45799.384594907409</v>
      </c>
      <c r="B1278" t="s">
        <v>1466</v>
      </c>
      <c r="C1278" t="s">
        <v>62</v>
      </c>
      <c r="D1278" t="s">
        <v>354</v>
      </c>
      <c r="E1278" t="s">
        <v>1364</v>
      </c>
      <c r="F1278" t="s">
        <v>1372</v>
      </c>
      <c r="G1278">
        <v>-45</v>
      </c>
      <c r="H1278">
        <v>1749</v>
      </c>
      <c r="K1278" t="s">
        <v>1383</v>
      </c>
    </row>
    <row r="1279" spans="1:11" x14ac:dyDescent="0.25">
      <c r="A1279" s="40">
        <v>45799.384594907409</v>
      </c>
      <c r="B1279" t="s">
        <v>1466</v>
      </c>
      <c r="C1279" t="s">
        <v>77</v>
      </c>
      <c r="D1279" t="s">
        <v>253</v>
      </c>
      <c r="E1279" t="s">
        <v>1364</v>
      </c>
      <c r="F1279" t="s">
        <v>1372</v>
      </c>
      <c r="G1279">
        <v>-475</v>
      </c>
      <c r="H1279">
        <v>3471</v>
      </c>
      <c r="K1279" t="s">
        <v>1383</v>
      </c>
    </row>
    <row r="1280" spans="1:11" x14ac:dyDescent="0.25">
      <c r="A1280" s="40">
        <v>45799.384594907409</v>
      </c>
      <c r="B1280" t="s">
        <v>1466</v>
      </c>
      <c r="C1280" t="s">
        <v>256</v>
      </c>
      <c r="D1280" t="s">
        <v>257</v>
      </c>
      <c r="E1280" t="s">
        <v>1364</v>
      </c>
      <c r="F1280" t="s">
        <v>1372</v>
      </c>
      <c r="G1280">
        <v>-240</v>
      </c>
      <c r="H1280">
        <v>3724</v>
      </c>
      <c r="K1280" t="s">
        <v>1383</v>
      </c>
    </row>
    <row r="1281" spans="1:11" x14ac:dyDescent="0.25">
      <c r="A1281" s="40">
        <v>45799.384594907409</v>
      </c>
      <c r="B1281" t="s">
        <v>1466</v>
      </c>
      <c r="C1281" t="s">
        <v>290</v>
      </c>
      <c r="D1281" t="s">
        <v>291</v>
      </c>
      <c r="E1281" t="s">
        <v>1364</v>
      </c>
      <c r="F1281" t="s">
        <v>1372</v>
      </c>
      <c r="G1281">
        <v>-45</v>
      </c>
      <c r="H1281">
        <v>3933</v>
      </c>
      <c r="K1281" t="s">
        <v>1383</v>
      </c>
    </row>
    <row r="1282" spans="1:11" x14ac:dyDescent="0.25">
      <c r="A1282" s="40">
        <v>45799.384594907409</v>
      </c>
      <c r="B1282" t="s">
        <v>1466</v>
      </c>
      <c r="C1282" t="s">
        <v>283</v>
      </c>
      <c r="D1282" t="s">
        <v>284</v>
      </c>
      <c r="E1282" t="s">
        <v>1364</v>
      </c>
      <c r="F1282" t="s">
        <v>1372</v>
      </c>
      <c r="G1282">
        <v>-135</v>
      </c>
      <c r="H1282">
        <v>3131</v>
      </c>
      <c r="K1282" t="s">
        <v>1383</v>
      </c>
    </row>
    <row r="1283" spans="1:11" x14ac:dyDescent="0.25">
      <c r="A1283" s="40">
        <v>45799.384594907409</v>
      </c>
      <c r="B1283" t="s">
        <v>1466</v>
      </c>
      <c r="C1283" t="s">
        <v>264</v>
      </c>
      <c r="D1283" t="s">
        <v>265</v>
      </c>
      <c r="E1283" t="s">
        <v>1364</v>
      </c>
      <c r="F1283" t="s">
        <v>1372</v>
      </c>
      <c r="G1283">
        <v>-160</v>
      </c>
      <c r="H1283">
        <v>3810</v>
      </c>
      <c r="K1283" t="s">
        <v>1383</v>
      </c>
    </row>
    <row r="1284" spans="1:11" x14ac:dyDescent="0.25">
      <c r="A1284" s="40">
        <v>45799.384594907409</v>
      </c>
      <c r="B1284" t="s">
        <v>1466</v>
      </c>
      <c r="C1284" t="s">
        <v>285</v>
      </c>
      <c r="D1284" t="s">
        <v>286</v>
      </c>
      <c r="E1284" t="s">
        <v>1364</v>
      </c>
      <c r="F1284" t="s">
        <v>1372</v>
      </c>
      <c r="G1284">
        <v>-45</v>
      </c>
      <c r="H1284">
        <v>3933</v>
      </c>
      <c r="K1284" t="s">
        <v>1383</v>
      </c>
    </row>
    <row r="1285" spans="1:11" x14ac:dyDescent="0.25">
      <c r="A1285" s="40">
        <v>45799.384594907409</v>
      </c>
      <c r="B1285" t="s">
        <v>1466</v>
      </c>
      <c r="C1285" t="s">
        <v>294</v>
      </c>
      <c r="D1285" t="s">
        <v>295</v>
      </c>
      <c r="E1285" t="s">
        <v>1364</v>
      </c>
      <c r="F1285" t="s">
        <v>1372</v>
      </c>
      <c r="G1285">
        <v>-240</v>
      </c>
      <c r="H1285">
        <v>2724</v>
      </c>
      <c r="K1285" t="s">
        <v>1383</v>
      </c>
    </row>
    <row r="1286" spans="1:11" x14ac:dyDescent="0.25">
      <c r="A1286" s="40">
        <v>45799.384594907409</v>
      </c>
      <c r="B1286" t="s">
        <v>1466</v>
      </c>
      <c r="C1286" t="s">
        <v>82</v>
      </c>
      <c r="D1286" t="s">
        <v>318</v>
      </c>
      <c r="E1286" t="s">
        <v>1364</v>
      </c>
      <c r="F1286" t="s">
        <v>1372</v>
      </c>
      <c r="G1286">
        <v>-45</v>
      </c>
      <c r="H1286">
        <v>2453</v>
      </c>
      <c r="K1286" t="s">
        <v>1383</v>
      </c>
    </row>
    <row r="1287" spans="1:11" x14ac:dyDescent="0.25">
      <c r="A1287" s="40">
        <v>45799.384594907409</v>
      </c>
      <c r="B1287" t="s">
        <v>1466</v>
      </c>
      <c r="C1287" t="s">
        <v>84</v>
      </c>
      <c r="D1287" t="s">
        <v>319</v>
      </c>
      <c r="E1287" t="s">
        <v>1364</v>
      </c>
      <c r="F1287" t="s">
        <v>1372</v>
      </c>
      <c r="G1287">
        <v>-135</v>
      </c>
      <c r="H1287">
        <v>2202</v>
      </c>
      <c r="K1287" t="s">
        <v>1383</v>
      </c>
    </row>
    <row r="1288" spans="1:11" x14ac:dyDescent="0.25">
      <c r="A1288" s="40">
        <v>45799.384594907409</v>
      </c>
      <c r="B1288" t="s">
        <v>1466</v>
      </c>
      <c r="C1288" t="s">
        <v>81</v>
      </c>
      <c r="D1288" t="s">
        <v>317</v>
      </c>
      <c r="E1288" t="s">
        <v>1364</v>
      </c>
      <c r="F1288" t="s">
        <v>1372</v>
      </c>
      <c r="G1288">
        <v>-290</v>
      </c>
      <c r="H1288">
        <v>2323</v>
      </c>
      <c r="K1288" t="s">
        <v>1383</v>
      </c>
    </row>
    <row r="1289" spans="1:11" x14ac:dyDescent="0.25">
      <c r="A1289" s="40">
        <v>45799.384594907409</v>
      </c>
      <c r="B1289" t="s">
        <v>1466</v>
      </c>
      <c r="C1289" t="s">
        <v>337</v>
      </c>
      <c r="D1289" t="s">
        <v>338</v>
      </c>
      <c r="E1289" t="s">
        <v>1364</v>
      </c>
      <c r="F1289" t="s">
        <v>1372</v>
      </c>
      <c r="G1289">
        <v>-135</v>
      </c>
      <c r="H1289">
        <v>4837</v>
      </c>
      <c r="K1289" t="s">
        <v>1383</v>
      </c>
    </row>
    <row r="1290" spans="1:11" x14ac:dyDescent="0.25">
      <c r="A1290" s="40">
        <v>45799.384594907409</v>
      </c>
      <c r="B1290" t="s">
        <v>1466</v>
      </c>
      <c r="C1290" t="s">
        <v>67</v>
      </c>
      <c r="D1290" t="s">
        <v>373</v>
      </c>
      <c r="E1290" t="s">
        <v>1364</v>
      </c>
      <c r="F1290" t="s">
        <v>1372</v>
      </c>
      <c r="G1290">
        <v>-45</v>
      </c>
      <c r="H1290">
        <v>2603</v>
      </c>
      <c r="K1290" t="s">
        <v>1383</v>
      </c>
    </row>
    <row r="1291" spans="1:11" x14ac:dyDescent="0.25">
      <c r="A1291" s="40">
        <v>45799.384594907409</v>
      </c>
      <c r="B1291" t="s">
        <v>1466</v>
      </c>
      <c r="C1291" t="s">
        <v>433</v>
      </c>
      <c r="D1291" t="s">
        <v>434</v>
      </c>
      <c r="E1291" t="s">
        <v>1364</v>
      </c>
      <c r="F1291" t="s">
        <v>1372</v>
      </c>
      <c r="G1291">
        <v>-135</v>
      </c>
      <c r="H1291">
        <v>4837</v>
      </c>
      <c r="K1291" t="s">
        <v>1383</v>
      </c>
    </row>
    <row r="1292" spans="1:11" x14ac:dyDescent="0.25">
      <c r="A1292" s="40">
        <v>45799.384594907409</v>
      </c>
      <c r="B1292" t="s">
        <v>1466</v>
      </c>
      <c r="C1292" t="s">
        <v>472</v>
      </c>
      <c r="D1292" t="s">
        <v>473</v>
      </c>
      <c r="E1292" t="s">
        <v>1364</v>
      </c>
      <c r="F1292" t="s">
        <v>1372</v>
      </c>
      <c r="G1292">
        <v>-45</v>
      </c>
      <c r="H1292">
        <v>4933</v>
      </c>
      <c r="K1292" t="s">
        <v>1383</v>
      </c>
    </row>
    <row r="1293" spans="1:11" x14ac:dyDescent="0.25">
      <c r="A1293" s="40">
        <v>45799.384594907409</v>
      </c>
      <c r="B1293" t="s">
        <v>1466</v>
      </c>
      <c r="C1293" t="s">
        <v>53</v>
      </c>
      <c r="D1293" t="s">
        <v>398</v>
      </c>
      <c r="E1293" t="s">
        <v>1364</v>
      </c>
      <c r="F1293" t="s">
        <v>1372</v>
      </c>
      <c r="G1293">
        <v>-70</v>
      </c>
      <c r="H1293">
        <v>1611</v>
      </c>
      <c r="K1293" t="s">
        <v>1383</v>
      </c>
    </row>
    <row r="1294" spans="1:11" x14ac:dyDescent="0.25">
      <c r="A1294" s="40">
        <v>45799.384594907409</v>
      </c>
      <c r="B1294" t="s">
        <v>1466</v>
      </c>
      <c r="C1294" t="s">
        <v>99</v>
      </c>
      <c r="D1294" t="s">
        <v>409</v>
      </c>
      <c r="E1294" t="s">
        <v>1364</v>
      </c>
      <c r="F1294" t="s">
        <v>1372</v>
      </c>
      <c r="G1294">
        <v>-45</v>
      </c>
      <c r="H1294">
        <v>4865</v>
      </c>
      <c r="K1294" t="s">
        <v>1383</v>
      </c>
    </row>
    <row r="1295" spans="1:11" x14ac:dyDescent="0.25">
      <c r="A1295" s="40">
        <v>45799.384594907409</v>
      </c>
      <c r="B1295" t="s">
        <v>1466</v>
      </c>
      <c r="C1295" t="s">
        <v>422</v>
      </c>
      <c r="D1295" t="s">
        <v>423</v>
      </c>
      <c r="E1295" t="s">
        <v>1364</v>
      </c>
      <c r="F1295" t="s">
        <v>1372</v>
      </c>
      <c r="G1295">
        <v>-45</v>
      </c>
      <c r="H1295">
        <v>4933</v>
      </c>
      <c r="K1295" t="s">
        <v>1383</v>
      </c>
    </row>
    <row r="1296" spans="1:11" x14ac:dyDescent="0.25">
      <c r="A1296" s="40">
        <v>45799.384594907409</v>
      </c>
      <c r="B1296" t="s">
        <v>1466</v>
      </c>
      <c r="C1296" t="s">
        <v>54</v>
      </c>
      <c r="D1296" t="s">
        <v>399</v>
      </c>
      <c r="E1296" t="s">
        <v>1364</v>
      </c>
      <c r="F1296" t="s">
        <v>1372</v>
      </c>
      <c r="G1296">
        <v>-70</v>
      </c>
      <c r="H1296">
        <v>2355</v>
      </c>
      <c r="K1296" t="s">
        <v>1383</v>
      </c>
    </row>
    <row r="1297" spans="1:12" x14ac:dyDescent="0.25">
      <c r="A1297" s="40">
        <v>45799.384594907409</v>
      </c>
      <c r="B1297" t="s">
        <v>1466</v>
      </c>
      <c r="C1297" t="s">
        <v>97</v>
      </c>
      <c r="D1297" t="s">
        <v>407</v>
      </c>
      <c r="E1297" t="s">
        <v>1364</v>
      </c>
      <c r="F1297" t="s">
        <v>1372</v>
      </c>
      <c r="G1297">
        <v>-265</v>
      </c>
      <c r="H1297">
        <v>4697</v>
      </c>
      <c r="K1297" t="s">
        <v>1383</v>
      </c>
    </row>
    <row r="1298" spans="1:12" x14ac:dyDescent="0.25">
      <c r="A1298" s="40">
        <v>45799.384594907409</v>
      </c>
      <c r="B1298" t="s">
        <v>1466</v>
      </c>
      <c r="C1298" t="s">
        <v>437</v>
      </c>
      <c r="D1298" t="s">
        <v>438</v>
      </c>
      <c r="E1298" t="s">
        <v>1364</v>
      </c>
      <c r="F1298" t="s">
        <v>1372</v>
      </c>
      <c r="G1298">
        <v>-135</v>
      </c>
      <c r="H1298">
        <v>3522</v>
      </c>
      <c r="K1298" t="s">
        <v>1383</v>
      </c>
    </row>
    <row r="1299" spans="1:12" x14ac:dyDescent="0.25">
      <c r="A1299" s="40">
        <v>45799.384594907409</v>
      </c>
      <c r="B1299" t="s">
        <v>1466</v>
      </c>
      <c r="C1299" t="s">
        <v>362</v>
      </c>
      <c r="D1299" t="s">
        <v>363</v>
      </c>
      <c r="E1299" t="s">
        <v>1364</v>
      </c>
      <c r="F1299" t="s">
        <v>1372</v>
      </c>
      <c r="G1299">
        <v>-105</v>
      </c>
      <c r="H1299">
        <v>1941</v>
      </c>
      <c r="K1299" t="s">
        <v>1383</v>
      </c>
    </row>
    <row r="1300" spans="1:12" x14ac:dyDescent="0.25">
      <c r="A1300" s="40">
        <v>45799.384594907409</v>
      </c>
      <c r="B1300" t="s">
        <v>1466</v>
      </c>
      <c r="C1300" t="s">
        <v>60</v>
      </c>
      <c r="D1300" t="s">
        <v>350</v>
      </c>
      <c r="E1300" t="s">
        <v>1364</v>
      </c>
      <c r="F1300" t="s">
        <v>1372</v>
      </c>
      <c r="G1300">
        <v>-45</v>
      </c>
      <c r="H1300">
        <v>5230</v>
      </c>
      <c r="K1300" t="s">
        <v>1383</v>
      </c>
    </row>
    <row r="1301" spans="1:12" x14ac:dyDescent="0.25">
      <c r="A1301" s="40">
        <v>45799.868055555555</v>
      </c>
      <c r="B1301" t="s">
        <v>1380</v>
      </c>
      <c r="C1301" t="s">
        <v>29</v>
      </c>
      <c r="D1301" t="s">
        <v>383</v>
      </c>
      <c r="E1301" t="s">
        <v>1364</v>
      </c>
      <c r="F1301" t="s">
        <v>1372</v>
      </c>
      <c r="G1301">
        <v>-922</v>
      </c>
      <c r="H1301">
        <v>0</v>
      </c>
      <c r="J1301" t="s">
        <v>1467</v>
      </c>
    </row>
    <row r="1302" spans="1:12" x14ac:dyDescent="0.25">
      <c r="A1302" s="40">
        <v>45799.868055555555</v>
      </c>
      <c r="B1302" t="s">
        <v>1466</v>
      </c>
      <c r="C1302" t="s">
        <v>29</v>
      </c>
      <c r="D1302" t="s">
        <v>383</v>
      </c>
      <c r="E1302" t="s">
        <v>1364</v>
      </c>
      <c r="F1302" t="s">
        <v>695</v>
      </c>
      <c r="G1302">
        <v>5000</v>
      </c>
      <c r="H1302">
        <v>5000</v>
      </c>
      <c r="I1302" t="s">
        <v>696</v>
      </c>
      <c r="J1302" t="s">
        <v>1468</v>
      </c>
      <c r="L1302">
        <v>5.6</v>
      </c>
    </row>
    <row r="1303" spans="1:12" x14ac:dyDescent="0.25">
      <c r="A1303" s="40">
        <v>45803.904861111114</v>
      </c>
      <c r="B1303" t="s">
        <v>1469</v>
      </c>
      <c r="C1303" t="s">
        <v>230</v>
      </c>
      <c r="D1303" t="s">
        <v>255</v>
      </c>
      <c r="E1303" t="s">
        <v>1364</v>
      </c>
      <c r="F1303" t="s">
        <v>1372</v>
      </c>
      <c r="G1303">
        <v>-613</v>
      </c>
      <c r="H1303">
        <v>5485</v>
      </c>
      <c r="J1303" t="s">
        <v>1469</v>
      </c>
    </row>
    <row r="1304" spans="1:12" x14ac:dyDescent="0.25">
      <c r="A1304" s="40">
        <v>45803.904861111114</v>
      </c>
      <c r="B1304" t="s">
        <v>1469</v>
      </c>
      <c r="C1304" t="s">
        <v>56</v>
      </c>
      <c r="D1304" t="s">
        <v>313</v>
      </c>
      <c r="E1304" t="s">
        <v>1364</v>
      </c>
      <c r="F1304" t="s">
        <v>695</v>
      </c>
      <c r="G1304">
        <v>3</v>
      </c>
      <c r="H1304">
        <v>97</v>
      </c>
      <c r="J1304" t="s">
        <v>1469</v>
      </c>
    </row>
    <row r="1305" spans="1:12" x14ac:dyDescent="0.25">
      <c r="A1305" s="40">
        <v>45803.904861111114</v>
      </c>
      <c r="B1305" t="s">
        <v>1469</v>
      </c>
      <c r="C1305" t="s">
        <v>74</v>
      </c>
      <c r="D1305" t="s">
        <v>1333</v>
      </c>
      <c r="E1305" t="s">
        <v>1364</v>
      </c>
      <c r="F1305" t="s">
        <v>695</v>
      </c>
      <c r="G1305">
        <v>2000</v>
      </c>
      <c r="H1305">
        <v>6000</v>
      </c>
      <c r="J1305" t="s">
        <v>1469</v>
      </c>
    </row>
    <row r="1306" spans="1:12" x14ac:dyDescent="0.25">
      <c r="A1306" s="40">
        <v>45803.904861111114</v>
      </c>
      <c r="B1306" t="s">
        <v>1469</v>
      </c>
      <c r="C1306" t="s">
        <v>296</v>
      </c>
      <c r="D1306" t="s">
        <v>297</v>
      </c>
      <c r="E1306" t="s">
        <v>1364</v>
      </c>
      <c r="F1306" t="s">
        <v>1372</v>
      </c>
      <c r="G1306">
        <v>-259</v>
      </c>
      <c r="H1306">
        <v>1387</v>
      </c>
      <c r="J1306" t="s">
        <v>1469</v>
      </c>
    </row>
    <row r="1307" spans="1:12" x14ac:dyDescent="0.25">
      <c r="A1307" s="40">
        <v>45803.904861111114</v>
      </c>
      <c r="B1307" t="s">
        <v>1469</v>
      </c>
      <c r="C1307" t="s">
        <v>414</v>
      </c>
      <c r="D1307" t="s">
        <v>415</v>
      </c>
      <c r="E1307" t="s">
        <v>1364</v>
      </c>
      <c r="F1307" t="s">
        <v>695</v>
      </c>
      <c r="G1307">
        <v>393</v>
      </c>
      <c r="H1307">
        <v>3955</v>
      </c>
      <c r="J1307" t="s">
        <v>1469</v>
      </c>
    </row>
    <row r="1308" spans="1:12" x14ac:dyDescent="0.25">
      <c r="A1308" s="40">
        <v>45803.904861111114</v>
      </c>
      <c r="B1308" t="s">
        <v>1469</v>
      </c>
      <c r="C1308" t="s">
        <v>328</v>
      </c>
      <c r="D1308" t="s">
        <v>329</v>
      </c>
      <c r="E1308" t="s">
        <v>1364</v>
      </c>
      <c r="F1308" t="s">
        <v>1372</v>
      </c>
      <c r="G1308">
        <v>-93</v>
      </c>
      <c r="H1308">
        <v>3402</v>
      </c>
      <c r="J1308" t="s">
        <v>1469</v>
      </c>
    </row>
    <row r="1309" spans="1:12" x14ac:dyDescent="0.25">
      <c r="A1309" s="40">
        <v>45803.904861111114</v>
      </c>
      <c r="B1309" t="s">
        <v>1469</v>
      </c>
      <c r="C1309" t="s">
        <v>79</v>
      </c>
      <c r="D1309" t="s">
        <v>358</v>
      </c>
      <c r="E1309" t="s">
        <v>1364</v>
      </c>
      <c r="F1309" t="s">
        <v>1372</v>
      </c>
      <c r="G1309">
        <v>-53</v>
      </c>
      <c r="H1309">
        <v>2338</v>
      </c>
      <c r="J1309" t="s">
        <v>1469</v>
      </c>
    </row>
    <row r="1310" spans="1:12" x14ac:dyDescent="0.25">
      <c r="A1310" s="40">
        <v>45803.904861111114</v>
      </c>
      <c r="B1310" t="s">
        <v>1469</v>
      </c>
      <c r="C1310" t="s">
        <v>324</v>
      </c>
      <c r="D1310" t="s">
        <v>325</v>
      </c>
      <c r="E1310" t="s">
        <v>1364</v>
      </c>
      <c r="F1310" t="s">
        <v>695</v>
      </c>
      <c r="G1310">
        <v>911</v>
      </c>
      <c r="H1310">
        <v>2140</v>
      </c>
      <c r="J1310" t="s">
        <v>1469</v>
      </c>
    </row>
    <row r="1311" spans="1:12" x14ac:dyDescent="0.25">
      <c r="A1311" s="40">
        <v>45803.904861111114</v>
      </c>
      <c r="B1311" t="s">
        <v>1469</v>
      </c>
      <c r="C1311" t="s">
        <v>60</v>
      </c>
      <c r="D1311" t="s">
        <v>350</v>
      </c>
      <c r="E1311" t="s">
        <v>1364</v>
      </c>
      <c r="F1311" t="s">
        <v>695</v>
      </c>
      <c r="G1311">
        <v>2557</v>
      </c>
      <c r="H1311">
        <v>7787</v>
      </c>
      <c r="J1311" t="s">
        <v>1469</v>
      </c>
    </row>
    <row r="1312" spans="1:12" x14ac:dyDescent="0.25">
      <c r="A1312" s="40">
        <v>45803.904861111114</v>
      </c>
      <c r="B1312" t="s">
        <v>1469</v>
      </c>
      <c r="C1312" t="s">
        <v>343</v>
      </c>
      <c r="D1312" t="s">
        <v>344</v>
      </c>
      <c r="E1312" t="s">
        <v>1364</v>
      </c>
      <c r="F1312" t="s">
        <v>1372</v>
      </c>
      <c r="G1312">
        <v>-1026</v>
      </c>
      <c r="H1312">
        <v>222</v>
      </c>
      <c r="J1312" t="s">
        <v>1469</v>
      </c>
    </row>
    <row r="1313" spans="1:10" x14ac:dyDescent="0.25">
      <c r="A1313" s="40">
        <v>45803.904861111114</v>
      </c>
      <c r="B1313" t="s">
        <v>1469</v>
      </c>
      <c r="C1313" t="s">
        <v>333</v>
      </c>
      <c r="D1313" t="s">
        <v>334</v>
      </c>
      <c r="E1313" t="s">
        <v>1364</v>
      </c>
      <c r="F1313" t="s">
        <v>1372</v>
      </c>
      <c r="G1313">
        <v>-680</v>
      </c>
      <c r="H1313">
        <v>2093</v>
      </c>
      <c r="J1313" t="s">
        <v>1469</v>
      </c>
    </row>
    <row r="1314" spans="1:10" x14ac:dyDescent="0.25">
      <c r="A1314" s="40">
        <v>45803.904861111114</v>
      </c>
      <c r="B1314" t="s">
        <v>1469</v>
      </c>
      <c r="C1314" t="s">
        <v>370</v>
      </c>
      <c r="D1314" t="s">
        <v>371</v>
      </c>
      <c r="E1314" t="s">
        <v>1364</v>
      </c>
      <c r="F1314" t="s">
        <v>1372</v>
      </c>
      <c r="G1314">
        <v>-29</v>
      </c>
      <c r="H1314">
        <v>3230</v>
      </c>
      <c r="J1314" t="s">
        <v>1469</v>
      </c>
    </row>
    <row r="1315" spans="1:10" x14ac:dyDescent="0.25">
      <c r="A1315" s="40">
        <v>45803.904861111114</v>
      </c>
      <c r="B1315" t="s">
        <v>1469</v>
      </c>
      <c r="C1315" t="s">
        <v>61</v>
      </c>
      <c r="D1315" t="s">
        <v>353</v>
      </c>
      <c r="E1315" t="s">
        <v>1364</v>
      </c>
      <c r="F1315" t="s">
        <v>695</v>
      </c>
      <c r="G1315">
        <v>2595</v>
      </c>
      <c r="H1315">
        <v>3226</v>
      </c>
      <c r="J1315" t="s">
        <v>1469</v>
      </c>
    </row>
    <row r="1316" spans="1:10" x14ac:dyDescent="0.25">
      <c r="A1316" s="40">
        <v>45803.904861111114</v>
      </c>
      <c r="B1316" t="s">
        <v>1469</v>
      </c>
      <c r="C1316" t="s">
        <v>80</v>
      </c>
      <c r="D1316" t="s">
        <v>348</v>
      </c>
      <c r="E1316" t="s">
        <v>1364</v>
      </c>
      <c r="F1316" t="s">
        <v>695</v>
      </c>
      <c r="G1316">
        <v>2500</v>
      </c>
      <c r="H1316">
        <v>12500</v>
      </c>
      <c r="J1316" t="s">
        <v>1469</v>
      </c>
    </row>
    <row r="1317" spans="1:10" x14ac:dyDescent="0.25">
      <c r="A1317" s="40">
        <v>45803.904861111114</v>
      </c>
      <c r="B1317" t="s">
        <v>1469</v>
      </c>
      <c r="C1317" t="s">
        <v>256</v>
      </c>
      <c r="D1317" t="s">
        <v>257</v>
      </c>
      <c r="E1317" t="s">
        <v>1364</v>
      </c>
      <c r="F1317" t="s">
        <v>1372</v>
      </c>
      <c r="G1317">
        <v>-964</v>
      </c>
      <c r="H1317">
        <v>2760</v>
      </c>
      <c r="J1317" t="s">
        <v>1469</v>
      </c>
    </row>
    <row r="1318" spans="1:10" x14ac:dyDescent="0.25">
      <c r="A1318" s="40">
        <v>45803.904861111114</v>
      </c>
      <c r="B1318" t="s">
        <v>1469</v>
      </c>
      <c r="C1318" t="s">
        <v>264</v>
      </c>
      <c r="D1318" t="s">
        <v>265</v>
      </c>
      <c r="E1318" t="s">
        <v>1364</v>
      </c>
      <c r="F1318" t="s">
        <v>1372</v>
      </c>
      <c r="G1318">
        <v>-970</v>
      </c>
      <c r="H1318">
        <v>2840</v>
      </c>
      <c r="J1318" t="s">
        <v>1469</v>
      </c>
    </row>
    <row r="1319" spans="1:10" x14ac:dyDescent="0.25">
      <c r="A1319" s="40">
        <v>45803.904861111114</v>
      </c>
      <c r="B1319" t="s">
        <v>1469</v>
      </c>
      <c r="C1319" t="s">
        <v>77</v>
      </c>
      <c r="D1319" t="s">
        <v>253</v>
      </c>
      <c r="E1319" t="s">
        <v>1364</v>
      </c>
      <c r="F1319" t="s">
        <v>695</v>
      </c>
      <c r="G1319">
        <v>4054</v>
      </c>
      <c r="H1319">
        <v>7525</v>
      </c>
      <c r="J1319" t="s">
        <v>1469</v>
      </c>
    </row>
    <row r="1320" spans="1:10" x14ac:dyDescent="0.25">
      <c r="A1320" s="40">
        <v>45803.904861111114</v>
      </c>
      <c r="B1320" t="s">
        <v>1469</v>
      </c>
      <c r="C1320" t="s">
        <v>78</v>
      </c>
      <c r="D1320" t="s">
        <v>254</v>
      </c>
      <c r="E1320" t="s">
        <v>1364</v>
      </c>
      <c r="F1320" t="s">
        <v>1372</v>
      </c>
      <c r="G1320">
        <v>-90</v>
      </c>
      <c r="H1320">
        <v>3800</v>
      </c>
      <c r="J1320" t="s">
        <v>1469</v>
      </c>
    </row>
    <row r="1321" spans="1:10" x14ac:dyDescent="0.25">
      <c r="A1321" s="40">
        <v>45803.904861111114</v>
      </c>
      <c r="B1321" t="s">
        <v>1469</v>
      </c>
      <c r="C1321" t="s">
        <v>277</v>
      </c>
      <c r="D1321" t="s">
        <v>278</v>
      </c>
      <c r="E1321" t="s">
        <v>1364</v>
      </c>
      <c r="F1321" t="s">
        <v>1372</v>
      </c>
      <c r="G1321">
        <v>-516</v>
      </c>
      <c r="H1321">
        <v>2504</v>
      </c>
      <c r="J1321" t="s">
        <v>1469</v>
      </c>
    </row>
    <row r="1322" spans="1:10" x14ac:dyDescent="0.25">
      <c r="A1322" s="40">
        <v>45803.904861111114</v>
      </c>
      <c r="B1322" t="s">
        <v>1469</v>
      </c>
      <c r="C1322" t="s">
        <v>260</v>
      </c>
      <c r="D1322" t="s">
        <v>261</v>
      </c>
      <c r="E1322" t="s">
        <v>1364</v>
      </c>
      <c r="F1322" t="s">
        <v>1372</v>
      </c>
      <c r="G1322">
        <v>-2</v>
      </c>
      <c r="H1322">
        <v>208</v>
      </c>
      <c r="J1322" t="s">
        <v>1469</v>
      </c>
    </row>
    <row r="1323" spans="1:10" x14ac:dyDescent="0.25">
      <c r="A1323" s="40">
        <v>45803.904861111114</v>
      </c>
      <c r="B1323" t="s">
        <v>1469</v>
      </c>
      <c r="C1323" t="s">
        <v>55</v>
      </c>
      <c r="D1323" t="s">
        <v>312</v>
      </c>
      <c r="E1323" t="s">
        <v>1364</v>
      </c>
      <c r="F1323" t="s">
        <v>695</v>
      </c>
      <c r="G1323">
        <v>8</v>
      </c>
      <c r="H1323">
        <v>1690</v>
      </c>
      <c r="J1323" t="s">
        <v>1469</v>
      </c>
    </row>
    <row r="1324" spans="1:10" x14ac:dyDescent="0.25">
      <c r="A1324" s="40">
        <v>45803.904861111114</v>
      </c>
      <c r="B1324" t="s">
        <v>1469</v>
      </c>
      <c r="C1324" t="s">
        <v>8</v>
      </c>
      <c r="D1324" t="s">
        <v>311</v>
      </c>
      <c r="E1324" t="s">
        <v>1364</v>
      </c>
      <c r="F1324" t="s">
        <v>1372</v>
      </c>
      <c r="G1324">
        <v>-2</v>
      </c>
      <c r="H1324">
        <v>4066</v>
      </c>
      <c r="J1324" t="s">
        <v>1469</v>
      </c>
    </row>
    <row r="1325" spans="1:10" x14ac:dyDescent="0.25">
      <c r="A1325" s="40">
        <v>45803.904861111114</v>
      </c>
      <c r="B1325" t="s">
        <v>1469</v>
      </c>
      <c r="C1325" t="s">
        <v>73</v>
      </c>
      <c r="D1325" t="s">
        <v>310</v>
      </c>
      <c r="E1325" t="s">
        <v>1364</v>
      </c>
      <c r="F1325" t="s">
        <v>695</v>
      </c>
      <c r="G1325">
        <v>1900</v>
      </c>
      <c r="H1325">
        <v>5900</v>
      </c>
      <c r="J1325" t="s">
        <v>1469</v>
      </c>
    </row>
    <row r="1326" spans="1:10" x14ac:dyDescent="0.25">
      <c r="A1326" s="40">
        <v>45803.904861111114</v>
      </c>
      <c r="B1326" t="s">
        <v>1469</v>
      </c>
      <c r="C1326" t="s">
        <v>1</v>
      </c>
      <c r="D1326" t="s">
        <v>250</v>
      </c>
      <c r="E1326" t="s">
        <v>1364</v>
      </c>
      <c r="F1326" t="s">
        <v>695</v>
      </c>
      <c r="G1326">
        <v>3188</v>
      </c>
      <c r="H1326">
        <v>8331</v>
      </c>
      <c r="J1326" t="s">
        <v>1469</v>
      </c>
    </row>
    <row r="1327" spans="1:10" x14ac:dyDescent="0.25">
      <c r="A1327" s="40">
        <v>45803.904861111114</v>
      </c>
      <c r="B1327" t="s">
        <v>1469</v>
      </c>
      <c r="C1327" t="s">
        <v>285</v>
      </c>
      <c r="D1327" t="s">
        <v>286</v>
      </c>
      <c r="E1327" t="s">
        <v>1364</v>
      </c>
      <c r="F1327" t="s">
        <v>1372</v>
      </c>
      <c r="G1327">
        <v>-978</v>
      </c>
      <c r="H1327">
        <v>2955</v>
      </c>
      <c r="J1327" t="s">
        <v>1469</v>
      </c>
    </row>
    <row r="1328" spans="1:10" x14ac:dyDescent="0.25">
      <c r="A1328" s="40">
        <v>45803.904861111114</v>
      </c>
      <c r="B1328" t="s">
        <v>1469</v>
      </c>
      <c r="C1328" t="s">
        <v>288</v>
      </c>
      <c r="D1328" t="s">
        <v>289</v>
      </c>
      <c r="E1328" t="s">
        <v>1364</v>
      </c>
      <c r="F1328" t="s">
        <v>695</v>
      </c>
      <c r="G1328">
        <v>0</v>
      </c>
      <c r="H1328">
        <v>4000</v>
      </c>
      <c r="J1328" t="s">
        <v>1469</v>
      </c>
    </row>
    <row r="1329" spans="1:10" x14ac:dyDescent="0.25">
      <c r="A1329" s="40">
        <v>45803.904861111114</v>
      </c>
      <c r="B1329" t="s">
        <v>1469</v>
      </c>
      <c r="C1329" t="s">
        <v>279</v>
      </c>
      <c r="D1329" t="s">
        <v>280</v>
      </c>
      <c r="E1329" t="s">
        <v>1364</v>
      </c>
      <c r="F1329" t="s">
        <v>1372</v>
      </c>
      <c r="G1329">
        <v>-833</v>
      </c>
      <c r="H1329">
        <v>3131</v>
      </c>
      <c r="J1329" t="s">
        <v>1469</v>
      </c>
    </row>
    <row r="1330" spans="1:10" x14ac:dyDescent="0.25">
      <c r="A1330" s="40">
        <v>45803.904861111114</v>
      </c>
      <c r="B1330" t="s">
        <v>1469</v>
      </c>
      <c r="C1330" t="s">
        <v>271</v>
      </c>
      <c r="D1330" t="s">
        <v>272</v>
      </c>
      <c r="E1330" t="s">
        <v>1364</v>
      </c>
      <c r="F1330" t="s">
        <v>695</v>
      </c>
      <c r="G1330">
        <v>0</v>
      </c>
      <c r="H1330">
        <v>3000</v>
      </c>
      <c r="J1330" t="s">
        <v>1469</v>
      </c>
    </row>
    <row r="1331" spans="1:10" x14ac:dyDescent="0.25">
      <c r="A1331" s="40">
        <v>45803.904861111114</v>
      </c>
      <c r="B1331" t="s">
        <v>1469</v>
      </c>
      <c r="C1331" t="s">
        <v>258</v>
      </c>
      <c r="D1331" t="s">
        <v>259</v>
      </c>
      <c r="E1331" t="s">
        <v>1364</v>
      </c>
      <c r="F1331" t="s">
        <v>695</v>
      </c>
      <c r="G1331">
        <v>1217</v>
      </c>
      <c r="H1331">
        <v>4062</v>
      </c>
      <c r="J1331" t="s">
        <v>1469</v>
      </c>
    </row>
    <row r="1332" spans="1:10" x14ac:dyDescent="0.25">
      <c r="A1332" s="40">
        <v>45803.904861111114</v>
      </c>
      <c r="B1332" t="s">
        <v>1469</v>
      </c>
      <c r="C1332" t="s">
        <v>302</v>
      </c>
      <c r="D1332" t="s">
        <v>303</v>
      </c>
      <c r="E1332" t="s">
        <v>1364</v>
      </c>
      <c r="F1332" t="s">
        <v>1372</v>
      </c>
      <c r="G1332">
        <v>-55</v>
      </c>
      <c r="H1332">
        <v>2700</v>
      </c>
      <c r="J1332" t="s">
        <v>1469</v>
      </c>
    </row>
    <row r="1333" spans="1:10" x14ac:dyDescent="0.25">
      <c r="A1333" s="40">
        <v>45803.904861111114</v>
      </c>
      <c r="B1333" t="s">
        <v>1469</v>
      </c>
      <c r="C1333" t="s">
        <v>275</v>
      </c>
      <c r="D1333" t="s">
        <v>276</v>
      </c>
      <c r="E1333" t="s">
        <v>1364</v>
      </c>
      <c r="F1333" t="s">
        <v>1372</v>
      </c>
      <c r="G1333">
        <v>-55</v>
      </c>
      <c r="H1333">
        <v>2700</v>
      </c>
      <c r="J1333" t="s">
        <v>1469</v>
      </c>
    </row>
    <row r="1334" spans="1:10" x14ac:dyDescent="0.25">
      <c r="A1334" s="40">
        <v>45803.904861111114</v>
      </c>
      <c r="B1334" t="s">
        <v>1469</v>
      </c>
      <c r="C1334" t="s">
        <v>294</v>
      </c>
      <c r="D1334" t="s">
        <v>295</v>
      </c>
      <c r="E1334" t="s">
        <v>1364</v>
      </c>
      <c r="F1334" t="s">
        <v>1372</v>
      </c>
      <c r="G1334">
        <v>-64</v>
      </c>
      <c r="H1334">
        <v>2660</v>
      </c>
      <c r="J1334" t="s">
        <v>1469</v>
      </c>
    </row>
    <row r="1335" spans="1:10" x14ac:dyDescent="0.25">
      <c r="A1335" s="40">
        <v>45803.904861111114</v>
      </c>
      <c r="B1335" t="s">
        <v>1469</v>
      </c>
      <c r="C1335" t="s">
        <v>298</v>
      </c>
      <c r="D1335" t="s">
        <v>299</v>
      </c>
      <c r="E1335" t="s">
        <v>1364</v>
      </c>
      <c r="F1335" t="s">
        <v>1372</v>
      </c>
      <c r="G1335">
        <v>-1100</v>
      </c>
      <c r="H1335">
        <v>900</v>
      </c>
      <c r="J1335" t="s">
        <v>1469</v>
      </c>
    </row>
    <row r="1336" spans="1:10" x14ac:dyDescent="0.25">
      <c r="A1336" s="40">
        <v>45803.904861111114</v>
      </c>
      <c r="B1336" t="s">
        <v>1469</v>
      </c>
      <c r="C1336" t="s">
        <v>3</v>
      </c>
      <c r="D1336" t="s">
        <v>287</v>
      </c>
      <c r="E1336" t="s">
        <v>1364</v>
      </c>
      <c r="F1336" t="s">
        <v>695</v>
      </c>
      <c r="G1336">
        <v>7118</v>
      </c>
      <c r="H1336">
        <v>15332</v>
      </c>
      <c r="J1336" t="s">
        <v>1469</v>
      </c>
    </row>
    <row r="1337" spans="1:10" x14ac:dyDescent="0.25">
      <c r="A1337" s="40">
        <v>45803.904861111114</v>
      </c>
      <c r="B1337" t="s">
        <v>1469</v>
      </c>
      <c r="C1337" t="s">
        <v>57</v>
      </c>
      <c r="D1337" t="s">
        <v>314</v>
      </c>
      <c r="E1337" t="s">
        <v>1364</v>
      </c>
      <c r="F1337" t="s">
        <v>695</v>
      </c>
      <c r="G1337">
        <v>1964</v>
      </c>
      <c r="H1337">
        <v>5191</v>
      </c>
      <c r="J1337" t="s">
        <v>1469</v>
      </c>
    </row>
    <row r="1338" spans="1:10" x14ac:dyDescent="0.25">
      <c r="A1338" s="40">
        <v>45803.904861111114</v>
      </c>
      <c r="B1338" t="s">
        <v>1469</v>
      </c>
      <c r="C1338" t="s">
        <v>2</v>
      </c>
      <c r="D1338" t="s">
        <v>266</v>
      </c>
      <c r="E1338" t="s">
        <v>1364</v>
      </c>
      <c r="F1338" t="s">
        <v>1372</v>
      </c>
      <c r="G1338">
        <v>-7749</v>
      </c>
      <c r="H1338">
        <v>21</v>
      </c>
      <c r="J1338" t="s">
        <v>1469</v>
      </c>
    </row>
    <row r="1339" spans="1:10" x14ac:dyDescent="0.25">
      <c r="A1339" s="40">
        <v>45803.904861111114</v>
      </c>
      <c r="B1339" t="s">
        <v>1469</v>
      </c>
      <c r="C1339" t="s">
        <v>283</v>
      </c>
      <c r="D1339" t="s">
        <v>284</v>
      </c>
      <c r="E1339" t="s">
        <v>1364</v>
      </c>
      <c r="F1339" t="s">
        <v>1372</v>
      </c>
      <c r="G1339">
        <v>-766</v>
      </c>
      <c r="H1339">
        <v>2365</v>
      </c>
      <c r="J1339" t="s">
        <v>1469</v>
      </c>
    </row>
    <row r="1340" spans="1:10" x14ac:dyDescent="0.25">
      <c r="A1340" s="40">
        <v>45803.904861111114</v>
      </c>
      <c r="B1340" t="s">
        <v>1469</v>
      </c>
      <c r="C1340" t="s">
        <v>292</v>
      </c>
      <c r="D1340" t="s">
        <v>293</v>
      </c>
      <c r="E1340" t="s">
        <v>1364</v>
      </c>
      <c r="F1340" t="s">
        <v>695</v>
      </c>
      <c r="G1340">
        <v>0</v>
      </c>
      <c r="H1340">
        <v>60</v>
      </c>
      <c r="J1340" t="s">
        <v>1469</v>
      </c>
    </row>
    <row r="1341" spans="1:10" x14ac:dyDescent="0.25">
      <c r="A1341" s="40">
        <v>45803.904861111114</v>
      </c>
      <c r="B1341" t="s">
        <v>1469</v>
      </c>
      <c r="C1341" t="s">
        <v>468</v>
      </c>
      <c r="D1341" t="s">
        <v>469</v>
      </c>
      <c r="E1341" t="s">
        <v>1364</v>
      </c>
      <c r="F1341" t="s">
        <v>1372</v>
      </c>
      <c r="G1341">
        <v>-1238</v>
      </c>
      <c r="H1341">
        <v>3502</v>
      </c>
      <c r="J1341" t="s">
        <v>1469</v>
      </c>
    </row>
    <row r="1342" spans="1:10" x14ac:dyDescent="0.25">
      <c r="A1342" s="40">
        <v>45803.904861111114</v>
      </c>
      <c r="B1342" t="s">
        <v>1469</v>
      </c>
      <c r="C1342" t="s">
        <v>22</v>
      </c>
      <c r="D1342" t="s">
        <v>489</v>
      </c>
      <c r="E1342" t="s">
        <v>1364</v>
      </c>
      <c r="F1342" t="s">
        <v>1372</v>
      </c>
      <c r="G1342">
        <v>-2340</v>
      </c>
      <c r="H1342">
        <v>2500</v>
      </c>
      <c r="J1342" t="s">
        <v>1469</v>
      </c>
    </row>
    <row r="1343" spans="1:10" x14ac:dyDescent="0.25">
      <c r="A1343" s="40">
        <v>45803.904861111114</v>
      </c>
      <c r="B1343" t="s">
        <v>1469</v>
      </c>
      <c r="C1343" t="s">
        <v>91</v>
      </c>
      <c r="D1343" t="s">
        <v>504</v>
      </c>
      <c r="E1343" t="s">
        <v>1364</v>
      </c>
      <c r="F1343" t="s">
        <v>1372</v>
      </c>
      <c r="G1343">
        <v>-220</v>
      </c>
      <c r="H1343">
        <v>3500</v>
      </c>
      <c r="J1343" t="s">
        <v>1469</v>
      </c>
    </row>
    <row r="1344" spans="1:10" x14ac:dyDescent="0.25">
      <c r="A1344" s="40">
        <v>45803.904861111114</v>
      </c>
      <c r="B1344" t="s">
        <v>1469</v>
      </c>
      <c r="C1344" t="s">
        <v>37</v>
      </c>
      <c r="D1344" t="s">
        <v>497</v>
      </c>
      <c r="E1344" t="s">
        <v>1364</v>
      </c>
      <c r="F1344" t="s">
        <v>695</v>
      </c>
      <c r="G1344">
        <v>3745</v>
      </c>
      <c r="H1344">
        <v>6889</v>
      </c>
      <c r="J1344" t="s">
        <v>1469</v>
      </c>
    </row>
    <row r="1345" spans="1:10" x14ac:dyDescent="0.25">
      <c r="A1345" s="40">
        <v>45803.904861111114</v>
      </c>
      <c r="B1345" t="s">
        <v>1469</v>
      </c>
      <c r="C1345" t="s">
        <v>12</v>
      </c>
      <c r="D1345" t="s">
        <v>432</v>
      </c>
      <c r="E1345" t="s">
        <v>1364</v>
      </c>
      <c r="F1345" t="s">
        <v>1372</v>
      </c>
      <c r="G1345">
        <v>-415</v>
      </c>
      <c r="H1345">
        <v>2000</v>
      </c>
      <c r="J1345" t="s">
        <v>1469</v>
      </c>
    </row>
    <row r="1346" spans="1:10" x14ac:dyDescent="0.25">
      <c r="A1346" s="40">
        <v>45803.904861111114</v>
      </c>
      <c r="B1346" t="s">
        <v>1469</v>
      </c>
      <c r="C1346" t="s">
        <v>102</v>
      </c>
      <c r="D1346" t="s">
        <v>508</v>
      </c>
      <c r="E1346" t="s">
        <v>1364</v>
      </c>
      <c r="F1346" t="s">
        <v>695</v>
      </c>
      <c r="G1346">
        <v>0</v>
      </c>
      <c r="H1346">
        <v>4874</v>
      </c>
      <c r="J1346" t="s">
        <v>1469</v>
      </c>
    </row>
    <row r="1347" spans="1:10" x14ac:dyDescent="0.25">
      <c r="A1347" s="40">
        <v>45803.904861111114</v>
      </c>
      <c r="B1347" t="s">
        <v>1469</v>
      </c>
      <c r="C1347" t="s">
        <v>460</v>
      </c>
      <c r="D1347" t="s">
        <v>461</v>
      </c>
      <c r="E1347" t="s">
        <v>1364</v>
      </c>
      <c r="F1347" t="s">
        <v>1372</v>
      </c>
      <c r="G1347">
        <v>-10</v>
      </c>
      <c r="H1347">
        <v>3500</v>
      </c>
      <c r="J1347" t="s">
        <v>1469</v>
      </c>
    </row>
    <row r="1348" spans="1:10" x14ac:dyDescent="0.25">
      <c r="A1348" s="40">
        <v>45803.904861111114</v>
      </c>
      <c r="B1348" t="s">
        <v>1469</v>
      </c>
      <c r="C1348" t="s">
        <v>479</v>
      </c>
      <c r="D1348" t="s">
        <v>480</v>
      </c>
      <c r="E1348" t="s">
        <v>1364</v>
      </c>
      <c r="F1348" t="s">
        <v>1372</v>
      </c>
      <c r="G1348">
        <v>-436</v>
      </c>
      <c r="H1348">
        <v>3400</v>
      </c>
      <c r="J1348" t="s">
        <v>1469</v>
      </c>
    </row>
    <row r="1349" spans="1:10" x14ac:dyDescent="0.25">
      <c r="A1349" s="40">
        <v>45803.904861111114</v>
      </c>
      <c r="B1349" t="s">
        <v>1469</v>
      </c>
      <c r="C1349" t="s">
        <v>418</v>
      </c>
      <c r="D1349" t="s">
        <v>419</v>
      </c>
      <c r="E1349" t="s">
        <v>1364</v>
      </c>
      <c r="F1349" t="s">
        <v>695</v>
      </c>
      <c r="G1349">
        <v>77</v>
      </c>
      <c r="H1349">
        <v>2857</v>
      </c>
      <c r="J1349" t="s">
        <v>1469</v>
      </c>
    </row>
    <row r="1350" spans="1:10" x14ac:dyDescent="0.25">
      <c r="A1350" s="40">
        <v>45803.904861111114</v>
      </c>
      <c r="B1350" t="s">
        <v>1469</v>
      </c>
      <c r="C1350" t="s">
        <v>339</v>
      </c>
      <c r="D1350" t="s">
        <v>340</v>
      </c>
      <c r="E1350" t="s">
        <v>1364</v>
      </c>
      <c r="F1350" t="s">
        <v>1372</v>
      </c>
      <c r="G1350">
        <v>-182</v>
      </c>
      <c r="H1350">
        <v>2400</v>
      </c>
      <c r="J1350" t="s">
        <v>1469</v>
      </c>
    </row>
    <row r="1351" spans="1:10" x14ac:dyDescent="0.25">
      <c r="A1351" s="40">
        <v>45803.904861111114</v>
      </c>
      <c r="B1351" t="s">
        <v>1469</v>
      </c>
      <c r="C1351" t="s">
        <v>447</v>
      </c>
      <c r="D1351" t="s">
        <v>448</v>
      </c>
      <c r="E1351" t="s">
        <v>1364</v>
      </c>
      <c r="F1351" t="s">
        <v>1372</v>
      </c>
      <c r="G1351">
        <v>-38</v>
      </c>
      <c r="H1351">
        <v>3702</v>
      </c>
      <c r="J1351" t="s">
        <v>1469</v>
      </c>
    </row>
    <row r="1352" spans="1:10" x14ac:dyDescent="0.25">
      <c r="A1352" s="40">
        <v>45803.904861111114</v>
      </c>
      <c r="B1352" t="s">
        <v>1469</v>
      </c>
      <c r="C1352" t="s">
        <v>466</v>
      </c>
      <c r="D1352" t="s">
        <v>467</v>
      </c>
      <c r="E1352" t="s">
        <v>1364</v>
      </c>
      <c r="F1352" t="s">
        <v>695</v>
      </c>
      <c r="G1352">
        <v>0</v>
      </c>
      <c r="H1352">
        <v>4000</v>
      </c>
      <c r="J1352" t="s">
        <v>1469</v>
      </c>
    </row>
    <row r="1353" spans="1:10" x14ac:dyDescent="0.25">
      <c r="A1353" s="40">
        <v>45803.904861111114</v>
      </c>
      <c r="B1353" t="s">
        <v>1469</v>
      </c>
      <c r="C1353" t="s">
        <v>48</v>
      </c>
      <c r="D1353" t="s">
        <v>396</v>
      </c>
      <c r="E1353" t="s">
        <v>1364</v>
      </c>
      <c r="F1353" t="s">
        <v>695</v>
      </c>
      <c r="G1353">
        <v>35</v>
      </c>
      <c r="H1353">
        <v>4000</v>
      </c>
      <c r="J1353" t="s">
        <v>1469</v>
      </c>
    </row>
    <row r="1354" spans="1:10" x14ac:dyDescent="0.25">
      <c r="A1354" s="40">
        <v>45803.904861111114</v>
      </c>
      <c r="B1354" t="s">
        <v>1469</v>
      </c>
      <c r="C1354" t="s">
        <v>52</v>
      </c>
      <c r="D1354" t="s">
        <v>397</v>
      </c>
      <c r="E1354" t="s">
        <v>1364</v>
      </c>
      <c r="F1354" t="s">
        <v>695</v>
      </c>
      <c r="G1354">
        <v>4051</v>
      </c>
      <c r="H1354">
        <v>8506</v>
      </c>
      <c r="J1354" t="s">
        <v>1469</v>
      </c>
    </row>
    <row r="1355" spans="1:10" x14ac:dyDescent="0.25">
      <c r="A1355" s="40">
        <v>45803.904861111114</v>
      </c>
      <c r="B1355" t="s">
        <v>1469</v>
      </c>
      <c r="C1355" t="s">
        <v>426</v>
      </c>
      <c r="D1355" t="s">
        <v>427</v>
      </c>
      <c r="E1355" t="s">
        <v>1364</v>
      </c>
      <c r="F1355" t="s">
        <v>695</v>
      </c>
      <c r="G1355">
        <v>699</v>
      </c>
      <c r="H1355">
        <v>5204</v>
      </c>
      <c r="J1355" t="s">
        <v>1469</v>
      </c>
    </row>
    <row r="1356" spans="1:10" x14ac:dyDescent="0.25">
      <c r="A1356" s="40">
        <v>45803.904861111114</v>
      </c>
      <c r="B1356" t="s">
        <v>1469</v>
      </c>
      <c r="C1356" t="s">
        <v>81</v>
      </c>
      <c r="D1356" t="s">
        <v>317</v>
      </c>
      <c r="E1356" t="s">
        <v>1364</v>
      </c>
      <c r="F1356" t="s">
        <v>695</v>
      </c>
      <c r="G1356">
        <v>2387</v>
      </c>
      <c r="H1356">
        <v>4710</v>
      </c>
      <c r="J1356" t="s">
        <v>1469</v>
      </c>
    </row>
    <row r="1357" spans="1:10" x14ac:dyDescent="0.25">
      <c r="A1357" s="40">
        <v>45803.904861111114</v>
      </c>
      <c r="B1357" t="s">
        <v>1469</v>
      </c>
      <c r="C1357" t="s">
        <v>335</v>
      </c>
      <c r="D1357" t="s">
        <v>336</v>
      </c>
      <c r="E1357" t="s">
        <v>1364</v>
      </c>
      <c r="F1357" t="s">
        <v>695</v>
      </c>
      <c r="G1357">
        <v>2872</v>
      </c>
      <c r="H1357">
        <v>5666</v>
      </c>
      <c r="J1357" t="s">
        <v>1469</v>
      </c>
    </row>
    <row r="1358" spans="1:10" x14ac:dyDescent="0.25">
      <c r="A1358" s="40">
        <v>45803.904861111114</v>
      </c>
      <c r="B1358" t="s">
        <v>1469</v>
      </c>
      <c r="C1358" t="s">
        <v>7</v>
      </c>
      <c r="D1358" t="s">
        <v>307</v>
      </c>
      <c r="E1358" t="s">
        <v>1364</v>
      </c>
      <c r="F1358" t="s">
        <v>695</v>
      </c>
      <c r="G1358">
        <v>6045</v>
      </c>
      <c r="H1358">
        <v>17183</v>
      </c>
      <c r="J1358" t="s">
        <v>1469</v>
      </c>
    </row>
    <row r="1359" spans="1:10" x14ac:dyDescent="0.25">
      <c r="A1359" s="40">
        <v>45803.904861111114</v>
      </c>
      <c r="B1359" t="s">
        <v>1469</v>
      </c>
      <c r="C1359" t="s">
        <v>72</v>
      </c>
      <c r="D1359" t="s">
        <v>309</v>
      </c>
      <c r="E1359" t="s">
        <v>1364</v>
      </c>
      <c r="F1359" t="s">
        <v>1372</v>
      </c>
      <c r="G1359">
        <v>-2000</v>
      </c>
      <c r="H1359">
        <v>2000</v>
      </c>
      <c r="J1359" t="s">
        <v>1469</v>
      </c>
    </row>
    <row r="1360" spans="1:10" x14ac:dyDescent="0.25">
      <c r="A1360" s="40">
        <v>45803.904861111114</v>
      </c>
      <c r="B1360" t="s">
        <v>1469</v>
      </c>
      <c r="C1360" t="s">
        <v>273</v>
      </c>
      <c r="D1360" t="s">
        <v>274</v>
      </c>
      <c r="E1360" t="s">
        <v>1364</v>
      </c>
      <c r="F1360" t="s">
        <v>1372</v>
      </c>
      <c r="G1360">
        <v>-338</v>
      </c>
      <c r="H1360">
        <v>3400</v>
      </c>
      <c r="J1360" t="s">
        <v>1469</v>
      </c>
    </row>
    <row r="1361" spans="1:10" x14ac:dyDescent="0.25">
      <c r="A1361" s="40">
        <v>45803.904861111114</v>
      </c>
      <c r="B1361" t="s">
        <v>1469</v>
      </c>
      <c r="C1361" t="s">
        <v>76</v>
      </c>
      <c r="D1361" t="s">
        <v>252</v>
      </c>
      <c r="E1361" t="s">
        <v>1364</v>
      </c>
      <c r="F1361" t="s">
        <v>1372</v>
      </c>
      <c r="G1361">
        <v>-636</v>
      </c>
      <c r="H1361">
        <v>2500</v>
      </c>
      <c r="J1361" t="s">
        <v>1469</v>
      </c>
    </row>
    <row r="1362" spans="1:10" x14ac:dyDescent="0.25">
      <c r="A1362" s="40">
        <v>45803.904861111114</v>
      </c>
      <c r="B1362" t="s">
        <v>1469</v>
      </c>
      <c r="C1362" t="s">
        <v>281</v>
      </c>
      <c r="D1362" t="s">
        <v>282</v>
      </c>
      <c r="E1362" t="s">
        <v>1364</v>
      </c>
      <c r="F1362" t="s">
        <v>1372</v>
      </c>
      <c r="G1362">
        <v>-348</v>
      </c>
      <c r="H1362">
        <v>2000</v>
      </c>
      <c r="J1362" t="s">
        <v>1469</v>
      </c>
    </row>
    <row r="1363" spans="1:10" x14ac:dyDescent="0.25">
      <c r="A1363" s="40">
        <v>45803.904861111114</v>
      </c>
      <c r="B1363" t="s">
        <v>1469</v>
      </c>
      <c r="C1363" t="s">
        <v>88</v>
      </c>
      <c r="D1363" t="s">
        <v>372</v>
      </c>
      <c r="E1363" t="s">
        <v>1364</v>
      </c>
      <c r="F1363" t="s">
        <v>695</v>
      </c>
      <c r="G1363">
        <v>500</v>
      </c>
      <c r="H1363">
        <v>4500</v>
      </c>
      <c r="J1363" t="s">
        <v>1469</v>
      </c>
    </row>
    <row r="1364" spans="1:10" x14ac:dyDescent="0.25">
      <c r="A1364" s="40">
        <v>45803.904861111114</v>
      </c>
      <c r="B1364" t="s">
        <v>1469</v>
      </c>
      <c r="C1364" t="s">
        <v>368</v>
      </c>
      <c r="D1364" t="s">
        <v>369</v>
      </c>
      <c r="E1364" t="s">
        <v>1364</v>
      </c>
      <c r="F1364" t="s">
        <v>1372</v>
      </c>
      <c r="G1364">
        <v>-100</v>
      </c>
      <c r="H1364">
        <v>2900</v>
      </c>
      <c r="J1364" t="s">
        <v>1469</v>
      </c>
    </row>
    <row r="1365" spans="1:10" x14ac:dyDescent="0.25">
      <c r="A1365" s="40">
        <v>45803.904861111114</v>
      </c>
      <c r="B1365" t="s">
        <v>1469</v>
      </c>
      <c r="C1365" t="s">
        <v>366</v>
      </c>
      <c r="D1365" t="s">
        <v>367</v>
      </c>
      <c r="E1365" t="s">
        <v>1364</v>
      </c>
      <c r="F1365" t="s">
        <v>1372</v>
      </c>
      <c r="G1365">
        <v>-95</v>
      </c>
      <c r="H1365">
        <v>3700</v>
      </c>
      <c r="J1365" t="s">
        <v>1469</v>
      </c>
    </row>
    <row r="1366" spans="1:10" x14ac:dyDescent="0.25">
      <c r="A1366" s="40">
        <v>45803.904861111114</v>
      </c>
      <c r="B1366" t="s">
        <v>1469</v>
      </c>
      <c r="C1366" t="s">
        <v>290</v>
      </c>
      <c r="D1366" t="s">
        <v>291</v>
      </c>
      <c r="E1366" t="s">
        <v>1364</v>
      </c>
      <c r="F1366" t="s">
        <v>1372</v>
      </c>
      <c r="G1366">
        <v>-1978</v>
      </c>
      <c r="H1366">
        <v>1955</v>
      </c>
      <c r="J1366" t="s">
        <v>1469</v>
      </c>
    </row>
    <row r="1367" spans="1:10" x14ac:dyDescent="0.25">
      <c r="A1367" s="40">
        <v>45803.904861111114</v>
      </c>
      <c r="B1367" t="s">
        <v>1469</v>
      </c>
      <c r="C1367" t="s">
        <v>75</v>
      </c>
      <c r="D1367" t="s">
        <v>251</v>
      </c>
      <c r="E1367" t="s">
        <v>1364</v>
      </c>
      <c r="F1367" t="s">
        <v>1372</v>
      </c>
      <c r="G1367">
        <v>-84</v>
      </c>
      <c r="H1367">
        <v>2869</v>
      </c>
      <c r="J1367" t="s">
        <v>1469</v>
      </c>
    </row>
    <row r="1368" spans="1:10" x14ac:dyDescent="0.25">
      <c r="A1368" s="40">
        <v>45803.904861111114</v>
      </c>
      <c r="B1368" t="s">
        <v>1469</v>
      </c>
      <c r="C1368" t="s">
        <v>262</v>
      </c>
      <c r="D1368" t="s">
        <v>263</v>
      </c>
      <c r="E1368" t="s">
        <v>1364</v>
      </c>
      <c r="F1368" t="s">
        <v>1372</v>
      </c>
      <c r="G1368">
        <v>-2800</v>
      </c>
      <c r="H1368">
        <v>200</v>
      </c>
      <c r="J1368" t="s">
        <v>1469</v>
      </c>
    </row>
    <row r="1369" spans="1:10" x14ac:dyDescent="0.25">
      <c r="A1369" s="40">
        <v>45803.904861111114</v>
      </c>
      <c r="B1369" t="s">
        <v>1469</v>
      </c>
      <c r="C1369" t="s">
        <v>89</v>
      </c>
      <c r="D1369" t="s">
        <v>359</v>
      </c>
      <c r="E1369" t="s">
        <v>1364</v>
      </c>
      <c r="F1369" t="s">
        <v>695</v>
      </c>
      <c r="G1369">
        <v>557</v>
      </c>
      <c r="H1369">
        <v>3008</v>
      </c>
      <c r="J1369" t="s">
        <v>1469</v>
      </c>
    </row>
    <row r="1370" spans="1:10" x14ac:dyDescent="0.25">
      <c r="A1370" s="40">
        <v>45803.904861111114</v>
      </c>
      <c r="B1370" t="s">
        <v>1469</v>
      </c>
      <c r="C1370" t="s">
        <v>63</v>
      </c>
      <c r="D1370" t="s">
        <v>355</v>
      </c>
      <c r="E1370" t="s">
        <v>1364</v>
      </c>
      <c r="F1370" t="s">
        <v>695</v>
      </c>
      <c r="G1370">
        <v>2601</v>
      </c>
      <c r="H1370">
        <v>3917</v>
      </c>
      <c r="J1370" t="s">
        <v>1469</v>
      </c>
    </row>
    <row r="1371" spans="1:10" x14ac:dyDescent="0.25">
      <c r="A1371" s="40">
        <v>45803.904861111114</v>
      </c>
      <c r="B1371" t="s">
        <v>1469</v>
      </c>
      <c r="C1371" t="s">
        <v>62</v>
      </c>
      <c r="D1371" t="s">
        <v>354</v>
      </c>
      <c r="E1371" t="s">
        <v>1364</v>
      </c>
      <c r="F1371" t="s">
        <v>695</v>
      </c>
      <c r="G1371">
        <v>2280</v>
      </c>
      <c r="H1371">
        <v>4029</v>
      </c>
      <c r="J1371" t="s">
        <v>1469</v>
      </c>
    </row>
    <row r="1372" spans="1:10" x14ac:dyDescent="0.25">
      <c r="A1372" s="40">
        <v>45803.904861111114</v>
      </c>
      <c r="B1372" t="s">
        <v>1469</v>
      </c>
      <c r="C1372" t="s">
        <v>341</v>
      </c>
      <c r="D1372" t="s">
        <v>342</v>
      </c>
      <c r="E1372" t="s">
        <v>1364</v>
      </c>
      <c r="F1372" t="s">
        <v>1372</v>
      </c>
      <c r="G1372">
        <v>-2800</v>
      </c>
      <c r="H1372">
        <v>-825</v>
      </c>
      <c r="J1372" t="s">
        <v>1469</v>
      </c>
    </row>
    <row r="1373" spans="1:10" x14ac:dyDescent="0.25">
      <c r="A1373" s="40">
        <v>45803.904861111114</v>
      </c>
      <c r="B1373" t="s">
        <v>1469</v>
      </c>
      <c r="C1373" t="s">
        <v>103</v>
      </c>
      <c r="D1373" t="s">
        <v>379</v>
      </c>
      <c r="E1373" t="s">
        <v>1364</v>
      </c>
      <c r="F1373" t="s">
        <v>695</v>
      </c>
      <c r="G1373">
        <v>0</v>
      </c>
      <c r="H1373">
        <v>5000</v>
      </c>
      <c r="J1373" t="s">
        <v>1469</v>
      </c>
    </row>
    <row r="1374" spans="1:10" x14ac:dyDescent="0.25">
      <c r="A1374" s="40">
        <v>45803.904861111114</v>
      </c>
      <c r="B1374" t="s">
        <v>1469</v>
      </c>
      <c r="C1374" t="s">
        <v>64</v>
      </c>
      <c r="D1374" t="s">
        <v>356</v>
      </c>
      <c r="E1374" t="s">
        <v>1364</v>
      </c>
      <c r="F1374" t="s">
        <v>695</v>
      </c>
      <c r="G1374">
        <v>1985</v>
      </c>
      <c r="H1374">
        <v>3932</v>
      </c>
      <c r="J1374" t="s">
        <v>1469</v>
      </c>
    </row>
    <row r="1375" spans="1:10" x14ac:dyDescent="0.25">
      <c r="A1375" s="40">
        <v>45803.904861111114</v>
      </c>
      <c r="B1375" t="s">
        <v>1469</v>
      </c>
      <c r="C1375" t="s">
        <v>67</v>
      </c>
      <c r="D1375" t="s">
        <v>373</v>
      </c>
      <c r="E1375" t="s">
        <v>1364</v>
      </c>
      <c r="F1375" t="s">
        <v>695</v>
      </c>
      <c r="G1375">
        <v>852</v>
      </c>
      <c r="H1375">
        <v>3455</v>
      </c>
      <c r="J1375" t="s">
        <v>1469</v>
      </c>
    </row>
    <row r="1376" spans="1:10" x14ac:dyDescent="0.25">
      <c r="A1376" s="40">
        <v>45803.904861111114</v>
      </c>
      <c r="B1376" t="s">
        <v>1469</v>
      </c>
      <c r="C1376" t="s">
        <v>68</v>
      </c>
      <c r="D1376" t="s">
        <v>374</v>
      </c>
      <c r="E1376" t="s">
        <v>1364</v>
      </c>
      <c r="F1376" t="s">
        <v>695</v>
      </c>
      <c r="G1376">
        <v>2521</v>
      </c>
      <c r="H1376">
        <v>3979</v>
      </c>
      <c r="J1376" t="s">
        <v>1469</v>
      </c>
    </row>
    <row r="1377" spans="1:10" x14ac:dyDescent="0.25">
      <c r="A1377" s="40">
        <v>45803.904861111114</v>
      </c>
      <c r="B1377" t="s">
        <v>1469</v>
      </c>
      <c r="C1377" t="s">
        <v>69</v>
      </c>
      <c r="D1377" t="s">
        <v>375</v>
      </c>
      <c r="E1377" t="s">
        <v>1364</v>
      </c>
      <c r="F1377" t="s">
        <v>695</v>
      </c>
      <c r="G1377">
        <v>3308</v>
      </c>
      <c r="H1377">
        <v>8652</v>
      </c>
      <c r="J1377" t="s">
        <v>1469</v>
      </c>
    </row>
    <row r="1378" spans="1:10" x14ac:dyDescent="0.25">
      <c r="A1378" s="40">
        <v>45803.904861111114</v>
      </c>
      <c r="B1378" t="s">
        <v>1469</v>
      </c>
      <c r="C1378" t="s">
        <v>82</v>
      </c>
      <c r="D1378" t="s">
        <v>318</v>
      </c>
      <c r="E1378" t="s">
        <v>1364</v>
      </c>
      <c r="F1378" t="s">
        <v>1372</v>
      </c>
      <c r="G1378">
        <v>-2360</v>
      </c>
      <c r="H1378">
        <v>93</v>
      </c>
      <c r="J1378" t="s">
        <v>1469</v>
      </c>
    </row>
    <row r="1379" spans="1:10" x14ac:dyDescent="0.25">
      <c r="A1379" s="40">
        <v>45803.904861111114</v>
      </c>
      <c r="B1379" t="s">
        <v>1469</v>
      </c>
      <c r="C1379" t="s">
        <v>65</v>
      </c>
      <c r="D1379" t="s">
        <v>347</v>
      </c>
      <c r="E1379" t="s">
        <v>1364</v>
      </c>
      <c r="F1379" t="s">
        <v>1372</v>
      </c>
      <c r="G1379">
        <v>-55</v>
      </c>
      <c r="H1379">
        <v>2500</v>
      </c>
      <c r="J1379" t="s">
        <v>1469</v>
      </c>
    </row>
    <row r="1380" spans="1:10" x14ac:dyDescent="0.25">
      <c r="A1380" s="40">
        <v>45803.904861111114</v>
      </c>
      <c r="B1380" t="s">
        <v>1469</v>
      </c>
      <c r="C1380" t="s">
        <v>83</v>
      </c>
      <c r="D1380" t="s">
        <v>349</v>
      </c>
      <c r="E1380" t="s">
        <v>1364</v>
      </c>
      <c r="F1380" t="s">
        <v>1372</v>
      </c>
      <c r="G1380">
        <v>-100</v>
      </c>
      <c r="H1380">
        <v>2900</v>
      </c>
      <c r="J1380" t="s">
        <v>1469</v>
      </c>
    </row>
    <row r="1381" spans="1:10" x14ac:dyDescent="0.25">
      <c r="A1381" s="40">
        <v>45803.904861111114</v>
      </c>
      <c r="B1381" t="s">
        <v>1469</v>
      </c>
      <c r="C1381" t="s">
        <v>84</v>
      </c>
      <c r="D1381" t="s">
        <v>319</v>
      </c>
      <c r="E1381" t="s">
        <v>1364</v>
      </c>
      <c r="F1381" t="s">
        <v>1372</v>
      </c>
      <c r="G1381">
        <v>-32</v>
      </c>
      <c r="H1381">
        <v>2170</v>
      </c>
      <c r="J1381" t="s">
        <v>1469</v>
      </c>
    </row>
    <row r="1382" spans="1:10" x14ac:dyDescent="0.25">
      <c r="A1382" s="40">
        <v>45803.904861111114</v>
      </c>
      <c r="B1382" t="s">
        <v>1469</v>
      </c>
      <c r="C1382" t="s">
        <v>330</v>
      </c>
      <c r="D1382" t="s">
        <v>331</v>
      </c>
      <c r="E1382" t="s">
        <v>1364</v>
      </c>
      <c r="F1382" t="s">
        <v>1372</v>
      </c>
      <c r="G1382">
        <v>-95</v>
      </c>
      <c r="H1382">
        <v>4848</v>
      </c>
      <c r="J1382" t="s">
        <v>1469</v>
      </c>
    </row>
    <row r="1383" spans="1:10" x14ac:dyDescent="0.25">
      <c r="A1383" s="40">
        <v>45803.904861111114</v>
      </c>
      <c r="B1383" t="s">
        <v>1469</v>
      </c>
      <c r="C1383" t="s">
        <v>85</v>
      </c>
      <c r="D1383" t="s">
        <v>320</v>
      </c>
      <c r="E1383" t="s">
        <v>1364</v>
      </c>
      <c r="F1383" t="s">
        <v>695</v>
      </c>
      <c r="G1383">
        <v>2500</v>
      </c>
      <c r="H1383">
        <v>5500</v>
      </c>
      <c r="J1383" t="s">
        <v>1469</v>
      </c>
    </row>
    <row r="1384" spans="1:10" x14ac:dyDescent="0.25">
      <c r="A1384" s="40">
        <v>45803.904861111114</v>
      </c>
      <c r="B1384" t="s">
        <v>1469</v>
      </c>
      <c r="C1384" t="s">
        <v>66</v>
      </c>
      <c r="D1384" t="s">
        <v>357</v>
      </c>
      <c r="E1384" t="s">
        <v>1364</v>
      </c>
      <c r="F1384" t="s">
        <v>695</v>
      </c>
      <c r="G1384">
        <v>1173</v>
      </c>
      <c r="H1384">
        <v>5510</v>
      </c>
      <c r="J1384" t="s">
        <v>1469</v>
      </c>
    </row>
    <row r="1385" spans="1:10" x14ac:dyDescent="0.25">
      <c r="A1385" s="40">
        <v>45803.904861111114</v>
      </c>
      <c r="B1385" t="s">
        <v>1469</v>
      </c>
      <c r="C1385" t="s">
        <v>345</v>
      </c>
      <c r="D1385" t="s">
        <v>346</v>
      </c>
      <c r="E1385" t="s">
        <v>1364</v>
      </c>
      <c r="F1385" t="s">
        <v>695</v>
      </c>
      <c r="G1385">
        <v>0</v>
      </c>
      <c r="H1385">
        <v>3000</v>
      </c>
      <c r="J1385" t="s">
        <v>1469</v>
      </c>
    </row>
    <row r="1386" spans="1:10" x14ac:dyDescent="0.25">
      <c r="A1386" s="40">
        <v>45803.904861111114</v>
      </c>
      <c r="B1386" t="s">
        <v>1469</v>
      </c>
      <c r="C1386" t="s">
        <v>322</v>
      </c>
      <c r="D1386" t="s">
        <v>323</v>
      </c>
      <c r="E1386" t="s">
        <v>1364</v>
      </c>
      <c r="F1386" t="s">
        <v>695</v>
      </c>
      <c r="G1386">
        <v>1704</v>
      </c>
      <c r="H1386">
        <v>3254</v>
      </c>
      <c r="J1386" t="s">
        <v>1469</v>
      </c>
    </row>
    <row r="1387" spans="1:10" x14ac:dyDescent="0.25">
      <c r="A1387" s="40">
        <v>45803.904861111114</v>
      </c>
      <c r="B1387" t="s">
        <v>1469</v>
      </c>
      <c r="C1387" t="s">
        <v>71</v>
      </c>
      <c r="D1387" t="s">
        <v>376</v>
      </c>
      <c r="E1387" t="s">
        <v>1364</v>
      </c>
      <c r="F1387" t="s">
        <v>695</v>
      </c>
      <c r="G1387">
        <v>50</v>
      </c>
      <c r="H1387">
        <v>4050</v>
      </c>
      <c r="J1387" t="s">
        <v>1469</v>
      </c>
    </row>
    <row r="1388" spans="1:10" x14ac:dyDescent="0.25">
      <c r="A1388" s="40">
        <v>45803.904861111114</v>
      </c>
      <c r="B1388" t="s">
        <v>1469</v>
      </c>
      <c r="C1388" t="s">
        <v>5</v>
      </c>
      <c r="D1388" t="s">
        <v>389</v>
      </c>
      <c r="E1388" t="s">
        <v>1364</v>
      </c>
      <c r="F1388" t="s">
        <v>695</v>
      </c>
      <c r="G1388">
        <v>1525</v>
      </c>
      <c r="H1388">
        <v>2620</v>
      </c>
      <c r="J1388" t="s">
        <v>1469</v>
      </c>
    </row>
    <row r="1389" spans="1:10" x14ac:dyDescent="0.25">
      <c r="A1389" s="40">
        <v>45803.904861111114</v>
      </c>
      <c r="B1389" t="s">
        <v>1469</v>
      </c>
      <c r="C1389" t="s">
        <v>15</v>
      </c>
      <c r="D1389" t="s">
        <v>474</v>
      </c>
      <c r="E1389" t="s">
        <v>1364</v>
      </c>
      <c r="F1389" t="s">
        <v>1372</v>
      </c>
      <c r="G1389">
        <v>-580</v>
      </c>
      <c r="H1389">
        <v>3019</v>
      </c>
      <c r="J1389" t="s">
        <v>1469</v>
      </c>
    </row>
    <row r="1390" spans="1:10" x14ac:dyDescent="0.25">
      <c r="A1390" s="40">
        <v>45803.904861111114</v>
      </c>
      <c r="B1390" t="s">
        <v>1469</v>
      </c>
      <c r="C1390" t="s">
        <v>27</v>
      </c>
      <c r="D1390" t="s">
        <v>381</v>
      </c>
      <c r="E1390" t="s">
        <v>1364</v>
      </c>
      <c r="F1390" t="s">
        <v>695</v>
      </c>
      <c r="G1390">
        <v>860</v>
      </c>
      <c r="H1390">
        <v>11589</v>
      </c>
      <c r="J1390" t="s">
        <v>1469</v>
      </c>
    </row>
    <row r="1391" spans="1:10" x14ac:dyDescent="0.25">
      <c r="A1391" s="40">
        <v>45803.904861111114</v>
      </c>
      <c r="B1391" t="s">
        <v>1469</v>
      </c>
      <c r="C1391" t="s">
        <v>11</v>
      </c>
      <c r="D1391" t="s">
        <v>411</v>
      </c>
      <c r="E1391" t="s">
        <v>1364</v>
      </c>
      <c r="F1391" t="s">
        <v>1372</v>
      </c>
      <c r="G1391">
        <v>-626</v>
      </c>
      <c r="H1391">
        <v>3626</v>
      </c>
      <c r="J1391" t="s">
        <v>1469</v>
      </c>
    </row>
    <row r="1392" spans="1:10" x14ac:dyDescent="0.25">
      <c r="A1392" s="40">
        <v>45803.904861111114</v>
      </c>
      <c r="B1392" t="s">
        <v>1469</v>
      </c>
      <c r="C1392" t="s">
        <v>28</v>
      </c>
      <c r="D1392" t="s">
        <v>382</v>
      </c>
      <c r="E1392" t="s">
        <v>1364</v>
      </c>
      <c r="F1392" t="s">
        <v>1372</v>
      </c>
      <c r="G1392">
        <v>-860</v>
      </c>
      <c r="H1392">
        <v>3300</v>
      </c>
      <c r="J1392" t="s">
        <v>1469</v>
      </c>
    </row>
    <row r="1393" spans="1:10" x14ac:dyDescent="0.25">
      <c r="A1393" s="40">
        <v>45803.904861111114</v>
      </c>
      <c r="B1393" t="s">
        <v>1469</v>
      </c>
      <c r="C1393" t="s">
        <v>21</v>
      </c>
      <c r="D1393" t="s">
        <v>488</v>
      </c>
      <c r="E1393" t="s">
        <v>1364</v>
      </c>
      <c r="F1393" t="s">
        <v>1372</v>
      </c>
      <c r="G1393">
        <v>-1015</v>
      </c>
      <c r="H1393">
        <v>3500</v>
      </c>
      <c r="J1393" t="s">
        <v>1469</v>
      </c>
    </row>
    <row r="1394" spans="1:10" x14ac:dyDescent="0.25">
      <c r="A1394" s="40">
        <v>45803.904861111114</v>
      </c>
      <c r="B1394" t="s">
        <v>1469</v>
      </c>
      <c r="C1394" t="s">
        <v>20</v>
      </c>
      <c r="D1394" t="s">
        <v>498</v>
      </c>
      <c r="E1394" t="s">
        <v>1364</v>
      </c>
      <c r="F1394" t="s">
        <v>695</v>
      </c>
      <c r="G1394">
        <v>945</v>
      </c>
      <c r="H1394">
        <v>8200</v>
      </c>
      <c r="J1394" t="s">
        <v>1469</v>
      </c>
    </row>
    <row r="1395" spans="1:10" x14ac:dyDescent="0.25">
      <c r="A1395" s="40">
        <v>45803.904861111114</v>
      </c>
      <c r="B1395" t="s">
        <v>1469</v>
      </c>
      <c r="C1395" t="s">
        <v>32</v>
      </c>
      <c r="D1395" t="s">
        <v>384</v>
      </c>
      <c r="E1395" t="s">
        <v>1364</v>
      </c>
      <c r="F1395" t="s">
        <v>1372</v>
      </c>
      <c r="G1395">
        <v>-597</v>
      </c>
      <c r="H1395">
        <v>3633</v>
      </c>
      <c r="J1395" t="s">
        <v>1469</v>
      </c>
    </row>
    <row r="1396" spans="1:10" x14ac:dyDescent="0.25">
      <c r="A1396" s="40">
        <v>45803.904861111114</v>
      </c>
      <c r="B1396" t="s">
        <v>1469</v>
      </c>
      <c r="C1396" t="s">
        <v>16</v>
      </c>
      <c r="D1396" t="s">
        <v>484</v>
      </c>
      <c r="E1396" t="s">
        <v>1364</v>
      </c>
      <c r="F1396" t="s">
        <v>1372</v>
      </c>
      <c r="G1396">
        <v>-990</v>
      </c>
      <c r="H1396">
        <v>2500</v>
      </c>
      <c r="J1396" t="s">
        <v>1469</v>
      </c>
    </row>
    <row r="1397" spans="1:10" x14ac:dyDescent="0.25">
      <c r="A1397" s="40">
        <v>45803.904861111114</v>
      </c>
      <c r="B1397" t="s">
        <v>1469</v>
      </c>
      <c r="C1397" t="s">
        <v>29</v>
      </c>
      <c r="D1397" t="s">
        <v>383</v>
      </c>
      <c r="E1397" t="s">
        <v>1364</v>
      </c>
      <c r="F1397" t="s">
        <v>1372</v>
      </c>
      <c r="G1397">
        <v>-1662</v>
      </c>
      <c r="H1397">
        <v>3338</v>
      </c>
      <c r="J1397" t="s">
        <v>1469</v>
      </c>
    </row>
    <row r="1398" spans="1:10" x14ac:dyDescent="0.25">
      <c r="A1398" s="40">
        <v>45803.904861111114</v>
      </c>
      <c r="B1398" t="s">
        <v>1469</v>
      </c>
      <c r="C1398" t="s">
        <v>30</v>
      </c>
      <c r="D1398" t="s">
        <v>492</v>
      </c>
      <c r="E1398" t="s">
        <v>1364</v>
      </c>
      <c r="F1398" t="s">
        <v>1372</v>
      </c>
      <c r="G1398">
        <v>-1080</v>
      </c>
      <c r="H1398">
        <v>3700</v>
      </c>
      <c r="J1398" t="s">
        <v>1469</v>
      </c>
    </row>
    <row r="1399" spans="1:10" x14ac:dyDescent="0.25">
      <c r="A1399" s="40">
        <v>45803.904861111114</v>
      </c>
      <c r="B1399" t="s">
        <v>1469</v>
      </c>
      <c r="C1399" t="s">
        <v>90</v>
      </c>
      <c r="D1399" t="s">
        <v>503</v>
      </c>
      <c r="E1399" t="s">
        <v>1364</v>
      </c>
      <c r="F1399" t="s">
        <v>695</v>
      </c>
      <c r="G1399">
        <v>110</v>
      </c>
      <c r="H1399">
        <v>4264</v>
      </c>
      <c r="J1399" t="s">
        <v>1469</v>
      </c>
    </row>
    <row r="1400" spans="1:10" x14ac:dyDescent="0.25">
      <c r="A1400" s="40">
        <v>45803.904861111114</v>
      </c>
      <c r="B1400" t="s">
        <v>1469</v>
      </c>
      <c r="C1400" t="s">
        <v>17</v>
      </c>
      <c r="D1400" t="s">
        <v>485</v>
      </c>
      <c r="E1400" t="s">
        <v>1364</v>
      </c>
      <c r="F1400" t="s">
        <v>1372</v>
      </c>
      <c r="G1400">
        <v>-1210</v>
      </c>
      <c r="H1400">
        <v>3500</v>
      </c>
      <c r="J1400" t="s">
        <v>1469</v>
      </c>
    </row>
    <row r="1401" spans="1:10" x14ac:dyDescent="0.25">
      <c r="A1401" s="40">
        <v>45803.904861111114</v>
      </c>
      <c r="B1401" t="s">
        <v>1469</v>
      </c>
      <c r="C1401" t="s">
        <v>23</v>
      </c>
      <c r="D1401" t="s">
        <v>490</v>
      </c>
      <c r="E1401" t="s">
        <v>1364</v>
      </c>
      <c r="F1401" t="s">
        <v>1372</v>
      </c>
      <c r="G1401">
        <v>-955</v>
      </c>
      <c r="H1401">
        <v>3264</v>
      </c>
      <c r="J1401" t="s">
        <v>1469</v>
      </c>
    </row>
    <row r="1402" spans="1:10" x14ac:dyDescent="0.25">
      <c r="A1402" s="40">
        <v>45803.904861111114</v>
      </c>
      <c r="B1402" t="s">
        <v>1469</v>
      </c>
      <c r="C1402" t="s">
        <v>18</v>
      </c>
      <c r="D1402" t="s">
        <v>487</v>
      </c>
      <c r="E1402" t="s">
        <v>1364</v>
      </c>
      <c r="F1402" t="s">
        <v>695</v>
      </c>
      <c r="G1402">
        <v>4587</v>
      </c>
      <c r="H1402">
        <v>10377</v>
      </c>
      <c r="J1402" t="s">
        <v>1469</v>
      </c>
    </row>
    <row r="1403" spans="1:10" x14ac:dyDescent="0.25">
      <c r="A1403" s="40">
        <v>45803.904861111114</v>
      </c>
      <c r="B1403" t="s">
        <v>1469</v>
      </c>
      <c r="C1403" t="s">
        <v>19</v>
      </c>
      <c r="D1403" t="s">
        <v>486</v>
      </c>
      <c r="E1403" t="s">
        <v>1364</v>
      </c>
      <c r="F1403" t="s">
        <v>1372</v>
      </c>
      <c r="G1403">
        <v>-1140</v>
      </c>
      <c r="H1403">
        <v>3700</v>
      </c>
      <c r="J1403" t="s">
        <v>1469</v>
      </c>
    </row>
    <row r="1404" spans="1:10" x14ac:dyDescent="0.25">
      <c r="A1404" s="40">
        <v>45803.904861111114</v>
      </c>
      <c r="B1404" t="s">
        <v>1469</v>
      </c>
      <c r="C1404" t="s">
        <v>31</v>
      </c>
      <c r="D1404" t="s">
        <v>493</v>
      </c>
      <c r="E1404" t="s">
        <v>1364</v>
      </c>
      <c r="F1404" t="s">
        <v>1372</v>
      </c>
      <c r="G1404">
        <v>-1367</v>
      </c>
      <c r="H1404">
        <v>3363</v>
      </c>
      <c r="J1404" t="s">
        <v>1469</v>
      </c>
    </row>
    <row r="1405" spans="1:10" x14ac:dyDescent="0.25">
      <c r="A1405" s="40">
        <v>45803.904861111114</v>
      </c>
      <c r="B1405" t="s">
        <v>1469</v>
      </c>
      <c r="C1405" t="s">
        <v>13</v>
      </c>
      <c r="D1405" t="s">
        <v>453</v>
      </c>
      <c r="E1405" t="s">
        <v>1364</v>
      </c>
      <c r="F1405" t="s">
        <v>1372</v>
      </c>
      <c r="G1405">
        <v>-515</v>
      </c>
      <c r="H1405">
        <v>2800</v>
      </c>
      <c r="J1405" t="s">
        <v>1469</v>
      </c>
    </row>
    <row r="1406" spans="1:10" x14ac:dyDescent="0.25">
      <c r="A1406" s="40">
        <v>45803.904861111114</v>
      </c>
      <c r="B1406" t="s">
        <v>1469</v>
      </c>
      <c r="C1406" t="s">
        <v>24</v>
      </c>
      <c r="D1406" t="s">
        <v>378</v>
      </c>
      <c r="E1406" t="s">
        <v>1364</v>
      </c>
      <c r="F1406" t="s">
        <v>1372</v>
      </c>
      <c r="G1406">
        <v>-343</v>
      </c>
      <c r="H1406">
        <v>2803</v>
      </c>
      <c r="J1406" t="s">
        <v>1469</v>
      </c>
    </row>
    <row r="1407" spans="1:10" x14ac:dyDescent="0.25">
      <c r="A1407" s="40">
        <v>45803.904861111114</v>
      </c>
      <c r="B1407" t="s">
        <v>1469</v>
      </c>
      <c r="C1407" t="s">
        <v>4</v>
      </c>
      <c r="D1407" t="s">
        <v>377</v>
      </c>
      <c r="E1407" t="s">
        <v>1364</v>
      </c>
      <c r="F1407" t="s">
        <v>1372</v>
      </c>
      <c r="G1407">
        <v>-273</v>
      </c>
      <c r="H1407">
        <v>7002</v>
      </c>
      <c r="J1407" t="s">
        <v>1469</v>
      </c>
    </row>
    <row r="1408" spans="1:10" x14ac:dyDescent="0.25">
      <c r="A1408" s="40">
        <v>45803.904861111114</v>
      </c>
      <c r="B1408" t="s">
        <v>1469</v>
      </c>
      <c r="C1408" t="s">
        <v>25</v>
      </c>
      <c r="D1408" t="s">
        <v>491</v>
      </c>
      <c r="E1408" t="s">
        <v>1364</v>
      </c>
      <c r="F1408" t="s">
        <v>1372</v>
      </c>
      <c r="G1408">
        <v>-706</v>
      </c>
      <c r="H1408">
        <v>1260</v>
      </c>
      <c r="J1408" t="s">
        <v>1469</v>
      </c>
    </row>
    <row r="1409" spans="1:10" x14ac:dyDescent="0.25">
      <c r="A1409" s="40">
        <v>45803.904861111114</v>
      </c>
      <c r="B1409" t="s">
        <v>1469</v>
      </c>
      <c r="C1409" t="s">
        <v>14</v>
      </c>
      <c r="D1409" t="s">
        <v>483</v>
      </c>
      <c r="E1409" t="s">
        <v>1364</v>
      </c>
      <c r="F1409" t="s">
        <v>1372</v>
      </c>
      <c r="G1409">
        <v>-516</v>
      </c>
      <c r="H1409">
        <v>2260</v>
      </c>
      <c r="J1409" t="s">
        <v>1469</v>
      </c>
    </row>
    <row r="1410" spans="1:10" x14ac:dyDescent="0.25">
      <c r="A1410" s="40">
        <v>45803.904861111114</v>
      </c>
      <c r="B1410" t="s">
        <v>1469</v>
      </c>
      <c r="C1410" t="s">
        <v>26</v>
      </c>
      <c r="D1410" t="s">
        <v>380</v>
      </c>
      <c r="E1410" t="s">
        <v>1364</v>
      </c>
      <c r="F1410" t="s">
        <v>1372</v>
      </c>
      <c r="G1410">
        <v>-656</v>
      </c>
      <c r="H1410">
        <v>3637</v>
      </c>
      <c r="J1410" t="s">
        <v>1469</v>
      </c>
    </row>
    <row r="1411" spans="1:10" x14ac:dyDescent="0.25">
      <c r="A1411" s="40">
        <v>45803.904861111114</v>
      </c>
      <c r="B1411" t="s">
        <v>1469</v>
      </c>
      <c r="C1411" t="s">
        <v>92</v>
      </c>
      <c r="D1411" t="s">
        <v>403</v>
      </c>
      <c r="E1411" t="s">
        <v>1364</v>
      </c>
      <c r="F1411" t="s">
        <v>1372</v>
      </c>
      <c r="G1411">
        <v>-221</v>
      </c>
      <c r="H1411">
        <v>3008</v>
      </c>
      <c r="J1411" t="s">
        <v>1469</v>
      </c>
    </row>
    <row r="1412" spans="1:10" x14ac:dyDescent="0.25">
      <c r="A1412" s="40">
        <v>45803.904861111114</v>
      </c>
      <c r="B1412" t="s">
        <v>1469</v>
      </c>
      <c r="C1412" t="s">
        <v>47</v>
      </c>
      <c r="D1412" t="s">
        <v>395</v>
      </c>
      <c r="E1412" t="s">
        <v>1364</v>
      </c>
      <c r="F1412" t="s">
        <v>1372</v>
      </c>
      <c r="G1412">
        <v>-12954</v>
      </c>
      <c r="H1412">
        <v>25414</v>
      </c>
      <c r="J1412" t="s">
        <v>1469</v>
      </c>
    </row>
    <row r="1413" spans="1:10" x14ac:dyDescent="0.25">
      <c r="A1413" s="40">
        <v>45803.904861111114</v>
      </c>
      <c r="B1413" t="s">
        <v>1469</v>
      </c>
      <c r="C1413" t="s">
        <v>94</v>
      </c>
      <c r="D1413" t="s">
        <v>404</v>
      </c>
      <c r="E1413" t="s">
        <v>1364</v>
      </c>
      <c r="F1413" t="s">
        <v>695</v>
      </c>
      <c r="G1413">
        <v>5468</v>
      </c>
      <c r="H1413">
        <v>6305</v>
      </c>
      <c r="J1413" t="s">
        <v>1469</v>
      </c>
    </row>
    <row r="1414" spans="1:10" x14ac:dyDescent="0.25">
      <c r="A1414" s="40">
        <v>45803.904861111114</v>
      </c>
      <c r="B1414" t="s">
        <v>1469</v>
      </c>
      <c r="C1414" t="s">
        <v>38</v>
      </c>
      <c r="D1414" t="s">
        <v>386</v>
      </c>
      <c r="E1414" t="s">
        <v>1364</v>
      </c>
      <c r="F1414" t="s">
        <v>695</v>
      </c>
      <c r="G1414">
        <v>16903</v>
      </c>
      <c r="H1414">
        <v>33433</v>
      </c>
      <c r="J1414" t="s">
        <v>1469</v>
      </c>
    </row>
    <row r="1415" spans="1:10" x14ac:dyDescent="0.25">
      <c r="A1415" s="40">
        <v>45803.904861111114</v>
      </c>
      <c r="B1415" t="s">
        <v>1469</v>
      </c>
      <c r="C1415" t="s">
        <v>43</v>
      </c>
      <c r="D1415" t="s">
        <v>499</v>
      </c>
      <c r="E1415" t="s">
        <v>1364</v>
      </c>
      <c r="F1415" t="s">
        <v>1372</v>
      </c>
      <c r="G1415">
        <v>-920</v>
      </c>
      <c r="H1415">
        <v>3000</v>
      </c>
      <c r="J1415" t="s">
        <v>1469</v>
      </c>
    </row>
    <row r="1416" spans="1:10" x14ac:dyDescent="0.25">
      <c r="A1416" s="40">
        <v>45803.904861111114</v>
      </c>
      <c r="B1416" t="s">
        <v>1469</v>
      </c>
      <c r="C1416" t="s">
        <v>33</v>
      </c>
      <c r="D1416" t="s">
        <v>494</v>
      </c>
      <c r="E1416" t="s">
        <v>1364</v>
      </c>
      <c r="F1416" t="s">
        <v>1372</v>
      </c>
      <c r="G1416">
        <v>-1055</v>
      </c>
      <c r="H1416">
        <v>3500</v>
      </c>
      <c r="J1416" t="s">
        <v>1469</v>
      </c>
    </row>
    <row r="1417" spans="1:10" x14ac:dyDescent="0.25">
      <c r="A1417" s="40">
        <v>45803.904861111114</v>
      </c>
      <c r="B1417" t="s">
        <v>1469</v>
      </c>
      <c r="C1417" t="s">
        <v>477</v>
      </c>
      <c r="D1417" t="s">
        <v>478</v>
      </c>
      <c r="E1417" t="s">
        <v>1364</v>
      </c>
      <c r="F1417" t="s">
        <v>1372</v>
      </c>
      <c r="G1417">
        <v>-2675</v>
      </c>
      <c r="H1417">
        <v>2000</v>
      </c>
      <c r="J1417" t="s">
        <v>1469</v>
      </c>
    </row>
    <row r="1418" spans="1:10" x14ac:dyDescent="0.25">
      <c r="A1418" s="40">
        <v>45803.904861111114</v>
      </c>
      <c r="B1418" t="s">
        <v>1469</v>
      </c>
      <c r="C1418" t="s">
        <v>36</v>
      </c>
      <c r="D1418" t="s">
        <v>385</v>
      </c>
      <c r="E1418" t="s">
        <v>1364</v>
      </c>
      <c r="F1418" t="s">
        <v>695</v>
      </c>
      <c r="G1418">
        <v>537</v>
      </c>
      <c r="H1418">
        <v>10771</v>
      </c>
      <c r="J1418" t="s">
        <v>1469</v>
      </c>
    </row>
    <row r="1419" spans="1:10" x14ac:dyDescent="0.25">
      <c r="A1419" s="40">
        <v>45803.904861111114</v>
      </c>
      <c r="B1419" t="s">
        <v>1469</v>
      </c>
      <c r="C1419" t="s">
        <v>46</v>
      </c>
      <c r="D1419" t="s">
        <v>394</v>
      </c>
      <c r="E1419" t="s">
        <v>1364</v>
      </c>
      <c r="F1419" t="s">
        <v>1372</v>
      </c>
      <c r="G1419">
        <v>-855</v>
      </c>
      <c r="H1419">
        <v>3700</v>
      </c>
      <c r="J1419" t="s">
        <v>1469</v>
      </c>
    </row>
    <row r="1420" spans="1:10" x14ac:dyDescent="0.25">
      <c r="A1420" s="40">
        <v>45803.904861111114</v>
      </c>
      <c r="B1420" t="s">
        <v>1469</v>
      </c>
      <c r="C1420" t="s">
        <v>44</v>
      </c>
      <c r="D1420" t="s">
        <v>392</v>
      </c>
      <c r="E1420" t="s">
        <v>1364</v>
      </c>
      <c r="F1420" t="s">
        <v>695</v>
      </c>
      <c r="G1420">
        <v>1652</v>
      </c>
      <c r="H1420">
        <v>10389</v>
      </c>
      <c r="J1420" t="s">
        <v>1469</v>
      </c>
    </row>
    <row r="1421" spans="1:10" x14ac:dyDescent="0.25">
      <c r="A1421" s="40">
        <v>45803.904861111114</v>
      </c>
      <c r="B1421" t="s">
        <v>1469</v>
      </c>
      <c r="C1421" t="s">
        <v>6</v>
      </c>
      <c r="D1421" t="s">
        <v>400</v>
      </c>
      <c r="E1421" t="s">
        <v>1364</v>
      </c>
      <c r="F1421" t="s">
        <v>1372</v>
      </c>
      <c r="G1421">
        <v>-533</v>
      </c>
      <c r="H1421">
        <v>7102</v>
      </c>
      <c r="J1421" t="s">
        <v>1469</v>
      </c>
    </row>
    <row r="1422" spans="1:10" x14ac:dyDescent="0.25">
      <c r="A1422" s="40">
        <v>45803.904861111114</v>
      </c>
      <c r="B1422" t="s">
        <v>1469</v>
      </c>
      <c r="C1422" t="s">
        <v>39</v>
      </c>
      <c r="D1422" t="s">
        <v>387</v>
      </c>
      <c r="E1422" t="s">
        <v>1364</v>
      </c>
      <c r="F1422" t="s">
        <v>695</v>
      </c>
      <c r="G1422">
        <v>2686</v>
      </c>
      <c r="H1422">
        <v>6843</v>
      </c>
      <c r="J1422" t="s">
        <v>1469</v>
      </c>
    </row>
    <row r="1423" spans="1:10" x14ac:dyDescent="0.25">
      <c r="A1423" s="40">
        <v>45803.904861111114</v>
      </c>
      <c r="B1423" t="s">
        <v>1469</v>
      </c>
      <c r="C1423" t="s">
        <v>464</v>
      </c>
      <c r="D1423" t="s">
        <v>465</v>
      </c>
      <c r="E1423" t="s">
        <v>1364</v>
      </c>
      <c r="F1423" t="s">
        <v>1372</v>
      </c>
      <c r="G1423">
        <v>-640</v>
      </c>
      <c r="H1423">
        <v>4000</v>
      </c>
      <c r="J1423" t="s">
        <v>1469</v>
      </c>
    </row>
    <row r="1424" spans="1:10" x14ac:dyDescent="0.25">
      <c r="A1424" s="40">
        <v>45803.904861111114</v>
      </c>
      <c r="B1424" t="s">
        <v>1469</v>
      </c>
      <c r="C1424" t="s">
        <v>40</v>
      </c>
      <c r="D1424" t="s">
        <v>388</v>
      </c>
      <c r="E1424" t="s">
        <v>1364</v>
      </c>
      <c r="F1424" t="s">
        <v>695</v>
      </c>
      <c r="G1424">
        <v>2677</v>
      </c>
      <c r="H1424">
        <v>6361</v>
      </c>
      <c r="J1424" t="s">
        <v>1469</v>
      </c>
    </row>
    <row r="1425" spans="1:10" x14ac:dyDescent="0.25">
      <c r="A1425" s="40">
        <v>45803.904861111114</v>
      </c>
      <c r="B1425" t="s">
        <v>1469</v>
      </c>
      <c r="C1425" t="s">
        <v>424</v>
      </c>
      <c r="D1425" t="s">
        <v>425</v>
      </c>
      <c r="E1425" t="s">
        <v>1364</v>
      </c>
      <c r="F1425" t="s">
        <v>1372</v>
      </c>
      <c r="G1425">
        <v>-338</v>
      </c>
      <c r="H1425">
        <v>3800</v>
      </c>
      <c r="J1425" t="s">
        <v>1469</v>
      </c>
    </row>
    <row r="1426" spans="1:10" x14ac:dyDescent="0.25">
      <c r="A1426" s="40">
        <v>45803.904861111114</v>
      </c>
      <c r="B1426" t="s">
        <v>1469</v>
      </c>
      <c r="C1426" t="s">
        <v>439</v>
      </c>
      <c r="D1426" t="s">
        <v>440</v>
      </c>
      <c r="E1426" t="s">
        <v>1364</v>
      </c>
      <c r="F1426" t="s">
        <v>695</v>
      </c>
      <c r="G1426">
        <v>0</v>
      </c>
      <c r="H1426">
        <v>5000</v>
      </c>
      <c r="J1426" t="s">
        <v>1469</v>
      </c>
    </row>
    <row r="1427" spans="1:10" x14ac:dyDescent="0.25">
      <c r="A1427" s="40">
        <v>45803.904861111114</v>
      </c>
      <c r="B1427" t="s">
        <v>1469</v>
      </c>
      <c r="C1427" t="s">
        <v>95</v>
      </c>
      <c r="D1427" t="s">
        <v>405</v>
      </c>
      <c r="E1427" t="s">
        <v>1364</v>
      </c>
      <c r="F1427" t="s">
        <v>695</v>
      </c>
      <c r="G1427">
        <v>0</v>
      </c>
      <c r="H1427">
        <v>2995</v>
      </c>
      <c r="J1427" t="s">
        <v>1469</v>
      </c>
    </row>
    <row r="1428" spans="1:10" x14ac:dyDescent="0.25">
      <c r="A1428" s="40">
        <v>45803.904861111114</v>
      </c>
      <c r="B1428" t="s">
        <v>1469</v>
      </c>
      <c r="C1428" t="s">
        <v>34</v>
      </c>
      <c r="D1428" t="s">
        <v>495</v>
      </c>
      <c r="E1428" t="s">
        <v>1364</v>
      </c>
      <c r="F1428" t="s">
        <v>1372</v>
      </c>
      <c r="G1428">
        <v>-625</v>
      </c>
      <c r="H1428">
        <v>3000</v>
      </c>
      <c r="J1428" t="s">
        <v>1469</v>
      </c>
    </row>
    <row r="1429" spans="1:10" x14ac:dyDescent="0.25">
      <c r="A1429" s="40">
        <v>45803.904861111114</v>
      </c>
      <c r="B1429" t="s">
        <v>1469</v>
      </c>
      <c r="C1429" t="s">
        <v>41</v>
      </c>
      <c r="D1429" t="s">
        <v>390</v>
      </c>
      <c r="E1429" t="s">
        <v>1364</v>
      </c>
      <c r="F1429" t="s">
        <v>1372</v>
      </c>
      <c r="G1429">
        <v>-810</v>
      </c>
      <c r="H1429">
        <v>3375</v>
      </c>
      <c r="J1429" t="s">
        <v>1469</v>
      </c>
    </row>
    <row r="1430" spans="1:10" x14ac:dyDescent="0.25">
      <c r="A1430" s="40">
        <v>45803.904861111114</v>
      </c>
      <c r="B1430" t="s">
        <v>1469</v>
      </c>
      <c r="C1430" t="s">
        <v>96</v>
      </c>
      <c r="D1430" t="s">
        <v>406</v>
      </c>
      <c r="E1430" t="s">
        <v>1364</v>
      </c>
      <c r="F1430" t="s">
        <v>695</v>
      </c>
      <c r="G1430">
        <v>742</v>
      </c>
      <c r="H1430">
        <v>2975</v>
      </c>
      <c r="J1430" t="s">
        <v>1469</v>
      </c>
    </row>
    <row r="1431" spans="1:10" x14ac:dyDescent="0.25">
      <c r="A1431" s="40">
        <v>45803.904861111114</v>
      </c>
      <c r="B1431" t="s">
        <v>1469</v>
      </c>
      <c r="C1431" t="s">
        <v>42</v>
      </c>
      <c r="D1431" t="s">
        <v>391</v>
      </c>
      <c r="E1431" t="s">
        <v>1364</v>
      </c>
      <c r="F1431" t="s">
        <v>695</v>
      </c>
      <c r="G1431">
        <v>1733</v>
      </c>
      <c r="H1431">
        <v>2953</v>
      </c>
      <c r="J1431" t="s">
        <v>1469</v>
      </c>
    </row>
    <row r="1432" spans="1:10" x14ac:dyDescent="0.25">
      <c r="A1432" s="40">
        <v>45803.904861111114</v>
      </c>
      <c r="B1432" t="s">
        <v>1469</v>
      </c>
      <c r="C1432" t="s">
        <v>70</v>
      </c>
      <c r="D1432" t="s">
        <v>402</v>
      </c>
      <c r="E1432" t="s">
        <v>1364</v>
      </c>
      <c r="F1432" t="s">
        <v>695</v>
      </c>
      <c r="G1432">
        <v>18370</v>
      </c>
      <c r="H1432">
        <v>25155</v>
      </c>
      <c r="J1432" t="s">
        <v>1469</v>
      </c>
    </row>
    <row r="1433" spans="1:10" x14ac:dyDescent="0.25">
      <c r="A1433" s="40">
        <v>45803.904861111114</v>
      </c>
      <c r="B1433" t="s">
        <v>1469</v>
      </c>
      <c r="C1433" t="s">
        <v>93</v>
      </c>
      <c r="D1433" t="s">
        <v>505</v>
      </c>
      <c r="E1433" t="s">
        <v>1364</v>
      </c>
      <c r="F1433" t="s">
        <v>695</v>
      </c>
      <c r="G1433">
        <v>0</v>
      </c>
      <c r="H1433">
        <v>4581</v>
      </c>
      <c r="J1433" t="s">
        <v>1469</v>
      </c>
    </row>
    <row r="1434" spans="1:10" x14ac:dyDescent="0.25">
      <c r="A1434" s="40">
        <v>45803.904861111114</v>
      </c>
      <c r="B1434" t="s">
        <v>1469</v>
      </c>
      <c r="C1434" t="s">
        <v>45</v>
      </c>
      <c r="D1434" t="s">
        <v>393</v>
      </c>
      <c r="E1434" t="s">
        <v>1364</v>
      </c>
      <c r="F1434" t="s">
        <v>1372</v>
      </c>
      <c r="G1434">
        <v>-734</v>
      </c>
      <c r="H1434">
        <v>3302</v>
      </c>
      <c r="J1434" t="s">
        <v>1469</v>
      </c>
    </row>
    <row r="1435" spans="1:10" x14ac:dyDescent="0.25">
      <c r="A1435" s="40">
        <v>45803.904861111114</v>
      </c>
      <c r="B1435" t="s">
        <v>1469</v>
      </c>
      <c r="C1435" t="s">
        <v>35</v>
      </c>
      <c r="D1435" t="s">
        <v>496</v>
      </c>
      <c r="E1435" t="s">
        <v>1364</v>
      </c>
      <c r="F1435" t="s">
        <v>1372</v>
      </c>
      <c r="G1435">
        <v>-375</v>
      </c>
      <c r="H1435">
        <v>1000</v>
      </c>
      <c r="J1435" t="s">
        <v>1469</v>
      </c>
    </row>
    <row r="1436" spans="1:10" x14ac:dyDescent="0.25">
      <c r="A1436" s="40">
        <v>45803.904861111114</v>
      </c>
      <c r="B1436" t="s">
        <v>1469</v>
      </c>
      <c r="C1436" t="s">
        <v>445</v>
      </c>
      <c r="D1436" t="s">
        <v>446</v>
      </c>
      <c r="E1436" t="s">
        <v>1364</v>
      </c>
      <c r="F1436" t="s">
        <v>1372</v>
      </c>
      <c r="G1436">
        <v>-900</v>
      </c>
      <c r="H1436">
        <v>3500</v>
      </c>
      <c r="J1436" t="s">
        <v>1469</v>
      </c>
    </row>
    <row r="1437" spans="1:10" x14ac:dyDescent="0.25">
      <c r="A1437" s="40">
        <v>45803.904861111114</v>
      </c>
      <c r="B1437" t="s">
        <v>1469</v>
      </c>
      <c r="C1437" t="s">
        <v>50</v>
      </c>
      <c r="D1437" t="s">
        <v>501</v>
      </c>
      <c r="E1437" t="s">
        <v>1364</v>
      </c>
      <c r="F1437" t="s">
        <v>1372</v>
      </c>
      <c r="G1437">
        <v>-240</v>
      </c>
      <c r="H1437">
        <v>3000</v>
      </c>
      <c r="J1437" t="s">
        <v>1469</v>
      </c>
    </row>
    <row r="1438" spans="1:10" x14ac:dyDescent="0.25">
      <c r="A1438" s="40">
        <v>45803.904861111114</v>
      </c>
      <c r="B1438" t="s">
        <v>1469</v>
      </c>
      <c r="C1438" t="s">
        <v>97</v>
      </c>
      <c r="D1438" t="s">
        <v>407</v>
      </c>
      <c r="E1438" t="s">
        <v>1364</v>
      </c>
      <c r="F1438" t="s">
        <v>695</v>
      </c>
      <c r="G1438">
        <v>1538</v>
      </c>
      <c r="H1438">
        <v>6235</v>
      </c>
      <c r="J1438" t="s">
        <v>1469</v>
      </c>
    </row>
    <row r="1439" spans="1:10" x14ac:dyDescent="0.25">
      <c r="A1439" s="40">
        <v>45803.904861111114</v>
      </c>
      <c r="B1439" t="s">
        <v>1469</v>
      </c>
      <c r="C1439" t="s">
        <v>451</v>
      </c>
      <c r="D1439" t="s">
        <v>452</v>
      </c>
      <c r="E1439" t="s">
        <v>1364</v>
      </c>
      <c r="F1439" t="s">
        <v>695</v>
      </c>
      <c r="G1439">
        <v>0</v>
      </c>
      <c r="H1439">
        <v>5000</v>
      </c>
      <c r="J1439" t="s">
        <v>1469</v>
      </c>
    </row>
    <row r="1440" spans="1:10" x14ac:dyDescent="0.25">
      <c r="A1440" s="40">
        <v>45803.904861111114</v>
      </c>
      <c r="B1440" t="s">
        <v>1469</v>
      </c>
      <c r="C1440" t="s">
        <v>49</v>
      </c>
      <c r="D1440" t="s">
        <v>500</v>
      </c>
      <c r="E1440" t="s">
        <v>1364</v>
      </c>
      <c r="F1440" t="s">
        <v>1372</v>
      </c>
      <c r="G1440">
        <v>-440</v>
      </c>
      <c r="H1440">
        <v>4000</v>
      </c>
      <c r="J1440" t="s">
        <v>1469</v>
      </c>
    </row>
    <row r="1441" spans="1:10" x14ac:dyDescent="0.25">
      <c r="A1441" s="40">
        <v>45803.904861111114</v>
      </c>
      <c r="B1441" t="s">
        <v>1469</v>
      </c>
      <c r="C1441" t="s">
        <v>54</v>
      </c>
      <c r="D1441" t="s">
        <v>399</v>
      </c>
      <c r="E1441" t="s">
        <v>1364</v>
      </c>
      <c r="F1441" t="s">
        <v>695</v>
      </c>
      <c r="G1441">
        <v>79</v>
      </c>
      <c r="H1441">
        <v>2434</v>
      </c>
      <c r="J1441" t="s">
        <v>1469</v>
      </c>
    </row>
    <row r="1442" spans="1:10" x14ac:dyDescent="0.25">
      <c r="A1442" s="40">
        <v>45803.904861111114</v>
      </c>
      <c r="B1442" t="s">
        <v>1469</v>
      </c>
      <c r="C1442" t="s">
        <v>99</v>
      </c>
      <c r="D1442" t="s">
        <v>409</v>
      </c>
      <c r="E1442" t="s">
        <v>1364</v>
      </c>
      <c r="F1442" t="s">
        <v>695</v>
      </c>
      <c r="G1442">
        <v>290</v>
      </c>
      <c r="H1442">
        <v>5155</v>
      </c>
      <c r="J1442" t="s">
        <v>1469</v>
      </c>
    </row>
    <row r="1443" spans="1:10" x14ac:dyDescent="0.25">
      <c r="A1443" s="40">
        <v>45803.904861111114</v>
      </c>
      <c r="B1443" t="s">
        <v>1469</v>
      </c>
      <c r="C1443" t="s">
        <v>422</v>
      </c>
      <c r="D1443" t="s">
        <v>423</v>
      </c>
      <c r="E1443" t="s">
        <v>1364</v>
      </c>
      <c r="F1443" t="s">
        <v>1372</v>
      </c>
      <c r="G1443">
        <v>-78</v>
      </c>
      <c r="H1443">
        <v>4855</v>
      </c>
      <c r="J1443" t="s">
        <v>1469</v>
      </c>
    </row>
    <row r="1444" spans="1:10" x14ac:dyDescent="0.25">
      <c r="A1444" s="40">
        <v>45803.904861111114</v>
      </c>
      <c r="B1444" t="s">
        <v>1469</v>
      </c>
      <c r="C1444" t="s">
        <v>475</v>
      </c>
      <c r="D1444" t="s">
        <v>476</v>
      </c>
      <c r="E1444" t="s">
        <v>1364</v>
      </c>
      <c r="F1444" t="s">
        <v>1372</v>
      </c>
      <c r="G1444">
        <v>-100</v>
      </c>
      <c r="H1444">
        <v>4900</v>
      </c>
      <c r="J1444" t="s">
        <v>1469</v>
      </c>
    </row>
    <row r="1445" spans="1:10" x14ac:dyDescent="0.25">
      <c r="A1445" s="40">
        <v>45803.904861111114</v>
      </c>
      <c r="B1445" t="s">
        <v>1469</v>
      </c>
      <c r="C1445" t="s">
        <v>472</v>
      </c>
      <c r="D1445" t="s">
        <v>473</v>
      </c>
      <c r="E1445" t="s">
        <v>1364</v>
      </c>
      <c r="F1445" t="s">
        <v>1372</v>
      </c>
      <c r="G1445">
        <v>-78</v>
      </c>
      <c r="H1445">
        <v>4855</v>
      </c>
      <c r="J1445" t="s">
        <v>1469</v>
      </c>
    </row>
    <row r="1446" spans="1:10" x14ac:dyDescent="0.25">
      <c r="A1446" s="40">
        <v>45803.904861111114</v>
      </c>
      <c r="B1446" t="s">
        <v>1469</v>
      </c>
      <c r="C1446" t="s">
        <v>53</v>
      </c>
      <c r="D1446" t="s">
        <v>398</v>
      </c>
      <c r="E1446" t="s">
        <v>1364</v>
      </c>
      <c r="F1446" t="s">
        <v>1372</v>
      </c>
      <c r="G1446">
        <v>-181</v>
      </c>
      <c r="H1446">
        <v>1430</v>
      </c>
      <c r="J1446" t="s">
        <v>1469</v>
      </c>
    </row>
    <row r="1447" spans="1:10" x14ac:dyDescent="0.25">
      <c r="A1447" s="40">
        <v>45803.904861111114</v>
      </c>
      <c r="B1447" t="s">
        <v>1469</v>
      </c>
      <c r="C1447" t="s">
        <v>100</v>
      </c>
      <c r="D1447" t="s">
        <v>506</v>
      </c>
      <c r="E1447" t="s">
        <v>1364</v>
      </c>
      <c r="F1447" t="s">
        <v>695</v>
      </c>
      <c r="G1447">
        <v>0</v>
      </c>
      <c r="H1447">
        <v>5000</v>
      </c>
      <c r="J1447" t="s">
        <v>1469</v>
      </c>
    </row>
    <row r="1448" spans="1:10" x14ac:dyDescent="0.25">
      <c r="A1448" s="40">
        <v>45803.904861111114</v>
      </c>
      <c r="B1448" t="s">
        <v>1469</v>
      </c>
      <c r="C1448" t="s">
        <v>433</v>
      </c>
      <c r="D1448" t="s">
        <v>434</v>
      </c>
      <c r="E1448" t="s">
        <v>1364</v>
      </c>
      <c r="F1448" t="s">
        <v>1372</v>
      </c>
      <c r="G1448">
        <v>-272</v>
      </c>
      <c r="H1448">
        <v>4565</v>
      </c>
      <c r="J1448" t="s">
        <v>1469</v>
      </c>
    </row>
    <row r="1449" spans="1:10" x14ac:dyDescent="0.25">
      <c r="A1449" s="40">
        <v>45803.904861111114</v>
      </c>
      <c r="B1449" t="s">
        <v>1469</v>
      </c>
      <c r="C1449" t="s">
        <v>98</v>
      </c>
      <c r="D1449" t="s">
        <v>408</v>
      </c>
      <c r="E1449" t="s">
        <v>1364</v>
      </c>
      <c r="F1449" t="s">
        <v>695</v>
      </c>
      <c r="G1449">
        <v>0</v>
      </c>
      <c r="H1449">
        <v>5000</v>
      </c>
      <c r="J1449" t="s">
        <v>1469</v>
      </c>
    </row>
    <row r="1450" spans="1:10" x14ac:dyDescent="0.25">
      <c r="A1450" s="40">
        <v>45803.904861111114</v>
      </c>
      <c r="B1450" t="s">
        <v>1469</v>
      </c>
      <c r="C1450" t="s">
        <v>449</v>
      </c>
      <c r="D1450" t="s">
        <v>450</v>
      </c>
      <c r="E1450" t="s">
        <v>1364</v>
      </c>
      <c r="F1450" t="s">
        <v>695</v>
      </c>
      <c r="G1450">
        <v>0</v>
      </c>
      <c r="H1450">
        <v>5000</v>
      </c>
      <c r="J1450" t="s">
        <v>1469</v>
      </c>
    </row>
    <row r="1451" spans="1:10" x14ac:dyDescent="0.25">
      <c r="A1451" s="40">
        <v>45803.904861111114</v>
      </c>
      <c r="B1451" t="s">
        <v>1469</v>
      </c>
      <c r="C1451" t="s">
        <v>51</v>
      </c>
      <c r="D1451" t="s">
        <v>502</v>
      </c>
      <c r="E1451" t="s">
        <v>1364</v>
      </c>
      <c r="F1451" t="s">
        <v>1372</v>
      </c>
      <c r="G1451">
        <v>-365</v>
      </c>
      <c r="H1451">
        <v>2500</v>
      </c>
      <c r="J1451" t="s">
        <v>1469</v>
      </c>
    </row>
    <row r="1452" spans="1:10" x14ac:dyDescent="0.25">
      <c r="A1452" s="40">
        <v>45803.904861111114</v>
      </c>
      <c r="B1452" t="s">
        <v>1469</v>
      </c>
      <c r="C1452" t="s">
        <v>430</v>
      </c>
      <c r="D1452" t="s">
        <v>431</v>
      </c>
      <c r="E1452" t="s">
        <v>1364</v>
      </c>
      <c r="F1452" t="s">
        <v>695</v>
      </c>
      <c r="G1452">
        <v>0</v>
      </c>
      <c r="H1452">
        <v>5000</v>
      </c>
      <c r="J1452" t="s">
        <v>1469</v>
      </c>
    </row>
    <row r="1453" spans="1:10" x14ac:dyDescent="0.25">
      <c r="A1453" s="40">
        <v>45803.904861111114</v>
      </c>
      <c r="B1453" t="s">
        <v>1469</v>
      </c>
      <c r="C1453" t="s">
        <v>458</v>
      </c>
      <c r="D1453" t="s">
        <v>459</v>
      </c>
      <c r="E1453" t="s">
        <v>1364</v>
      </c>
      <c r="F1453" t="s">
        <v>1372</v>
      </c>
      <c r="G1453">
        <v>-80</v>
      </c>
      <c r="H1453">
        <v>3800</v>
      </c>
      <c r="J1453" t="s">
        <v>1469</v>
      </c>
    </row>
    <row r="1454" spans="1:10" x14ac:dyDescent="0.25">
      <c r="A1454" s="40">
        <v>45803.904861111114</v>
      </c>
      <c r="B1454" t="s">
        <v>1469</v>
      </c>
      <c r="C1454" t="s">
        <v>101</v>
      </c>
      <c r="D1454" t="s">
        <v>507</v>
      </c>
      <c r="E1454" t="s">
        <v>1364</v>
      </c>
      <c r="F1454" t="s">
        <v>695</v>
      </c>
      <c r="G1454">
        <v>0</v>
      </c>
      <c r="H1454">
        <v>4928</v>
      </c>
      <c r="J1454" t="s">
        <v>1469</v>
      </c>
    </row>
    <row r="1455" spans="1:10" x14ac:dyDescent="0.25">
      <c r="A1455" s="40">
        <v>45803.904861111114</v>
      </c>
      <c r="B1455" t="s">
        <v>1469</v>
      </c>
      <c r="C1455" t="s">
        <v>59</v>
      </c>
      <c r="D1455" t="s">
        <v>401</v>
      </c>
      <c r="E1455" t="s">
        <v>1364</v>
      </c>
      <c r="F1455" t="s">
        <v>1372</v>
      </c>
      <c r="G1455">
        <v>-260</v>
      </c>
      <c r="H1455">
        <v>3500</v>
      </c>
      <c r="J1455" t="s">
        <v>1469</v>
      </c>
    </row>
    <row r="1456" spans="1:10" x14ac:dyDescent="0.25">
      <c r="A1456" s="40">
        <v>45803.904861111114</v>
      </c>
      <c r="B1456" t="s">
        <v>1469</v>
      </c>
      <c r="C1456" t="s">
        <v>462</v>
      </c>
      <c r="D1456" t="s">
        <v>463</v>
      </c>
      <c r="E1456" t="s">
        <v>1364</v>
      </c>
      <c r="F1456" t="s">
        <v>1372</v>
      </c>
      <c r="G1456">
        <v>-19</v>
      </c>
      <c r="H1456">
        <v>2900</v>
      </c>
      <c r="J1456" t="s">
        <v>1469</v>
      </c>
    </row>
    <row r="1457" spans="1:10" x14ac:dyDescent="0.25">
      <c r="A1457" s="40">
        <v>45803.904861111114</v>
      </c>
      <c r="B1457" t="s">
        <v>1469</v>
      </c>
      <c r="C1457" t="s">
        <v>443</v>
      </c>
      <c r="D1457" t="s">
        <v>444</v>
      </c>
      <c r="E1457" t="s">
        <v>1364</v>
      </c>
      <c r="F1457" t="s">
        <v>1372</v>
      </c>
      <c r="G1457">
        <v>-342</v>
      </c>
      <c r="H1457">
        <v>3300</v>
      </c>
      <c r="J1457" t="s">
        <v>1469</v>
      </c>
    </row>
    <row r="1458" spans="1:10" x14ac:dyDescent="0.25">
      <c r="A1458" s="40">
        <v>45803.904861111114</v>
      </c>
      <c r="B1458" t="s">
        <v>1469</v>
      </c>
      <c r="C1458" t="s">
        <v>456</v>
      </c>
      <c r="D1458" t="s">
        <v>457</v>
      </c>
      <c r="E1458" t="s">
        <v>1364</v>
      </c>
      <c r="F1458" t="s">
        <v>1372</v>
      </c>
      <c r="G1458">
        <v>-21</v>
      </c>
      <c r="H1458">
        <v>3902</v>
      </c>
      <c r="J1458" t="s">
        <v>1469</v>
      </c>
    </row>
    <row r="1459" spans="1:10" x14ac:dyDescent="0.25">
      <c r="A1459" s="40">
        <v>45803.904861111114</v>
      </c>
      <c r="B1459" t="s">
        <v>1469</v>
      </c>
      <c r="C1459" t="s">
        <v>441</v>
      </c>
      <c r="D1459" t="s">
        <v>442</v>
      </c>
      <c r="E1459" t="s">
        <v>1364</v>
      </c>
      <c r="F1459" t="s">
        <v>1372</v>
      </c>
      <c r="G1459">
        <v>-244</v>
      </c>
      <c r="H1459">
        <v>630</v>
      </c>
      <c r="J1459" t="s">
        <v>1469</v>
      </c>
    </row>
    <row r="1460" spans="1:10" x14ac:dyDescent="0.25">
      <c r="A1460" s="40">
        <v>45803.904861111114</v>
      </c>
      <c r="B1460" t="s">
        <v>1469</v>
      </c>
      <c r="C1460" t="s">
        <v>437</v>
      </c>
      <c r="D1460" t="s">
        <v>438</v>
      </c>
      <c r="E1460" t="s">
        <v>1364</v>
      </c>
      <c r="F1460" t="s">
        <v>1372</v>
      </c>
      <c r="G1460">
        <v>-657</v>
      </c>
      <c r="H1460">
        <v>2865</v>
      </c>
      <c r="J1460" t="s">
        <v>1469</v>
      </c>
    </row>
    <row r="1461" spans="1:10" x14ac:dyDescent="0.25">
      <c r="A1461" s="40">
        <v>45803.904861111114</v>
      </c>
      <c r="B1461" t="s">
        <v>1469</v>
      </c>
      <c r="C1461" t="s">
        <v>416</v>
      </c>
      <c r="D1461" t="s">
        <v>417</v>
      </c>
      <c r="E1461" t="s">
        <v>1364</v>
      </c>
      <c r="F1461" t="s">
        <v>1372</v>
      </c>
      <c r="G1461">
        <v>-208</v>
      </c>
      <c r="H1461">
        <v>1979</v>
      </c>
      <c r="J1461" t="s">
        <v>1469</v>
      </c>
    </row>
    <row r="1462" spans="1:10" x14ac:dyDescent="0.25">
      <c r="A1462" s="40">
        <v>45803.904861111114</v>
      </c>
      <c r="B1462" t="s">
        <v>1469</v>
      </c>
      <c r="C1462" t="s">
        <v>470</v>
      </c>
      <c r="D1462" t="s">
        <v>471</v>
      </c>
      <c r="E1462" t="s">
        <v>1364</v>
      </c>
      <c r="F1462" t="s">
        <v>1372</v>
      </c>
      <c r="G1462">
        <v>-200</v>
      </c>
      <c r="H1462">
        <v>3800</v>
      </c>
      <c r="J1462" t="s">
        <v>1469</v>
      </c>
    </row>
    <row r="1463" spans="1:10" x14ac:dyDescent="0.25">
      <c r="A1463" s="40">
        <v>45803.904861111114</v>
      </c>
      <c r="B1463" t="s">
        <v>1469</v>
      </c>
      <c r="C1463" t="s">
        <v>454</v>
      </c>
      <c r="D1463" t="s">
        <v>455</v>
      </c>
      <c r="E1463" t="s">
        <v>1364</v>
      </c>
      <c r="F1463" t="s">
        <v>695</v>
      </c>
      <c r="G1463">
        <v>0</v>
      </c>
      <c r="H1463">
        <v>4000</v>
      </c>
      <c r="J1463" t="s">
        <v>1469</v>
      </c>
    </row>
    <row r="1464" spans="1:10" x14ac:dyDescent="0.25">
      <c r="A1464" s="40">
        <v>45803.904861111114</v>
      </c>
      <c r="B1464" t="s">
        <v>1469</v>
      </c>
      <c r="C1464" t="s">
        <v>104</v>
      </c>
      <c r="D1464" t="s">
        <v>410</v>
      </c>
      <c r="E1464" t="s">
        <v>1364</v>
      </c>
      <c r="F1464" t="s">
        <v>695</v>
      </c>
      <c r="G1464">
        <v>1793</v>
      </c>
      <c r="H1464">
        <v>4561</v>
      </c>
      <c r="J1464" t="s">
        <v>1469</v>
      </c>
    </row>
    <row r="1465" spans="1:10" x14ac:dyDescent="0.25">
      <c r="A1465" s="40">
        <v>45803.904861111114</v>
      </c>
      <c r="B1465" t="s">
        <v>1469</v>
      </c>
      <c r="C1465" t="s">
        <v>428</v>
      </c>
      <c r="D1465" t="s">
        <v>429</v>
      </c>
      <c r="E1465" t="s">
        <v>1364</v>
      </c>
      <c r="F1465" t="s">
        <v>1372</v>
      </c>
      <c r="G1465">
        <v>-228</v>
      </c>
      <c r="H1465">
        <v>1764</v>
      </c>
      <c r="J1465" t="s">
        <v>1469</v>
      </c>
    </row>
    <row r="1466" spans="1:10" x14ac:dyDescent="0.25">
      <c r="A1466" s="40">
        <v>45803.904861111114</v>
      </c>
      <c r="B1466" t="s">
        <v>1469</v>
      </c>
      <c r="C1466" t="s">
        <v>412</v>
      </c>
      <c r="D1466" t="s">
        <v>413</v>
      </c>
      <c r="E1466" t="s">
        <v>1364</v>
      </c>
      <c r="F1466" t="s">
        <v>1372</v>
      </c>
      <c r="G1466">
        <v>-71</v>
      </c>
      <c r="H1466">
        <v>3553</v>
      </c>
      <c r="J1466" t="s">
        <v>1469</v>
      </c>
    </row>
    <row r="1467" spans="1:10" x14ac:dyDescent="0.25">
      <c r="A1467" s="40">
        <v>45803.904861111114</v>
      </c>
      <c r="B1467" t="s">
        <v>1469</v>
      </c>
      <c r="C1467" t="s">
        <v>326</v>
      </c>
      <c r="D1467" t="s">
        <v>327</v>
      </c>
      <c r="E1467" t="s">
        <v>1364</v>
      </c>
      <c r="F1467" t="s">
        <v>1372</v>
      </c>
      <c r="G1467">
        <v>-78</v>
      </c>
      <c r="H1467">
        <v>2065</v>
      </c>
      <c r="J1467" t="s">
        <v>1469</v>
      </c>
    </row>
    <row r="1468" spans="1:10" x14ac:dyDescent="0.25">
      <c r="A1468" s="40">
        <v>45803.904861111114</v>
      </c>
      <c r="B1468" t="s">
        <v>1469</v>
      </c>
      <c r="C1468" t="s">
        <v>693</v>
      </c>
      <c r="D1468" t="s">
        <v>701</v>
      </c>
      <c r="E1468" t="s">
        <v>1364</v>
      </c>
      <c r="F1468" t="s">
        <v>695</v>
      </c>
      <c r="G1468">
        <v>119</v>
      </c>
      <c r="H1468">
        <v>400</v>
      </c>
      <c r="J1468" t="s">
        <v>1469</v>
      </c>
    </row>
    <row r="1469" spans="1:10" x14ac:dyDescent="0.25">
      <c r="A1469" s="40">
        <v>45803.904861111114</v>
      </c>
      <c r="B1469" t="s">
        <v>1469</v>
      </c>
      <c r="C1469" t="s">
        <v>481</v>
      </c>
      <c r="D1469" t="s">
        <v>482</v>
      </c>
      <c r="E1469" t="s">
        <v>1364</v>
      </c>
      <c r="F1469" t="s">
        <v>695</v>
      </c>
      <c r="G1469">
        <v>0</v>
      </c>
      <c r="H1469">
        <v>5000</v>
      </c>
      <c r="J1469" t="s">
        <v>1469</v>
      </c>
    </row>
    <row r="1470" spans="1:10" x14ac:dyDescent="0.25">
      <c r="A1470" s="40">
        <v>45803.904861111114</v>
      </c>
      <c r="B1470" t="s">
        <v>1469</v>
      </c>
      <c r="C1470" t="s">
        <v>420</v>
      </c>
      <c r="D1470" t="s">
        <v>421</v>
      </c>
      <c r="E1470" t="s">
        <v>1364</v>
      </c>
      <c r="F1470" t="s">
        <v>1372</v>
      </c>
      <c r="G1470">
        <v>-1014</v>
      </c>
      <c r="H1470">
        <v>836</v>
      </c>
      <c r="J1470" t="s">
        <v>1469</v>
      </c>
    </row>
    <row r="1471" spans="1:10" x14ac:dyDescent="0.25">
      <c r="A1471" s="40">
        <v>45803.904861111114</v>
      </c>
      <c r="B1471" t="s">
        <v>1469</v>
      </c>
      <c r="C1471" t="s">
        <v>435</v>
      </c>
      <c r="D1471" t="s">
        <v>436</v>
      </c>
      <c r="E1471" t="s">
        <v>1364</v>
      </c>
      <c r="F1471" t="s">
        <v>695</v>
      </c>
      <c r="G1471">
        <v>1461</v>
      </c>
      <c r="H1471">
        <v>4841</v>
      </c>
      <c r="J1471" t="s">
        <v>1469</v>
      </c>
    </row>
    <row r="1472" spans="1:10" x14ac:dyDescent="0.25">
      <c r="A1472" s="40">
        <v>45803.904861111114</v>
      </c>
      <c r="B1472" t="s">
        <v>1469</v>
      </c>
      <c r="C1472" t="s">
        <v>9</v>
      </c>
      <c r="D1472" t="s">
        <v>316</v>
      </c>
      <c r="E1472" t="s">
        <v>1364</v>
      </c>
      <c r="F1472" t="s">
        <v>1372</v>
      </c>
      <c r="G1472">
        <v>-1019</v>
      </c>
      <c r="H1472">
        <v>2506</v>
      </c>
      <c r="J1472" t="s">
        <v>1469</v>
      </c>
    </row>
    <row r="1473" spans="1:11" x14ac:dyDescent="0.25">
      <c r="A1473" s="40">
        <v>45803.904861111114</v>
      </c>
      <c r="B1473" t="s">
        <v>1469</v>
      </c>
      <c r="C1473" t="s">
        <v>229</v>
      </c>
      <c r="D1473" t="s">
        <v>321</v>
      </c>
      <c r="E1473" t="s">
        <v>1364</v>
      </c>
      <c r="F1473" t="s">
        <v>1372</v>
      </c>
      <c r="G1473">
        <v>-225</v>
      </c>
      <c r="H1473">
        <v>2769</v>
      </c>
      <c r="J1473" t="s">
        <v>1469</v>
      </c>
    </row>
    <row r="1474" spans="1:11" x14ac:dyDescent="0.25">
      <c r="A1474" s="40">
        <v>45803.904861111114</v>
      </c>
      <c r="B1474" t="s">
        <v>1469</v>
      </c>
      <c r="C1474" t="s">
        <v>337</v>
      </c>
      <c r="D1474" t="s">
        <v>338</v>
      </c>
      <c r="E1474" t="s">
        <v>1364</v>
      </c>
      <c r="F1474" t="s">
        <v>1372</v>
      </c>
      <c r="G1474">
        <v>-1483</v>
      </c>
      <c r="H1474">
        <v>3354</v>
      </c>
      <c r="J1474" t="s">
        <v>1469</v>
      </c>
    </row>
    <row r="1475" spans="1:11" x14ac:dyDescent="0.25">
      <c r="A1475" s="40">
        <v>45803.904861111114</v>
      </c>
      <c r="B1475" t="s">
        <v>1469</v>
      </c>
      <c r="C1475" t="s">
        <v>86</v>
      </c>
      <c r="D1475" t="s">
        <v>351</v>
      </c>
      <c r="E1475" t="s">
        <v>1364</v>
      </c>
      <c r="F1475" t="s">
        <v>695</v>
      </c>
      <c r="G1475">
        <v>0</v>
      </c>
      <c r="H1475">
        <v>3000</v>
      </c>
      <c r="J1475" t="s">
        <v>1469</v>
      </c>
    </row>
    <row r="1476" spans="1:11" x14ac:dyDescent="0.25">
      <c r="A1476" s="40">
        <v>45803.904861111114</v>
      </c>
      <c r="B1476" t="s">
        <v>1469</v>
      </c>
      <c r="C1476" t="s">
        <v>87</v>
      </c>
      <c r="D1476" t="s">
        <v>352</v>
      </c>
      <c r="E1476" t="s">
        <v>1364</v>
      </c>
      <c r="F1476" t="s">
        <v>695</v>
      </c>
      <c r="G1476">
        <v>350</v>
      </c>
      <c r="H1476">
        <v>3350</v>
      </c>
      <c r="J1476" t="s">
        <v>1469</v>
      </c>
    </row>
    <row r="1477" spans="1:11" x14ac:dyDescent="0.25">
      <c r="A1477" s="40">
        <v>45803.904861111114</v>
      </c>
      <c r="B1477" t="s">
        <v>1469</v>
      </c>
      <c r="C1477" t="s">
        <v>364</v>
      </c>
      <c r="D1477" t="s">
        <v>365</v>
      </c>
      <c r="E1477" t="s">
        <v>1364</v>
      </c>
      <c r="F1477" t="s">
        <v>1372</v>
      </c>
      <c r="G1477">
        <v>-40</v>
      </c>
      <c r="H1477">
        <v>2900</v>
      </c>
      <c r="J1477" t="s">
        <v>1469</v>
      </c>
    </row>
    <row r="1478" spans="1:11" x14ac:dyDescent="0.25">
      <c r="A1478" s="40">
        <v>45803.904861111114</v>
      </c>
      <c r="B1478" t="s">
        <v>1469</v>
      </c>
      <c r="C1478" t="s">
        <v>362</v>
      </c>
      <c r="D1478" t="s">
        <v>363</v>
      </c>
      <c r="E1478" t="s">
        <v>1364</v>
      </c>
      <c r="F1478" t="s">
        <v>1372</v>
      </c>
      <c r="G1478">
        <v>-46</v>
      </c>
      <c r="H1478">
        <v>1895</v>
      </c>
      <c r="J1478" t="s">
        <v>1469</v>
      </c>
    </row>
    <row r="1479" spans="1:11" x14ac:dyDescent="0.25">
      <c r="A1479" s="40">
        <v>45803.904861111114</v>
      </c>
      <c r="B1479" t="s">
        <v>1469</v>
      </c>
      <c r="C1479" t="s">
        <v>269</v>
      </c>
      <c r="D1479" t="s">
        <v>270</v>
      </c>
      <c r="E1479" t="s">
        <v>1364</v>
      </c>
      <c r="F1479" t="s">
        <v>695</v>
      </c>
      <c r="G1479">
        <v>0</v>
      </c>
      <c r="H1479">
        <v>2000</v>
      </c>
      <c r="J1479" t="s">
        <v>1469</v>
      </c>
    </row>
    <row r="1480" spans="1:11" x14ac:dyDescent="0.25">
      <c r="A1480" s="40">
        <v>45803.904861111114</v>
      </c>
      <c r="B1480" t="s">
        <v>1469</v>
      </c>
      <c r="C1480" t="s">
        <v>308</v>
      </c>
      <c r="D1480" t="s">
        <v>306</v>
      </c>
      <c r="E1480" t="s">
        <v>1364</v>
      </c>
      <c r="F1480" t="s">
        <v>1372</v>
      </c>
      <c r="G1480">
        <v>-50</v>
      </c>
      <c r="H1480">
        <v>450</v>
      </c>
      <c r="J1480" t="s">
        <v>1469</v>
      </c>
    </row>
    <row r="1481" spans="1:11" x14ac:dyDescent="0.25">
      <c r="A1481" s="40">
        <v>45803.904861111114</v>
      </c>
      <c r="B1481" t="s">
        <v>1469</v>
      </c>
      <c r="C1481" t="s">
        <v>304</v>
      </c>
      <c r="D1481" t="s">
        <v>305</v>
      </c>
      <c r="E1481" t="s">
        <v>1364</v>
      </c>
      <c r="F1481" t="s">
        <v>695</v>
      </c>
      <c r="G1481">
        <v>1801</v>
      </c>
      <c r="H1481">
        <v>3026</v>
      </c>
      <c r="J1481" t="s">
        <v>1469</v>
      </c>
    </row>
    <row r="1482" spans="1:11" x14ac:dyDescent="0.25">
      <c r="A1482" s="40">
        <v>45803.904861111114</v>
      </c>
      <c r="B1482" t="s">
        <v>1469</v>
      </c>
      <c r="C1482" t="s">
        <v>360</v>
      </c>
      <c r="D1482" t="s">
        <v>361</v>
      </c>
      <c r="E1482" t="s">
        <v>1364</v>
      </c>
      <c r="F1482" t="s">
        <v>695</v>
      </c>
      <c r="G1482">
        <v>1</v>
      </c>
      <c r="H1482">
        <v>741</v>
      </c>
      <c r="J1482" t="s">
        <v>1469</v>
      </c>
    </row>
    <row r="1483" spans="1:11" x14ac:dyDescent="0.25">
      <c r="A1483" s="40">
        <v>45803.904861111114</v>
      </c>
      <c r="B1483" t="s">
        <v>1469</v>
      </c>
      <c r="C1483" t="s">
        <v>58</v>
      </c>
      <c r="D1483" t="s">
        <v>315</v>
      </c>
      <c r="E1483" t="s">
        <v>1364</v>
      </c>
      <c r="F1483" t="s">
        <v>695</v>
      </c>
      <c r="G1483">
        <v>1166</v>
      </c>
      <c r="H1483">
        <v>9502</v>
      </c>
      <c r="J1483" t="s">
        <v>1469</v>
      </c>
    </row>
    <row r="1484" spans="1:11" x14ac:dyDescent="0.25">
      <c r="A1484" s="40">
        <v>45803.904861111114</v>
      </c>
      <c r="B1484" t="s">
        <v>1469</v>
      </c>
      <c r="C1484" t="s">
        <v>300</v>
      </c>
      <c r="D1484" t="s">
        <v>301</v>
      </c>
      <c r="E1484" t="s">
        <v>1364</v>
      </c>
      <c r="F1484" t="s">
        <v>1372</v>
      </c>
      <c r="G1484">
        <v>-100</v>
      </c>
      <c r="H1484">
        <v>1900</v>
      </c>
      <c r="J1484" t="s">
        <v>1469</v>
      </c>
    </row>
    <row r="1485" spans="1:11" x14ac:dyDescent="0.25">
      <c r="A1485" s="40">
        <v>45803.904861111114</v>
      </c>
      <c r="B1485" t="s">
        <v>1469</v>
      </c>
      <c r="C1485" t="s">
        <v>267</v>
      </c>
      <c r="D1485" t="s">
        <v>268</v>
      </c>
      <c r="E1485" t="s">
        <v>1364</v>
      </c>
      <c r="F1485" t="s">
        <v>1372</v>
      </c>
      <c r="G1485">
        <v>-9</v>
      </c>
      <c r="H1485">
        <v>700</v>
      </c>
      <c r="J1485" t="s">
        <v>1469</v>
      </c>
    </row>
    <row r="1486" spans="1:11" x14ac:dyDescent="0.25">
      <c r="A1486" s="40">
        <v>45803.904861111114</v>
      </c>
      <c r="B1486" t="s">
        <v>1469</v>
      </c>
      <c r="C1486" t="s">
        <v>10</v>
      </c>
      <c r="D1486" t="s">
        <v>332</v>
      </c>
      <c r="E1486" t="s">
        <v>1364</v>
      </c>
      <c r="F1486" t="s">
        <v>695</v>
      </c>
      <c r="G1486">
        <v>3552</v>
      </c>
      <c r="H1486">
        <v>8071</v>
      </c>
      <c r="J1486" t="s">
        <v>1469</v>
      </c>
    </row>
    <row r="1487" spans="1:11" x14ac:dyDescent="0.25">
      <c r="A1487" s="40">
        <v>45804.373842592591</v>
      </c>
      <c r="B1487" t="s">
        <v>1471</v>
      </c>
      <c r="C1487" t="s">
        <v>8</v>
      </c>
      <c r="D1487" t="s">
        <v>311</v>
      </c>
      <c r="E1487" t="s">
        <v>1364</v>
      </c>
      <c r="F1487" t="s">
        <v>1372</v>
      </c>
      <c r="G1487">
        <v>-510</v>
      </c>
      <c r="H1487">
        <v>3556</v>
      </c>
      <c r="K1487" t="s">
        <v>1383</v>
      </c>
    </row>
    <row r="1488" spans="1:11" x14ac:dyDescent="0.25">
      <c r="A1488" s="40">
        <v>45804.373842592591</v>
      </c>
      <c r="B1488" t="s">
        <v>1471</v>
      </c>
      <c r="C1488" t="s">
        <v>101</v>
      </c>
      <c r="D1488" t="s">
        <v>507</v>
      </c>
      <c r="E1488" t="s">
        <v>1364</v>
      </c>
      <c r="F1488" t="s">
        <v>1372</v>
      </c>
      <c r="G1488">
        <v>-30</v>
      </c>
      <c r="H1488">
        <v>4898</v>
      </c>
      <c r="K1488" t="s">
        <v>1383</v>
      </c>
    </row>
    <row r="1489" spans="1:11" x14ac:dyDescent="0.25">
      <c r="A1489" s="40">
        <v>45804.373842592591</v>
      </c>
      <c r="B1489" t="s">
        <v>1471</v>
      </c>
      <c r="C1489" t="s">
        <v>412</v>
      </c>
      <c r="D1489" t="s">
        <v>413</v>
      </c>
      <c r="E1489" t="s">
        <v>1364</v>
      </c>
      <c r="F1489" t="s">
        <v>1372</v>
      </c>
      <c r="G1489">
        <v>-30</v>
      </c>
      <c r="H1489">
        <v>3523</v>
      </c>
      <c r="K1489" t="s">
        <v>1383</v>
      </c>
    </row>
    <row r="1490" spans="1:11" x14ac:dyDescent="0.25">
      <c r="A1490" s="40">
        <v>45804.373842592591</v>
      </c>
      <c r="B1490" t="s">
        <v>1471</v>
      </c>
      <c r="C1490" t="s">
        <v>104</v>
      </c>
      <c r="D1490" t="s">
        <v>410</v>
      </c>
      <c r="E1490" t="s">
        <v>1364</v>
      </c>
      <c r="F1490" t="s">
        <v>1372</v>
      </c>
      <c r="G1490">
        <v>-30</v>
      </c>
      <c r="H1490">
        <v>4531</v>
      </c>
      <c r="K1490" t="s">
        <v>1383</v>
      </c>
    </row>
    <row r="1491" spans="1:11" x14ac:dyDescent="0.25">
      <c r="A1491" s="40">
        <v>45804.373842592591</v>
      </c>
      <c r="B1491" t="s">
        <v>1471</v>
      </c>
      <c r="C1491" t="s">
        <v>435</v>
      </c>
      <c r="D1491" t="s">
        <v>436</v>
      </c>
      <c r="E1491" t="s">
        <v>1364</v>
      </c>
      <c r="F1491" t="s">
        <v>1372</v>
      </c>
      <c r="G1491">
        <v>-60</v>
      </c>
      <c r="H1491">
        <v>4781</v>
      </c>
      <c r="K1491" t="s">
        <v>1383</v>
      </c>
    </row>
    <row r="1492" spans="1:11" x14ac:dyDescent="0.25">
      <c r="A1492" s="40">
        <v>45804.373842592591</v>
      </c>
      <c r="B1492" t="s">
        <v>1471</v>
      </c>
      <c r="C1492" t="s">
        <v>330</v>
      </c>
      <c r="D1492" t="s">
        <v>331</v>
      </c>
      <c r="E1492" t="s">
        <v>1364</v>
      </c>
      <c r="F1492" t="s">
        <v>1372</v>
      </c>
      <c r="G1492">
        <v>-250</v>
      </c>
      <c r="H1492">
        <v>4598</v>
      </c>
      <c r="K1492" t="s">
        <v>1383</v>
      </c>
    </row>
    <row r="1493" spans="1:11" x14ac:dyDescent="0.25">
      <c r="A1493" s="40">
        <v>45804.373842592591</v>
      </c>
      <c r="B1493" t="s">
        <v>1471</v>
      </c>
      <c r="C1493" t="s">
        <v>75</v>
      </c>
      <c r="D1493" t="s">
        <v>251</v>
      </c>
      <c r="E1493" t="s">
        <v>1364</v>
      </c>
      <c r="F1493" t="s">
        <v>1372</v>
      </c>
      <c r="G1493">
        <v>-40</v>
      </c>
      <c r="H1493">
        <v>2829</v>
      </c>
      <c r="K1493" t="s">
        <v>1383</v>
      </c>
    </row>
    <row r="1494" spans="1:11" x14ac:dyDescent="0.25">
      <c r="A1494" s="40">
        <v>45804.373842592591</v>
      </c>
      <c r="B1494" t="s">
        <v>1471</v>
      </c>
      <c r="C1494" t="s">
        <v>418</v>
      </c>
      <c r="D1494" t="s">
        <v>419</v>
      </c>
      <c r="E1494" t="s">
        <v>1364</v>
      </c>
      <c r="F1494" t="s">
        <v>1372</v>
      </c>
      <c r="G1494">
        <v>-240</v>
      </c>
      <c r="H1494">
        <v>2617</v>
      </c>
      <c r="K1494" t="s">
        <v>1383</v>
      </c>
    </row>
    <row r="1495" spans="1:11" x14ac:dyDescent="0.25">
      <c r="A1495" s="40">
        <v>45804.373842592591</v>
      </c>
      <c r="B1495" t="s">
        <v>1471</v>
      </c>
      <c r="C1495" t="s">
        <v>258</v>
      </c>
      <c r="D1495" t="s">
        <v>259</v>
      </c>
      <c r="E1495" t="s">
        <v>1364</v>
      </c>
      <c r="F1495" t="s">
        <v>1372</v>
      </c>
      <c r="G1495">
        <v>-40</v>
      </c>
      <c r="H1495">
        <v>4022</v>
      </c>
      <c r="K1495" t="s">
        <v>1383</v>
      </c>
    </row>
    <row r="1496" spans="1:11" x14ac:dyDescent="0.25">
      <c r="A1496" s="40">
        <v>45804.373842592591</v>
      </c>
      <c r="B1496" t="s">
        <v>1471</v>
      </c>
      <c r="C1496" t="s">
        <v>62</v>
      </c>
      <c r="D1496" t="s">
        <v>354</v>
      </c>
      <c r="E1496" t="s">
        <v>1364</v>
      </c>
      <c r="F1496" t="s">
        <v>1372</v>
      </c>
      <c r="G1496">
        <v>-30</v>
      </c>
      <c r="H1496">
        <v>3999</v>
      </c>
      <c r="K1496" t="s">
        <v>1383</v>
      </c>
    </row>
    <row r="1497" spans="1:11" x14ac:dyDescent="0.25">
      <c r="A1497" s="40">
        <v>45804.373842592591</v>
      </c>
      <c r="B1497" t="s">
        <v>1471</v>
      </c>
      <c r="C1497" t="s">
        <v>339</v>
      </c>
      <c r="D1497" t="s">
        <v>340</v>
      </c>
      <c r="E1497" t="s">
        <v>1364</v>
      </c>
      <c r="F1497" t="s">
        <v>1372</v>
      </c>
      <c r="G1497">
        <v>-40</v>
      </c>
      <c r="H1497">
        <v>2360</v>
      </c>
      <c r="K1497" t="s">
        <v>1383</v>
      </c>
    </row>
    <row r="1498" spans="1:11" x14ac:dyDescent="0.25">
      <c r="A1498" s="40">
        <v>45804.373842592591</v>
      </c>
      <c r="B1498" t="s">
        <v>1471</v>
      </c>
      <c r="C1498" t="s">
        <v>18</v>
      </c>
      <c r="D1498" t="s">
        <v>487</v>
      </c>
      <c r="E1498" t="s">
        <v>1364</v>
      </c>
      <c r="F1498" t="s">
        <v>1372</v>
      </c>
      <c r="G1498">
        <v>-280</v>
      </c>
      <c r="H1498">
        <v>10097</v>
      </c>
      <c r="K1498" t="s">
        <v>1383</v>
      </c>
    </row>
    <row r="1499" spans="1:11" x14ac:dyDescent="0.25">
      <c r="A1499" s="40">
        <v>45804.373842592591</v>
      </c>
      <c r="B1499" t="s">
        <v>1471</v>
      </c>
      <c r="C1499" t="s">
        <v>324</v>
      </c>
      <c r="D1499" t="s">
        <v>325</v>
      </c>
      <c r="E1499" t="s">
        <v>1364</v>
      </c>
      <c r="F1499" t="s">
        <v>1372</v>
      </c>
      <c r="G1499">
        <v>-50</v>
      </c>
      <c r="H1499">
        <v>2090</v>
      </c>
      <c r="K1499" t="s">
        <v>1383</v>
      </c>
    </row>
    <row r="1500" spans="1:11" x14ac:dyDescent="0.25">
      <c r="A1500" s="40">
        <v>45804.373842592591</v>
      </c>
      <c r="B1500" t="s">
        <v>1471</v>
      </c>
      <c r="C1500" t="s">
        <v>296</v>
      </c>
      <c r="D1500" t="s">
        <v>297</v>
      </c>
      <c r="E1500" t="s">
        <v>1364</v>
      </c>
      <c r="F1500" t="s">
        <v>1372</v>
      </c>
      <c r="G1500">
        <v>-120</v>
      </c>
      <c r="H1500">
        <v>1267</v>
      </c>
      <c r="K1500" t="s">
        <v>1383</v>
      </c>
    </row>
    <row r="1501" spans="1:11" x14ac:dyDescent="0.25">
      <c r="A1501" s="40">
        <v>45804.373842592591</v>
      </c>
      <c r="B1501" t="s">
        <v>1471</v>
      </c>
      <c r="C1501" t="s">
        <v>68</v>
      </c>
      <c r="D1501" t="s">
        <v>374</v>
      </c>
      <c r="E1501" t="s">
        <v>1364</v>
      </c>
      <c r="F1501" t="s">
        <v>1372</v>
      </c>
      <c r="G1501">
        <v>-760</v>
      </c>
      <c r="H1501">
        <v>3219</v>
      </c>
      <c r="K1501" t="s">
        <v>1383</v>
      </c>
    </row>
    <row r="1502" spans="1:11" x14ac:dyDescent="0.25">
      <c r="A1502" s="40">
        <v>45804.373842592591</v>
      </c>
      <c r="B1502" t="s">
        <v>1471</v>
      </c>
      <c r="C1502" t="s">
        <v>63</v>
      </c>
      <c r="D1502" t="s">
        <v>355</v>
      </c>
      <c r="E1502" t="s">
        <v>1364</v>
      </c>
      <c r="F1502" t="s">
        <v>1372</v>
      </c>
      <c r="G1502">
        <v>-30</v>
      </c>
      <c r="H1502">
        <v>3887</v>
      </c>
      <c r="K1502" t="s">
        <v>1383</v>
      </c>
    </row>
    <row r="1503" spans="1:11" x14ac:dyDescent="0.25">
      <c r="A1503" s="40">
        <v>45804.373842592591</v>
      </c>
      <c r="B1503" t="s">
        <v>1471</v>
      </c>
      <c r="C1503" t="s">
        <v>26</v>
      </c>
      <c r="D1503" t="s">
        <v>380</v>
      </c>
      <c r="E1503" t="s">
        <v>1364</v>
      </c>
      <c r="F1503" t="s">
        <v>1372</v>
      </c>
      <c r="G1503">
        <v>-30</v>
      </c>
      <c r="H1503">
        <v>3607</v>
      </c>
      <c r="K1503" t="s">
        <v>1383</v>
      </c>
    </row>
    <row r="1504" spans="1:11" x14ac:dyDescent="0.25">
      <c r="A1504" s="40">
        <v>45804.373842592591</v>
      </c>
      <c r="B1504" t="s">
        <v>1471</v>
      </c>
      <c r="C1504" t="s">
        <v>281</v>
      </c>
      <c r="D1504" t="s">
        <v>282</v>
      </c>
      <c r="E1504" t="s">
        <v>1364</v>
      </c>
      <c r="F1504" t="s">
        <v>1372</v>
      </c>
      <c r="G1504">
        <v>-30</v>
      </c>
      <c r="H1504">
        <v>1970</v>
      </c>
      <c r="K1504" t="s">
        <v>1383</v>
      </c>
    </row>
    <row r="1505" spans="1:11" x14ac:dyDescent="0.25">
      <c r="A1505" s="40">
        <v>45804.373842592591</v>
      </c>
      <c r="B1505" t="s">
        <v>1471</v>
      </c>
      <c r="C1505" t="s">
        <v>56</v>
      </c>
      <c r="D1505" t="s">
        <v>313</v>
      </c>
      <c r="E1505" t="s">
        <v>1364</v>
      </c>
      <c r="F1505" t="s">
        <v>1372</v>
      </c>
      <c r="G1505">
        <v>-50</v>
      </c>
      <c r="H1505">
        <v>47</v>
      </c>
      <c r="K1505" t="s">
        <v>1383</v>
      </c>
    </row>
    <row r="1506" spans="1:11" x14ac:dyDescent="0.25">
      <c r="A1506" s="40">
        <v>45804.373842592591</v>
      </c>
      <c r="B1506" t="s">
        <v>1471</v>
      </c>
      <c r="C1506" t="s">
        <v>343</v>
      </c>
      <c r="D1506" t="s">
        <v>344</v>
      </c>
      <c r="E1506" t="s">
        <v>1364</v>
      </c>
      <c r="F1506" t="s">
        <v>1372</v>
      </c>
      <c r="G1506">
        <v>-660</v>
      </c>
      <c r="H1506">
        <v>-438</v>
      </c>
      <c r="K1506" t="s">
        <v>1383</v>
      </c>
    </row>
    <row r="1507" spans="1:11" x14ac:dyDescent="0.25">
      <c r="A1507" s="40">
        <v>45804.373842592591</v>
      </c>
      <c r="B1507" t="s">
        <v>1471</v>
      </c>
      <c r="C1507" t="s">
        <v>15</v>
      </c>
      <c r="D1507" t="s">
        <v>474</v>
      </c>
      <c r="E1507" t="s">
        <v>1364</v>
      </c>
      <c r="F1507" t="s">
        <v>1372</v>
      </c>
      <c r="G1507">
        <v>-120</v>
      </c>
      <c r="H1507">
        <v>2899</v>
      </c>
      <c r="K1507" t="s">
        <v>1383</v>
      </c>
    </row>
    <row r="1508" spans="1:11" x14ac:dyDescent="0.25">
      <c r="A1508" s="40">
        <v>45804.373842592591</v>
      </c>
      <c r="B1508" t="s">
        <v>1471</v>
      </c>
      <c r="C1508" t="s">
        <v>337</v>
      </c>
      <c r="D1508" t="s">
        <v>338</v>
      </c>
      <c r="E1508" t="s">
        <v>1364</v>
      </c>
      <c r="F1508" t="s">
        <v>1372</v>
      </c>
      <c r="G1508">
        <v>-30</v>
      </c>
      <c r="H1508">
        <v>3324</v>
      </c>
      <c r="K1508" t="s">
        <v>1383</v>
      </c>
    </row>
    <row r="1509" spans="1:11" x14ac:dyDescent="0.25">
      <c r="A1509" s="40">
        <v>45804.373842592591</v>
      </c>
      <c r="B1509" t="s">
        <v>1471</v>
      </c>
      <c r="C1509" t="s">
        <v>279</v>
      </c>
      <c r="D1509" t="s">
        <v>280</v>
      </c>
      <c r="E1509" t="s">
        <v>1364</v>
      </c>
      <c r="F1509" t="s">
        <v>1372</v>
      </c>
      <c r="G1509">
        <v>-50</v>
      </c>
      <c r="H1509">
        <v>3081</v>
      </c>
      <c r="K1509" t="s">
        <v>1383</v>
      </c>
    </row>
    <row r="1510" spans="1:11" x14ac:dyDescent="0.25">
      <c r="A1510" s="40">
        <v>45804.373842592591</v>
      </c>
      <c r="B1510" t="s">
        <v>1471</v>
      </c>
      <c r="C1510" t="s">
        <v>20</v>
      </c>
      <c r="D1510" t="s">
        <v>498</v>
      </c>
      <c r="E1510" t="s">
        <v>1364</v>
      </c>
      <c r="F1510" t="s">
        <v>1372</v>
      </c>
      <c r="G1510">
        <v>-440</v>
      </c>
      <c r="H1510">
        <v>7760</v>
      </c>
      <c r="K1510" t="s">
        <v>1383</v>
      </c>
    </row>
    <row r="1511" spans="1:11" x14ac:dyDescent="0.25">
      <c r="A1511" s="40">
        <v>45804.373842592591</v>
      </c>
      <c r="B1511" t="s">
        <v>1471</v>
      </c>
      <c r="C1511" t="s">
        <v>11</v>
      </c>
      <c r="D1511" t="s">
        <v>411</v>
      </c>
      <c r="E1511" t="s">
        <v>1364</v>
      </c>
      <c r="F1511" t="s">
        <v>1372</v>
      </c>
      <c r="G1511">
        <v>-40</v>
      </c>
      <c r="H1511">
        <v>3586</v>
      </c>
      <c r="K1511" t="s">
        <v>1383</v>
      </c>
    </row>
    <row r="1512" spans="1:11" x14ac:dyDescent="0.25">
      <c r="A1512" s="40">
        <v>45804.373842592591</v>
      </c>
      <c r="B1512" t="s">
        <v>1471</v>
      </c>
      <c r="C1512" t="s">
        <v>69</v>
      </c>
      <c r="D1512" t="s">
        <v>375</v>
      </c>
      <c r="E1512" t="s">
        <v>1364</v>
      </c>
      <c r="F1512" t="s">
        <v>1372</v>
      </c>
      <c r="G1512">
        <v>-310</v>
      </c>
      <c r="H1512">
        <v>8342</v>
      </c>
      <c r="K1512" t="s">
        <v>1383</v>
      </c>
    </row>
    <row r="1513" spans="1:11" x14ac:dyDescent="0.25">
      <c r="A1513" s="40">
        <v>45804.373842592591</v>
      </c>
      <c r="B1513" t="s">
        <v>1471</v>
      </c>
      <c r="C1513" t="s">
        <v>32</v>
      </c>
      <c r="D1513" t="s">
        <v>384</v>
      </c>
      <c r="E1513" t="s">
        <v>1364</v>
      </c>
      <c r="F1513" t="s">
        <v>1372</v>
      </c>
      <c r="G1513">
        <v>-50</v>
      </c>
      <c r="H1513">
        <v>3583</v>
      </c>
      <c r="K1513" t="s">
        <v>1383</v>
      </c>
    </row>
    <row r="1514" spans="1:11" x14ac:dyDescent="0.25">
      <c r="A1514" s="40">
        <v>45804.373842592591</v>
      </c>
      <c r="B1514" t="s">
        <v>1471</v>
      </c>
      <c r="C1514" t="s">
        <v>60</v>
      </c>
      <c r="D1514" t="s">
        <v>350</v>
      </c>
      <c r="E1514" t="s">
        <v>1364</v>
      </c>
      <c r="F1514" t="s">
        <v>1372</v>
      </c>
      <c r="G1514">
        <v>-215</v>
      </c>
      <c r="H1514">
        <v>7572</v>
      </c>
      <c r="K1514" t="s">
        <v>1383</v>
      </c>
    </row>
    <row r="1515" spans="1:11" x14ac:dyDescent="0.25">
      <c r="A1515" s="40">
        <v>45804.373842592591</v>
      </c>
      <c r="B1515" t="s">
        <v>1471</v>
      </c>
      <c r="C1515" t="s">
        <v>79</v>
      </c>
      <c r="D1515" t="s">
        <v>358</v>
      </c>
      <c r="E1515" t="s">
        <v>1364</v>
      </c>
      <c r="F1515" t="s">
        <v>1372</v>
      </c>
      <c r="G1515">
        <v>-155</v>
      </c>
      <c r="H1515">
        <v>2183</v>
      </c>
      <c r="K1515" t="s">
        <v>1383</v>
      </c>
    </row>
    <row r="1516" spans="1:11" x14ac:dyDescent="0.25">
      <c r="A1516" s="40">
        <v>45804.373842592591</v>
      </c>
      <c r="B1516" t="s">
        <v>1471</v>
      </c>
      <c r="C1516" t="s">
        <v>5</v>
      </c>
      <c r="D1516" t="s">
        <v>389</v>
      </c>
      <c r="E1516" t="s">
        <v>1364</v>
      </c>
      <c r="F1516" t="s">
        <v>1372</v>
      </c>
      <c r="G1516">
        <v>-165</v>
      </c>
      <c r="H1516">
        <v>2455</v>
      </c>
      <c r="K1516" t="s">
        <v>1383</v>
      </c>
    </row>
    <row r="1517" spans="1:11" x14ac:dyDescent="0.25">
      <c r="A1517" s="40">
        <v>45804.373842592591</v>
      </c>
      <c r="B1517" t="s">
        <v>1471</v>
      </c>
      <c r="C1517" t="s">
        <v>7</v>
      </c>
      <c r="D1517" t="s">
        <v>307</v>
      </c>
      <c r="E1517" t="s">
        <v>1364</v>
      </c>
      <c r="F1517" t="s">
        <v>1372</v>
      </c>
      <c r="G1517">
        <v>-100</v>
      </c>
      <c r="H1517">
        <v>17083</v>
      </c>
      <c r="K1517" t="s">
        <v>1383</v>
      </c>
    </row>
    <row r="1518" spans="1:11" x14ac:dyDescent="0.25">
      <c r="A1518" s="40">
        <v>45804.373842592591</v>
      </c>
      <c r="B1518" t="s">
        <v>1471</v>
      </c>
      <c r="C1518" t="s">
        <v>31</v>
      </c>
      <c r="D1518" t="s">
        <v>493</v>
      </c>
      <c r="E1518" t="s">
        <v>1364</v>
      </c>
      <c r="F1518" t="s">
        <v>1372</v>
      </c>
      <c r="G1518">
        <v>-40</v>
      </c>
      <c r="H1518">
        <v>3323</v>
      </c>
      <c r="K1518" t="s">
        <v>1383</v>
      </c>
    </row>
    <row r="1519" spans="1:11" x14ac:dyDescent="0.25">
      <c r="A1519" s="40">
        <v>45804.373842592591</v>
      </c>
      <c r="B1519" t="s">
        <v>1471</v>
      </c>
      <c r="C1519" t="s">
        <v>24</v>
      </c>
      <c r="D1519" t="s">
        <v>378</v>
      </c>
      <c r="E1519" t="s">
        <v>1364</v>
      </c>
      <c r="F1519" t="s">
        <v>1372</v>
      </c>
      <c r="G1519">
        <v>-40</v>
      </c>
      <c r="H1519">
        <v>2763</v>
      </c>
      <c r="K1519" t="s">
        <v>1383</v>
      </c>
    </row>
    <row r="1520" spans="1:11" x14ac:dyDescent="0.25">
      <c r="A1520" s="40">
        <v>45804.373842592591</v>
      </c>
      <c r="B1520" t="s">
        <v>1471</v>
      </c>
      <c r="C1520" t="s">
        <v>27</v>
      </c>
      <c r="D1520" t="s">
        <v>381</v>
      </c>
      <c r="E1520" t="s">
        <v>1364</v>
      </c>
      <c r="F1520" t="s">
        <v>1372</v>
      </c>
      <c r="G1520">
        <v>-250</v>
      </c>
      <c r="H1520">
        <v>11339</v>
      </c>
      <c r="K1520" t="s">
        <v>1383</v>
      </c>
    </row>
    <row r="1521" spans="1:12" x14ac:dyDescent="0.25">
      <c r="A1521" s="40">
        <v>45804.373842592591</v>
      </c>
      <c r="B1521" t="s">
        <v>1471</v>
      </c>
      <c r="C1521" t="s">
        <v>29</v>
      </c>
      <c r="D1521" t="s">
        <v>383</v>
      </c>
      <c r="E1521" t="s">
        <v>1364</v>
      </c>
      <c r="F1521" t="s">
        <v>1372</v>
      </c>
      <c r="G1521">
        <v>-1570</v>
      </c>
      <c r="H1521">
        <v>1768</v>
      </c>
      <c r="K1521" t="s">
        <v>1383</v>
      </c>
    </row>
    <row r="1522" spans="1:12" x14ac:dyDescent="0.25">
      <c r="A1522" s="40">
        <v>45804.373842592591</v>
      </c>
      <c r="B1522" t="s">
        <v>1471</v>
      </c>
      <c r="C1522" t="s">
        <v>57</v>
      </c>
      <c r="D1522" t="s">
        <v>314</v>
      </c>
      <c r="E1522" t="s">
        <v>1364</v>
      </c>
      <c r="F1522" t="s">
        <v>1372</v>
      </c>
      <c r="G1522">
        <v>-40</v>
      </c>
      <c r="H1522">
        <v>5151</v>
      </c>
      <c r="K1522" t="s">
        <v>1383</v>
      </c>
    </row>
    <row r="1523" spans="1:12" x14ac:dyDescent="0.25">
      <c r="A1523" s="40">
        <v>45804.373842592591</v>
      </c>
      <c r="B1523" t="s">
        <v>1471</v>
      </c>
      <c r="C1523" t="s">
        <v>47</v>
      </c>
      <c r="D1523" t="s">
        <v>395</v>
      </c>
      <c r="E1523" t="s">
        <v>1364</v>
      </c>
      <c r="F1523" t="s">
        <v>1372</v>
      </c>
      <c r="G1523">
        <v>-60</v>
      </c>
      <c r="H1523">
        <v>25354</v>
      </c>
      <c r="K1523" t="s">
        <v>1383</v>
      </c>
    </row>
    <row r="1524" spans="1:12" x14ac:dyDescent="0.25">
      <c r="A1524" s="40">
        <v>45804.373842592591</v>
      </c>
      <c r="B1524" t="s">
        <v>1471</v>
      </c>
      <c r="C1524" t="s">
        <v>1</v>
      </c>
      <c r="D1524" t="s">
        <v>250</v>
      </c>
      <c r="E1524" t="s">
        <v>1364</v>
      </c>
      <c r="F1524" t="s">
        <v>1372</v>
      </c>
      <c r="G1524">
        <v>-700</v>
      </c>
      <c r="H1524">
        <v>7631</v>
      </c>
      <c r="K1524" t="s">
        <v>1383</v>
      </c>
    </row>
    <row r="1525" spans="1:12" x14ac:dyDescent="0.25">
      <c r="A1525" s="40">
        <v>45804.373842592591</v>
      </c>
      <c r="B1525" t="s">
        <v>1471</v>
      </c>
      <c r="C1525" t="s">
        <v>1472</v>
      </c>
      <c r="E1525" t="s">
        <v>1365</v>
      </c>
      <c r="F1525" t="s">
        <v>1372</v>
      </c>
      <c r="G1525">
        <v>-11</v>
      </c>
      <c r="H1525">
        <v>19</v>
      </c>
      <c r="K1525" t="s">
        <v>1383</v>
      </c>
    </row>
    <row r="1526" spans="1:12" x14ac:dyDescent="0.25">
      <c r="A1526" s="40">
        <v>45804.536481481482</v>
      </c>
      <c r="B1526" t="s">
        <v>1471</v>
      </c>
      <c r="C1526" t="s">
        <v>343</v>
      </c>
      <c r="D1526" t="s">
        <v>344</v>
      </c>
      <c r="E1526" t="s">
        <v>1364</v>
      </c>
      <c r="F1526" t="s">
        <v>695</v>
      </c>
      <c r="G1526">
        <v>3000</v>
      </c>
      <c r="H1526">
        <v>2562</v>
      </c>
      <c r="I1526" t="s">
        <v>696</v>
      </c>
      <c r="K1526" t="s">
        <v>1465</v>
      </c>
      <c r="L1526">
        <v>76.86</v>
      </c>
    </row>
    <row r="1527" spans="1:12" x14ac:dyDescent="0.25">
      <c r="A1527" s="40">
        <v>45805.390462962961</v>
      </c>
      <c r="B1527" t="s">
        <v>1478</v>
      </c>
      <c r="C1527" t="s">
        <v>693</v>
      </c>
      <c r="D1527" t="s">
        <v>701</v>
      </c>
      <c r="E1527" t="s">
        <v>1364</v>
      </c>
      <c r="F1527" t="s">
        <v>1372</v>
      </c>
      <c r="G1527">
        <v>-40</v>
      </c>
      <c r="H1527">
        <v>360</v>
      </c>
      <c r="K1527" t="s">
        <v>1383</v>
      </c>
    </row>
    <row r="1528" spans="1:12" x14ac:dyDescent="0.25">
      <c r="A1528" s="40">
        <v>45805.390462962961</v>
      </c>
      <c r="B1528" t="s">
        <v>1478</v>
      </c>
      <c r="C1528" t="s">
        <v>71</v>
      </c>
      <c r="D1528" t="s">
        <v>376</v>
      </c>
      <c r="E1528" t="s">
        <v>1364</v>
      </c>
      <c r="F1528" t="s">
        <v>1372</v>
      </c>
      <c r="G1528">
        <v>-40</v>
      </c>
      <c r="H1528">
        <v>4010</v>
      </c>
      <c r="K1528" t="s">
        <v>1383</v>
      </c>
    </row>
    <row r="1529" spans="1:12" x14ac:dyDescent="0.25">
      <c r="A1529" s="40">
        <v>45805.390462962961</v>
      </c>
      <c r="B1529" t="s">
        <v>1478</v>
      </c>
      <c r="C1529" t="s">
        <v>271</v>
      </c>
      <c r="D1529" t="s">
        <v>272</v>
      </c>
      <c r="E1529" t="s">
        <v>1364</v>
      </c>
      <c r="F1529" t="s">
        <v>1372</v>
      </c>
      <c r="G1529">
        <v>-175</v>
      </c>
      <c r="H1529">
        <v>2825</v>
      </c>
      <c r="K1529" t="s">
        <v>1383</v>
      </c>
    </row>
    <row r="1530" spans="1:12" x14ac:dyDescent="0.25">
      <c r="A1530" s="40">
        <v>45805.390462962961</v>
      </c>
      <c r="B1530" t="s">
        <v>1478</v>
      </c>
      <c r="C1530" t="s">
        <v>87</v>
      </c>
      <c r="D1530" t="s">
        <v>352</v>
      </c>
      <c r="E1530" t="s">
        <v>1364</v>
      </c>
      <c r="F1530" t="s">
        <v>1372</v>
      </c>
      <c r="G1530">
        <v>-110</v>
      </c>
      <c r="H1530">
        <v>3240</v>
      </c>
      <c r="K1530" t="s">
        <v>1383</v>
      </c>
    </row>
    <row r="1531" spans="1:12" x14ac:dyDescent="0.25">
      <c r="A1531" s="40">
        <v>45805.390462962961</v>
      </c>
      <c r="B1531" t="s">
        <v>1478</v>
      </c>
      <c r="C1531" t="s">
        <v>460</v>
      </c>
      <c r="D1531" t="s">
        <v>461</v>
      </c>
      <c r="E1531" t="s">
        <v>1364</v>
      </c>
      <c r="F1531" t="s">
        <v>1372</v>
      </c>
      <c r="G1531">
        <v>-215</v>
      </c>
      <c r="H1531">
        <v>3285</v>
      </c>
      <c r="K1531" t="s">
        <v>1383</v>
      </c>
    </row>
    <row r="1532" spans="1:12" x14ac:dyDescent="0.25">
      <c r="A1532" s="40">
        <v>45805.390462962961</v>
      </c>
      <c r="B1532" t="s">
        <v>1478</v>
      </c>
      <c r="C1532" t="s">
        <v>8</v>
      </c>
      <c r="D1532" t="s">
        <v>311</v>
      </c>
      <c r="E1532" t="s">
        <v>1364</v>
      </c>
      <c r="F1532" t="s">
        <v>1372</v>
      </c>
      <c r="G1532">
        <v>-60</v>
      </c>
      <c r="H1532">
        <v>3496</v>
      </c>
      <c r="K1532" t="s">
        <v>1383</v>
      </c>
    </row>
    <row r="1533" spans="1:12" x14ac:dyDescent="0.25">
      <c r="A1533" s="40">
        <v>45805.390462962961</v>
      </c>
      <c r="B1533" t="s">
        <v>1478</v>
      </c>
      <c r="C1533" t="s">
        <v>454</v>
      </c>
      <c r="D1533" t="s">
        <v>455</v>
      </c>
      <c r="E1533" t="s">
        <v>1364</v>
      </c>
      <c r="F1533" t="s">
        <v>1372</v>
      </c>
      <c r="G1533">
        <v>-110</v>
      </c>
      <c r="H1533">
        <v>3890</v>
      </c>
      <c r="K1533" t="s">
        <v>1383</v>
      </c>
    </row>
    <row r="1534" spans="1:12" x14ac:dyDescent="0.25">
      <c r="A1534" s="40">
        <v>45805.390462962961</v>
      </c>
      <c r="B1534" t="s">
        <v>1478</v>
      </c>
      <c r="C1534" t="s">
        <v>62</v>
      </c>
      <c r="D1534" t="s">
        <v>354</v>
      </c>
      <c r="E1534" t="s">
        <v>1364</v>
      </c>
      <c r="F1534" t="s">
        <v>1372</v>
      </c>
      <c r="G1534">
        <v>-60</v>
      </c>
      <c r="H1534">
        <v>3939</v>
      </c>
      <c r="K1534" t="s">
        <v>1383</v>
      </c>
    </row>
    <row r="1535" spans="1:12" x14ac:dyDescent="0.25">
      <c r="A1535" s="40">
        <v>45805.390462962961</v>
      </c>
      <c r="B1535" t="s">
        <v>1478</v>
      </c>
      <c r="C1535" t="s">
        <v>273</v>
      </c>
      <c r="D1535" t="s">
        <v>274</v>
      </c>
      <c r="E1535" t="s">
        <v>1364</v>
      </c>
      <c r="F1535" t="s">
        <v>1372</v>
      </c>
      <c r="G1535">
        <v>-40</v>
      </c>
      <c r="H1535">
        <v>3360</v>
      </c>
      <c r="K1535" t="s">
        <v>1383</v>
      </c>
    </row>
    <row r="1536" spans="1:12" x14ac:dyDescent="0.25">
      <c r="A1536" s="40">
        <v>45805.390462962961</v>
      </c>
      <c r="B1536" t="s">
        <v>1478</v>
      </c>
      <c r="C1536" t="s">
        <v>39</v>
      </c>
      <c r="D1536" t="s">
        <v>387</v>
      </c>
      <c r="E1536" t="s">
        <v>1364</v>
      </c>
      <c r="F1536" t="s">
        <v>1372</v>
      </c>
      <c r="G1536">
        <v>-60</v>
      </c>
      <c r="H1536">
        <v>6783</v>
      </c>
      <c r="K1536" t="s">
        <v>1383</v>
      </c>
    </row>
    <row r="1537" spans="1:11" x14ac:dyDescent="0.25">
      <c r="A1537" s="40">
        <v>45805.390462962961</v>
      </c>
      <c r="B1537" t="s">
        <v>1478</v>
      </c>
      <c r="C1537" t="s">
        <v>82</v>
      </c>
      <c r="D1537" t="s">
        <v>318</v>
      </c>
      <c r="E1537" t="s">
        <v>1364</v>
      </c>
      <c r="F1537" t="s">
        <v>1372</v>
      </c>
      <c r="G1537">
        <v>-60</v>
      </c>
      <c r="H1537">
        <v>33</v>
      </c>
      <c r="K1537" t="s">
        <v>1383</v>
      </c>
    </row>
    <row r="1538" spans="1:11" x14ac:dyDescent="0.25">
      <c r="A1538" s="40">
        <v>45805.390462962961</v>
      </c>
      <c r="B1538" t="s">
        <v>1478</v>
      </c>
      <c r="C1538" t="s">
        <v>269</v>
      </c>
      <c r="D1538" t="s">
        <v>270</v>
      </c>
      <c r="E1538" t="s">
        <v>1364</v>
      </c>
      <c r="F1538" t="s">
        <v>1372</v>
      </c>
      <c r="G1538">
        <v>-40</v>
      </c>
      <c r="H1538">
        <v>1960</v>
      </c>
      <c r="K1538" t="s">
        <v>1383</v>
      </c>
    </row>
    <row r="1539" spans="1:11" x14ac:dyDescent="0.25">
      <c r="A1539" s="40">
        <v>45805.390462962961</v>
      </c>
      <c r="B1539" t="s">
        <v>1478</v>
      </c>
      <c r="C1539" t="s">
        <v>230</v>
      </c>
      <c r="D1539" t="s">
        <v>255</v>
      </c>
      <c r="E1539" t="s">
        <v>1364</v>
      </c>
      <c r="F1539" t="s">
        <v>1372</v>
      </c>
      <c r="G1539">
        <v>-195</v>
      </c>
      <c r="H1539">
        <v>5290</v>
      </c>
      <c r="K1539" t="s">
        <v>1383</v>
      </c>
    </row>
    <row r="1540" spans="1:11" x14ac:dyDescent="0.25">
      <c r="A1540" s="40">
        <v>45805.390462962961</v>
      </c>
      <c r="B1540" t="s">
        <v>1478</v>
      </c>
      <c r="C1540" t="s">
        <v>46</v>
      </c>
      <c r="D1540" t="s">
        <v>394</v>
      </c>
      <c r="E1540" t="s">
        <v>1364</v>
      </c>
      <c r="F1540" t="s">
        <v>1372</v>
      </c>
      <c r="G1540">
        <v>-40</v>
      </c>
      <c r="H1540">
        <v>3660</v>
      </c>
      <c r="K1540" t="s">
        <v>1383</v>
      </c>
    </row>
    <row r="1541" spans="1:11" x14ac:dyDescent="0.25">
      <c r="A1541" s="40">
        <v>45805.390462962961</v>
      </c>
      <c r="B1541" t="s">
        <v>1478</v>
      </c>
      <c r="C1541" t="s">
        <v>300</v>
      </c>
      <c r="D1541" t="s">
        <v>301</v>
      </c>
      <c r="E1541" t="s">
        <v>1364</v>
      </c>
      <c r="F1541" t="s">
        <v>1372</v>
      </c>
      <c r="G1541">
        <v>-40</v>
      </c>
      <c r="H1541">
        <v>1860</v>
      </c>
      <c r="K1541" t="s">
        <v>1383</v>
      </c>
    </row>
    <row r="1542" spans="1:11" x14ac:dyDescent="0.25">
      <c r="A1542" s="40">
        <v>45805.390462962961</v>
      </c>
      <c r="B1542" t="s">
        <v>1478</v>
      </c>
      <c r="C1542" t="s">
        <v>63</v>
      </c>
      <c r="D1542" t="s">
        <v>355</v>
      </c>
      <c r="E1542" t="s">
        <v>1364</v>
      </c>
      <c r="F1542" t="s">
        <v>1372</v>
      </c>
      <c r="G1542">
        <v>-135</v>
      </c>
      <c r="H1542">
        <v>3752</v>
      </c>
      <c r="K1542" t="s">
        <v>1383</v>
      </c>
    </row>
    <row r="1543" spans="1:11" x14ac:dyDescent="0.25">
      <c r="A1543" s="40">
        <v>45805.390462962961</v>
      </c>
      <c r="B1543" t="s">
        <v>1478</v>
      </c>
      <c r="C1543" t="s">
        <v>80</v>
      </c>
      <c r="D1543" t="s">
        <v>348</v>
      </c>
      <c r="E1543" t="s">
        <v>1364</v>
      </c>
      <c r="F1543" t="s">
        <v>1372</v>
      </c>
      <c r="G1543">
        <v>-40</v>
      </c>
      <c r="H1543">
        <v>12460</v>
      </c>
      <c r="K1543" t="s">
        <v>1383</v>
      </c>
    </row>
    <row r="1544" spans="1:11" x14ac:dyDescent="0.25">
      <c r="A1544" s="40">
        <v>45805.390462962961</v>
      </c>
      <c r="B1544" t="s">
        <v>1478</v>
      </c>
      <c r="C1544" t="s">
        <v>81</v>
      </c>
      <c r="D1544" t="s">
        <v>317</v>
      </c>
      <c r="E1544" t="s">
        <v>1364</v>
      </c>
      <c r="F1544" t="s">
        <v>1372</v>
      </c>
      <c r="G1544">
        <v>-90</v>
      </c>
      <c r="H1544">
        <v>4620</v>
      </c>
      <c r="K1544" t="s">
        <v>1383</v>
      </c>
    </row>
    <row r="1545" spans="1:11" x14ac:dyDescent="0.25">
      <c r="A1545" s="40">
        <v>45805.390462962961</v>
      </c>
      <c r="B1545" t="s">
        <v>1478</v>
      </c>
      <c r="C1545" t="s">
        <v>15</v>
      </c>
      <c r="D1545" t="s">
        <v>474</v>
      </c>
      <c r="E1545" t="s">
        <v>1364</v>
      </c>
      <c r="F1545" t="s">
        <v>1372</v>
      </c>
      <c r="G1545">
        <v>-60</v>
      </c>
      <c r="H1545">
        <v>2839</v>
      </c>
      <c r="K1545" t="s">
        <v>1383</v>
      </c>
    </row>
    <row r="1546" spans="1:11" x14ac:dyDescent="0.25">
      <c r="A1546" s="40">
        <v>45805.390462962961</v>
      </c>
      <c r="B1546" t="s">
        <v>1478</v>
      </c>
      <c r="C1546" t="s">
        <v>2</v>
      </c>
      <c r="D1546" t="s">
        <v>266</v>
      </c>
      <c r="E1546" t="s">
        <v>1364</v>
      </c>
      <c r="F1546" t="s">
        <v>1372</v>
      </c>
      <c r="G1546">
        <v>-60</v>
      </c>
      <c r="H1546">
        <v>-39</v>
      </c>
      <c r="K1546" t="s">
        <v>1383</v>
      </c>
    </row>
    <row r="1547" spans="1:11" x14ac:dyDescent="0.25">
      <c r="A1547" s="40">
        <v>45805.390462962961</v>
      </c>
      <c r="B1547" t="s">
        <v>1478</v>
      </c>
      <c r="C1547" t="s">
        <v>366</v>
      </c>
      <c r="D1547" t="s">
        <v>367</v>
      </c>
      <c r="E1547" t="s">
        <v>1364</v>
      </c>
      <c r="F1547" t="s">
        <v>1372</v>
      </c>
      <c r="G1547">
        <v>-110</v>
      </c>
      <c r="H1547">
        <v>3590</v>
      </c>
      <c r="K1547" t="s">
        <v>1383</v>
      </c>
    </row>
    <row r="1548" spans="1:11" x14ac:dyDescent="0.25">
      <c r="A1548" s="40">
        <v>45805.390462962961</v>
      </c>
      <c r="B1548" t="s">
        <v>1478</v>
      </c>
      <c r="C1548" t="s">
        <v>55</v>
      </c>
      <c r="D1548" t="s">
        <v>312</v>
      </c>
      <c r="E1548" t="s">
        <v>1364</v>
      </c>
      <c r="F1548" t="s">
        <v>1372</v>
      </c>
      <c r="G1548">
        <v>-60</v>
      </c>
      <c r="H1548">
        <v>1630</v>
      </c>
      <c r="K1548" t="s">
        <v>1383</v>
      </c>
    </row>
    <row r="1549" spans="1:11" x14ac:dyDescent="0.25">
      <c r="A1549" s="40">
        <v>45805.390462962961</v>
      </c>
      <c r="B1549" t="s">
        <v>1478</v>
      </c>
      <c r="C1549" t="s">
        <v>368</v>
      </c>
      <c r="D1549" t="s">
        <v>369</v>
      </c>
      <c r="E1549" t="s">
        <v>1364</v>
      </c>
      <c r="F1549" t="s">
        <v>1372</v>
      </c>
      <c r="G1549">
        <v>-195</v>
      </c>
      <c r="H1549">
        <v>2705</v>
      </c>
      <c r="K1549" t="s">
        <v>1383</v>
      </c>
    </row>
    <row r="1550" spans="1:11" x14ac:dyDescent="0.25">
      <c r="A1550" s="40">
        <v>45805.390462962961</v>
      </c>
      <c r="B1550" t="s">
        <v>1478</v>
      </c>
      <c r="C1550" t="s">
        <v>38</v>
      </c>
      <c r="D1550" t="s">
        <v>386</v>
      </c>
      <c r="E1550" t="s">
        <v>1364</v>
      </c>
      <c r="F1550" t="s">
        <v>1372</v>
      </c>
      <c r="G1550">
        <v>-300</v>
      </c>
      <c r="H1550">
        <v>33133</v>
      </c>
      <c r="K1550" t="s">
        <v>1383</v>
      </c>
    </row>
    <row r="1551" spans="1:11" x14ac:dyDescent="0.25">
      <c r="A1551" s="40">
        <v>45805.390462962961</v>
      </c>
      <c r="B1551" t="s">
        <v>1478</v>
      </c>
      <c r="C1551" t="s">
        <v>42</v>
      </c>
      <c r="D1551" t="s">
        <v>391</v>
      </c>
      <c r="E1551" t="s">
        <v>1364</v>
      </c>
      <c r="F1551" t="s">
        <v>1372</v>
      </c>
      <c r="G1551">
        <v>-90</v>
      </c>
      <c r="H1551">
        <v>2863</v>
      </c>
      <c r="K1551" t="s">
        <v>1383</v>
      </c>
    </row>
    <row r="1552" spans="1:11" x14ac:dyDescent="0.25">
      <c r="A1552" s="40">
        <v>45805.390462962961</v>
      </c>
      <c r="B1552" t="s">
        <v>1478</v>
      </c>
      <c r="C1552" t="s">
        <v>97</v>
      </c>
      <c r="D1552" t="s">
        <v>407</v>
      </c>
      <c r="E1552" t="s">
        <v>1364</v>
      </c>
      <c r="F1552" t="s">
        <v>1372</v>
      </c>
      <c r="G1552">
        <v>-60</v>
      </c>
      <c r="H1552">
        <v>6175</v>
      </c>
      <c r="K1552" t="s">
        <v>1383</v>
      </c>
    </row>
    <row r="1553" spans="1:12" x14ac:dyDescent="0.25">
      <c r="A1553" s="40">
        <v>45805.390462962961</v>
      </c>
      <c r="B1553" t="s">
        <v>1478</v>
      </c>
      <c r="C1553" t="s">
        <v>60</v>
      </c>
      <c r="D1553" t="s">
        <v>350</v>
      </c>
      <c r="E1553" t="s">
        <v>1364</v>
      </c>
      <c r="F1553" t="s">
        <v>1372</v>
      </c>
      <c r="G1553">
        <v>-240</v>
      </c>
      <c r="H1553">
        <v>7332</v>
      </c>
      <c r="K1553" t="s">
        <v>1383</v>
      </c>
    </row>
    <row r="1554" spans="1:12" x14ac:dyDescent="0.25">
      <c r="A1554" s="40">
        <v>45805.390462962961</v>
      </c>
      <c r="B1554" t="s">
        <v>1478</v>
      </c>
      <c r="C1554" t="s">
        <v>94</v>
      </c>
      <c r="D1554" t="s">
        <v>404</v>
      </c>
      <c r="E1554" t="s">
        <v>1364</v>
      </c>
      <c r="F1554" t="s">
        <v>1372</v>
      </c>
      <c r="G1554">
        <v>-135</v>
      </c>
      <c r="H1554">
        <v>6170</v>
      </c>
      <c r="K1554" t="s">
        <v>1383</v>
      </c>
    </row>
    <row r="1555" spans="1:12" x14ac:dyDescent="0.25">
      <c r="A1555" s="40">
        <v>45805.390462962961</v>
      </c>
      <c r="B1555" t="s">
        <v>1478</v>
      </c>
      <c r="C1555" t="s">
        <v>439</v>
      </c>
      <c r="D1555" t="s">
        <v>440</v>
      </c>
      <c r="E1555" t="s">
        <v>1364</v>
      </c>
      <c r="F1555" t="s">
        <v>1372</v>
      </c>
      <c r="G1555">
        <v>-155</v>
      </c>
      <c r="H1555">
        <v>4845</v>
      </c>
      <c r="K1555" t="s">
        <v>1383</v>
      </c>
    </row>
    <row r="1556" spans="1:12" x14ac:dyDescent="0.25">
      <c r="A1556" s="40">
        <v>45805.390462962961</v>
      </c>
      <c r="B1556" t="s">
        <v>1478</v>
      </c>
      <c r="C1556" t="s">
        <v>54</v>
      </c>
      <c r="D1556" t="s">
        <v>399</v>
      </c>
      <c r="E1556" t="s">
        <v>1364</v>
      </c>
      <c r="F1556" t="s">
        <v>1372</v>
      </c>
      <c r="G1556">
        <v>-40</v>
      </c>
      <c r="H1556">
        <v>2394</v>
      </c>
      <c r="K1556" t="s">
        <v>1383</v>
      </c>
    </row>
    <row r="1557" spans="1:12" x14ac:dyDescent="0.25">
      <c r="A1557" s="40">
        <v>45805.390462962961</v>
      </c>
      <c r="B1557" t="s">
        <v>1478</v>
      </c>
      <c r="C1557" t="s">
        <v>36</v>
      </c>
      <c r="D1557" t="s">
        <v>385</v>
      </c>
      <c r="E1557" t="s">
        <v>1364</v>
      </c>
      <c r="F1557" t="s">
        <v>1372</v>
      </c>
      <c r="G1557">
        <v>-430</v>
      </c>
      <c r="H1557">
        <v>10341</v>
      </c>
      <c r="K1557" t="s">
        <v>1383</v>
      </c>
    </row>
    <row r="1558" spans="1:12" x14ac:dyDescent="0.25">
      <c r="A1558" s="40">
        <v>45805.390462962961</v>
      </c>
      <c r="B1558" t="s">
        <v>1478</v>
      </c>
      <c r="C1558" t="s">
        <v>477</v>
      </c>
      <c r="D1558" t="s">
        <v>478</v>
      </c>
      <c r="E1558" t="s">
        <v>1364</v>
      </c>
      <c r="F1558" t="s">
        <v>1372</v>
      </c>
      <c r="G1558">
        <v>-40</v>
      </c>
      <c r="H1558">
        <v>1960</v>
      </c>
      <c r="K1558" t="s">
        <v>1383</v>
      </c>
    </row>
    <row r="1559" spans="1:12" x14ac:dyDescent="0.25">
      <c r="A1559" s="40">
        <v>45805.390462962961</v>
      </c>
      <c r="B1559" t="s">
        <v>1478</v>
      </c>
      <c r="C1559" t="s">
        <v>7</v>
      </c>
      <c r="D1559" t="s">
        <v>307</v>
      </c>
      <c r="E1559" t="s">
        <v>1364</v>
      </c>
      <c r="F1559" t="s">
        <v>1372</v>
      </c>
      <c r="G1559">
        <v>-240</v>
      </c>
      <c r="H1559">
        <v>16843</v>
      </c>
      <c r="K1559" t="s">
        <v>1383</v>
      </c>
    </row>
    <row r="1560" spans="1:12" x14ac:dyDescent="0.25">
      <c r="A1560" s="40">
        <v>45805.390462962961</v>
      </c>
      <c r="B1560" t="s">
        <v>1478</v>
      </c>
      <c r="C1560" t="s">
        <v>24</v>
      </c>
      <c r="D1560" t="s">
        <v>378</v>
      </c>
      <c r="E1560" t="s">
        <v>1364</v>
      </c>
      <c r="F1560" t="s">
        <v>1372</v>
      </c>
      <c r="G1560">
        <v>-40</v>
      </c>
      <c r="H1560">
        <v>2723</v>
      </c>
      <c r="K1560" t="s">
        <v>1383</v>
      </c>
    </row>
    <row r="1561" spans="1:12" x14ac:dyDescent="0.25">
      <c r="A1561" s="40">
        <v>45805.390462962961</v>
      </c>
      <c r="B1561" t="s">
        <v>1478</v>
      </c>
      <c r="C1561" t="s">
        <v>27</v>
      </c>
      <c r="D1561" t="s">
        <v>381</v>
      </c>
      <c r="E1561" t="s">
        <v>1364</v>
      </c>
      <c r="F1561" t="s">
        <v>1372</v>
      </c>
      <c r="G1561">
        <v>-60</v>
      </c>
      <c r="H1561">
        <v>11279</v>
      </c>
      <c r="K1561" t="s">
        <v>1383</v>
      </c>
    </row>
    <row r="1562" spans="1:12" x14ac:dyDescent="0.25">
      <c r="A1562" s="40">
        <v>45805.390462962961</v>
      </c>
      <c r="B1562" t="s">
        <v>1478</v>
      </c>
      <c r="C1562" t="s">
        <v>70</v>
      </c>
      <c r="D1562" t="s">
        <v>402</v>
      </c>
      <c r="E1562" t="s">
        <v>1364</v>
      </c>
      <c r="F1562" t="s">
        <v>1372</v>
      </c>
      <c r="G1562">
        <v>-300</v>
      </c>
      <c r="H1562">
        <v>24855</v>
      </c>
      <c r="K1562" t="s">
        <v>1383</v>
      </c>
    </row>
    <row r="1563" spans="1:12" x14ac:dyDescent="0.25">
      <c r="A1563" s="40">
        <v>45805.390462962961</v>
      </c>
      <c r="B1563" t="s">
        <v>1478</v>
      </c>
      <c r="C1563" t="s">
        <v>47</v>
      </c>
      <c r="D1563" t="s">
        <v>395</v>
      </c>
      <c r="E1563" t="s">
        <v>1364</v>
      </c>
      <c r="F1563" t="s">
        <v>1372</v>
      </c>
      <c r="G1563">
        <v>-195</v>
      </c>
      <c r="H1563">
        <v>25159</v>
      </c>
      <c r="K1563" t="s">
        <v>1383</v>
      </c>
    </row>
    <row r="1564" spans="1:12" x14ac:dyDescent="0.25">
      <c r="A1564" s="40">
        <v>45805.390462962961</v>
      </c>
      <c r="B1564" t="s">
        <v>1478</v>
      </c>
      <c r="C1564" t="s">
        <v>1</v>
      </c>
      <c r="D1564" t="s">
        <v>250</v>
      </c>
      <c r="E1564" t="s">
        <v>1364</v>
      </c>
      <c r="F1564" t="s">
        <v>1372</v>
      </c>
      <c r="G1564">
        <v>-960</v>
      </c>
      <c r="H1564">
        <v>6671</v>
      </c>
      <c r="K1564" t="s">
        <v>1383</v>
      </c>
    </row>
    <row r="1565" spans="1:12" x14ac:dyDescent="0.25">
      <c r="A1565" s="40">
        <v>45806.756249999999</v>
      </c>
      <c r="B1565" t="s">
        <v>1471</v>
      </c>
      <c r="C1565" t="s">
        <v>15</v>
      </c>
      <c r="D1565" t="s">
        <v>474</v>
      </c>
      <c r="E1565" t="s">
        <v>1364</v>
      </c>
      <c r="F1565" t="s">
        <v>1372</v>
      </c>
      <c r="G1565">
        <v>-25</v>
      </c>
      <c r="H1565">
        <v>2814</v>
      </c>
      <c r="K1565" t="s">
        <v>1479</v>
      </c>
    </row>
    <row r="1566" spans="1:12" x14ac:dyDescent="0.25">
      <c r="A1566" s="40">
        <v>45806.756249999999</v>
      </c>
      <c r="B1566" t="s">
        <v>1471</v>
      </c>
      <c r="C1566" t="s">
        <v>32</v>
      </c>
      <c r="D1566" t="s">
        <v>384</v>
      </c>
      <c r="E1566" t="s">
        <v>1364</v>
      </c>
      <c r="F1566" t="s">
        <v>1372</v>
      </c>
      <c r="G1566">
        <v>-20</v>
      </c>
      <c r="H1566">
        <v>3563</v>
      </c>
      <c r="K1566" t="s">
        <v>1479</v>
      </c>
    </row>
    <row r="1567" spans="1:12" x14ac:dyDescent="0.25">
      <c r="A1567" s="40">
        <v>45806.443622685183</v>
      </c>
      <c r="B1567" t="s">
        <v>1478</v>
      </c>
      <c r="C1567" t="s">
        <v>2</v>
      </c>
      <c r="D1567" t="s">
        <v>266</v>
      </c>
      <c r="E1567" t="s">
        <v>1364</v>
      </c>
      <c r="F1567" t="s">
        <v>695</v>
      </c>
      <c r="G1567">
        <v>4000</v>
      </c>
      <c r="H1567">
        <v>3961</v>
      </c>
      <c r="I1567" t="s">
        <v>696</v>
      </c>
      <c r="K1567" t="s">
        <v>1465</v>
      </c>
      <c r="L1567">
        <v>12.32</v>
      </c>
    </row>
    <row r="1568" spans="1:12" x14ac:dyDescent="0.25">
      <c r="A1568" s="40">
        <v>45806.448171296295</v>
      </c>
      <c r="B1568" t="s">
        <v>1480</v>
      </c>
      <c r="C1568" t="s">
        <v>1351</v>
      </c>
      <c r="E1568" t="s">
        <v>1365</v>
      </c>
      <c r="F1568" t="s">
        <v>1372</v>
      </c>
      <c r="G1568">
        <v>-27</v>
      </c>
      <c r="H1568">
        <v>-23</v>
      </c>
      <c r="K1568" t="s">
        <v>1383</v>
      </c>
    </row>
    <row r="1569" spans="1:11" x14ac:dyDescent="0.25">
      <c r="A1569" s="40">
        <v>45806.448171296295</v>
      </c>
      <c r="B1569" t="s">
        <v>1480</v>
      </c>
      <c r="C1569" t="s">
        <v>302</v>
      </c>
      <c r="D1569" t="s">
        <v>303</v>
      </c>
      <c r="E1569" t="s">
        <v>1364</v>
      </c>
      <c r="F1569" t="s">
        <v>1372</v>
      </c>
      <c r="G1569">
        <v>-45</v>
      </c>
      <c r="H1569">
        <v>2655</v>
      </c>
      <c r="K1569" t="s">
        <v>1383</v>
      </c>
    </row>
    <row r="1570" spans="1:11" x14ac:dyDescent="0.25">
      <c r="A1570" s="40">
        <v>45806.448171296295</v>
      </c>
      <c r="B1570" t="s">
        <v>1480</v>
      </c>
      <c r="C1570" t="s">
        <v>298</v>
      </c>
      <c r="D1570" t="s">
        <v>299</v>
      </c>
      <c r="E1570" t="s">
        <v>1364</v>
      </c>
      <c r="F1570" t="s">
        <v>1372</v>
      </c>
      <c r="G1570">
        <v>-70</v>
      </c>
      <c r="H1570">
        <v>830</v>
      </c>
      <c r="K1570" t="s">
        <v>1383</v>
      </c>
    </row>
    <row r="1571" spans="1:11" x14ac:dyDescent="0.25">
      <c r="A1571" s="40">
        <v>45806.448171296295</v>
      </c>
      <c r="B1571" t="s">
        <v>1480</v>
      </c>
      <c r="C1571" t="s">
        <v>322</v>
      </c>
      <c r="D1571" t="s">
        <v>323</v>
      </c>
      <c r="E1571" t="s">
        <v>1364</v>
      </c>
      <c r="F1571" t="s">
        <v>1372</v>
      </c>
      <c r="G1571">
        <v>-70</v>
      </c>
      <c r="H1571">
        <v>3184</v>
      </c>
      <c r="K1571" t="s">
        <v>1383</v>
      </c>
    </row>
    <row r="1572" spans="1:11" x14ac:dyDescent="0.25">
      <c r="A1572" s="40">
        <v>45806.448171296295</v>
      </c>
      <c r="B1572" t="s">
        <v>1480</v>
      </c>
      <c r="C1572" t="s">
        <v>456</v>
      </c>
      <c r="D1572" t="s">
        <v>457</v>
      </c>
      <c r="E1572" t="s">
        <v>1364</v>
      </c>
      <c r="F1572" t="s">
        <v>1372</v>
      </c>
      <c r="G1572">
        <v>-295</v>
      </c>
      <c r="H1572">
        <v>3607</v>
      </c>
      <c r="K1572" t="s">
        <v>1383</v>
      </c>
    </row>
    <row r="1573" spans="1:11" x14ac:dyDescent="0.25">
      <c r="A1573" s="40">
        <v>45806.448171296295</v>
      </c>
      <c r="B1573" t="s">
        <v>1480</v>
      </c>
      <c r="C1573" t="s">
        <v>462</v>
      </c>
      <c r="D1573" t="s">
        <v>463</v>
      </c>
      <c r="E1573" t="s">
        <v>1364</v>
      </c>
      <c r="F1573" t="s">
        <v>1372</v>
      </c>
      <c r="G1573">
        <v>-70</v>
      </c>
      <c r="H1573">
        <v>2830</v>
      </c>
      <c r="K1573" t="s">
        <v>1383</v>
      </c>
    </row>
    <row r="1574" spans="1:11" x14ac:dyDescent="0.25">
      <c r="A1574" s="40">
        <v>45806.448171296295</v>
      </c>
      <c r="B1574" t="s">
        <v>1480</v>
      </c>
      <c r="C1574" t="s">
        <v>437</v>
      </c>
      <c r="D1574" t="s">
        <v>438</v>
      </c>
      <c r="E1574" t="s">
        <v>1364</v>
      </c>
      <c r="F1574" t="s">
        <v>1372</v>
      </c>
      <c r="G1574">
        <v>-45</v>
      </c>
      <c r="H1574">
        <v>2820</v>
      </c>
      <c r="K1574" t="s">
        <v>1383</v>
      </c>
    </row>
    <row r="1575" spans="1:11" x14ac:dyDescent="0.25">
      <c r="A1575" s="40">
        <v>45806.448171296295</v>
      </c>
      <c r="B1575" t="s">
        <v>1480</v>
      </c>
      <c r="C1575" t="s">
        <v>1353</v>
      </c>
      <c r="E1575" t="s">
        <v>1365</v>
      </c>
      <c r="F1575" t="s">
        <v>1372</v>
      </c>
      <c r="G1575">
        <v>-600</v>
      </c>
      <c r="H1575">
        <v>-341</v>
      </c>
      <c r="K1575" t="s">
        <v>1383</v>
      </c>
    </row>
    <row r="1576" spans="1:11" x14ac:dyDescent="0.25">
      <c r="A1576" s="40">
        <v>45806.448171296295</v>
      </c>
      <c r="B1576" t="s">
        <v>1480</v>
      </c>
      <c r="C1576" t="s">
        <v>326</v>
      </c>
      <c r="D1576" t="s">
        <v>327</v>
      </c>
      <c r="E1576" t="s">
        <v>1364</v>
      </c>
      <c r="F1576" t="s">
        <v>1372</v>
      </c>
      <c r="G1576">
        <v>-45</v>
      </c>
      <c r="H1576">
        <v>2020</v>
      </c>
      <c r="K1576" t="s">
        <v>1383</v>
      </c>
    </row>
    <row r="1577" spans="1:11" x14ac:dyDescent="0.25">
      <c r="A1577" s="40">
        <v>45806.448171296295</v>
      </c>
      <c r="B1577" t="s">
        <v>1480</v>
      </c>
      <c r="C1577" t="s">
        <v>267</v>
      </c>
      <c r="D1577" t="s">
        <v>268</v>
      </c>
      <c r="E1577" t="s">
        <v>1364</v>
      </c>
      <c r="F1577" t="s">
        <v>1372</v>
      </c>
      <c r="G1577">
        <v>-45</v>
      </c>
      <c r="H1577">
        <v>655</v>
      </c>
      <c r="K1577" t="s">
        <v>1383</v>
      </c>
    </row>
    <row r="1578" spans="1:11" x14ac:dyDescent="0.25">
      <c r="A1578" s="40">
        <v>45806.448171296295</v>
      </c>
      <c r="B1578" t="s">
        <v>1480</v>
      </c>
      <c r="C1578" t="s">
        <v>360</v>
      </c>
      <c r="D1578" t="s">
        <v>361</v>
      </c>
      <c r="E1578" t="s">
        <v>1364</v>
      </c>
      <c r="F1578" t="s">
        <v>1372</v>
      </c>
      <c r="G1578">
        <v>-45</v>
      </c>
      <c r="H1578">
        <v>696</v>
      </c>
      <c r="K1578" t="s">
        <v>1383</v>
      </c>
    </row>
    <row r="1579" spans="1:11" x14ac:dyDescent="0.25">
      <c r="A1579" s="40">
        <v>45806.448171296295</v>
      </c>
      <c r="B1579" t="s">
        <v>1480</v>
      </c>
      <c r="C1579" t="s">
        <v>364</v>
      </c>
      <c r="D1579" t="s">
        <v>365</v>
      </c>
      <c r="E1579" t="s">
        <v>1364</v>
      </c>
      <c r="F1579" t="s">
        <v>1372</v>
      </c>
      <c r="G1579">
        <v>-45</v>
      </c>
      <c r="H1579">
        <v>2855</v>
      </c>
      <c r="K1579" t="s">
        <v>1383</v>
      </c>
    </row>
    <row r="1580" spans="1:11" x14ac:dyDescent="0.25">
      <c r="A1580" s="40">
        <v>45806.448171296295</v>
      </c>
      <c r="B1580" t="s">
        <v>1480</v>
      </c>
      <c r="C1580" t="s">
        <v>412</v>
      </c>
      <c r="D1580" t="s">
        <v>413</v>
      </c>
      <c r="E1580" t="s">
        <v>1364</v>
      </c>
      <c r="F1580" t="s">
        <v>1372</v>
      </c>
      <c r="G1580">
        <v>-105</v>
      </c>
      <c r="H1580">
        <v>3418</v>
      </c>
      <c r="K1580" t="s">
        <v>1383</v>
      </c>
    </row>
    <row r="1581" spans="1:11" x14ac:dyDescent="0.25">
      <c r="A1581" s="40">
        <v>45806.448171296295</v>
      </c>
      <c r="B1581" t="s">
        <v>1480</v>
      </c>
      <c r="C1581" t="s">
        <v>260</v>
      </c>
      <c r="D1581" t="s">
        <v>261</v>
      </c>
      <c r="E1581" t="s">
        <v>1364</v>
      </c>
      <c r="F1581" t="s">
        <v>1372</v>
      </c>
      <c r="G1581">
        <v>-70</v>
      </c>
      <c r="H1581">
        <v>138</v>
      </c>
      <c r="K1581" t="s">
        <v>1383</v>
      </c>
    </row>
    <row r="1582" spans="1:11" x14ac:dyDescent="0.25">
      <c r="A1582" s="40">
        <v>45806.448171296295</v>
      </c>
      <c r="B1582" t="s">
        <v>1480</v>
      </c>
      <c r="C1582" t="s">
        <v>8</v>
      </c>
      <c r="D1582" t="s">
        <v>311</v>
      </c>
      <c r="E1582" t="s">
        <v>1364</v>
      </c>
      <c r="F1582" t="s">
        <v>1372</v>
      </c>
      <c r="G1582">
        <v>-1260</v>
      </c>
      <c r="H1582">
        <v>2236</v>
      </c>
      <c r="K1582" t="s">
        <v>1383</v>
      </c>
    </row>
    <row r="1583" spans="1:11" x14ac:dyDescent="0.25">
      <c r="A1583" s="40">
        <v>45806.448171296295</v>
      </c>
      <c r="B1583" t="s">
        <v>1480</v>
      </c>
      <c r="C1583" t="s">
        <v>328</v>
      </c>
      <c r="D1583" t="s">
        <v>329</v>
      </c>
      <c r="E1583" t="s">
        <v>1364</v>
      </c>
      <c r="F1583" t="s">
        <v>1372</v>
      </c>
      <c r="G1583">
        <v>-70</v>
      </c>
      <c r="H1583">
        <v>3332</v>
      </c>
      <c r="K1583" t="s">
        <v>1383</v>
      </c>
    </row>
    <row r="1584" spans="1:11" x14ac:dyDescent="0.25">
      <c r="A1584" s="40">
        <v>45806.448171296295</v>
      </c>
      <c r="B1584" t="s">
        <v>1480</v>
      </c>
      <c r="C1584" t="s">
        <v>458</v>
      </c>
      <c r="D1584" t="s">
        <v>459</v>
      </c>
      <c r="E1584" t="s">
        <v>1364</v>
      </c>
      <c r="F1584" t="s">
        <v>1372</v>
      </c>
      <c r="G1584">
        <v>-45</v>
      </c>
      <c r="H1584">
        <v>3755</v>
      </c>
      <c r="K1584" t="s">
        <v>1383</v>
      </c>
    </row>
    <row r="1585" spans="1:11" x14ac:dyDescent="0.25">
      <c r="A1585" s="40">
        <v>45806.448171296295</v>
      </c>
      <c r="B1585" t="s">
        <v>1480</v>
      </c>
      <c r="C1585" t="s">
        <v>426</v>
      </c>
      <c r="D1585" t="s">
        <v>427</v>
      </c>
      <c r="E1585" t="s">
        <v>1364</v>
      </c>
      <c r="F1585" t="s">
        <v>1372</v>
      </c>
      <c r="G1585">
        <v>-70</v>
      </c>
      <c r="H1585">
        <v>5134</v>
      </c>
      <c r="K1585" t="s">
        <v>1383</v>
      </c>
    </row>
    <row r="1586" spans="1:11" x14ac:dyDescent="0.25">
      <c r="A1586" s="40">
        <v>45806.448171296295</v>
      </c>
      <c r="B1586" t="s">
        <v>1480</v>
      </c>
      <c r="C1586" t="s">
        <v>275</v>
      </c>
      <c r="D1586" t="s">
        <v>276</v>
      </c>
      <c r="E1586" t="s">
        <v>1364</v>
      </c>
      <c r="F1586" t="s">
        <v>1372</v>
      </c>
      <c r="G1586">
        <v>-45</v>
      </c>
      <c r="H1586">
        <v>2655</v>
      </c>
      <c r="K1586" t="s">
        <v>1383</v>
      </c>
    </row>
    <row r="1587" spans="1:11" x14ac:dyDescent="0.25">
      <c r="A1587" s="40">
        <v>45806.448171296295</v>
      </c>
      <c r="B1587" t="s">
        <v>1480</v>
      </c>
      <c r="C1587" t="s">
        <v>435</v>
      </c>
      <c r="D1587" t="s">
        <v>436</v>
      </c>
      <c r="E1587" t="s">
        <v>1364</v>
      </c>
      <c r="F1587" t="s">
        <v>1372</v>
      </c>
      <c r="G1587">
        <v>-105</v>
      </c>
      <c r="H1587">
        <v>4676</v>
      </c>
      <c r="K1587" t="s">
        <v>1383</v>
      </c>
    </row>
    <row r="1588" spans="1:11" x14ac:dyDescent="0.25">
      <c r="A1588" s="40">
        <v>45806.448171296295</v>
      </c>
      <c r="B1588" t="s">
        <v>1480</v>
      </c>
      <c r="C1588" t="s">
        <v>330</v>
      </c>
      <c r="D1588" t="s">
        <v>331</v>
      </c>
      <c r="E1588" t="s">
        <v>1364</v>
      </c>
      <c r="F1588" t="s">
        <v>1372</v>
      </c>
      <c r="G1588">
        <v>-985</v>
      </c>
      <c r="H1588">
        <v>3613</v>
      </c>
      <c r="K1588" t="s">
        <v>1383</v>
      </c>
    </row>
    <row r="1589" spans="1:11" x14ac:dyDescent="0.25">
      <c r="A1589" s="40">
        <v>45806.448171296295</v>
      </c>
      <c r="B1589" t="s">
        <v>1480</v>
      </c>
      <c r="C1589" t="s">
        <v>75</v>
      </c>
      <c r="D1589" t="s">
        <v>251</v>
      </c>
      <c r="E1589" t="s">
        <v>1364</v>
      </c>
      <c r="F1589" t="s">
        <v>1372</v>
      </c>
      <c r="G1589">
        <v>-45</v>
      </c>
      <c r="H1589">
        <v>2784</v>
      </c>
      <c r="K1589" t="s">
        <v>1383</v>
      </c>
    </row>
    <row r="1590" spans="1:11" x14ac:dyDescent="0.25">
      <c r="A1590" s="40">
        <v>45806.448171296295</v>
      </c>
      <c r="B1590" t="s">
        <v>1480</v>
      </c>
      <c r="C1590" t="s">
        <v>10</v>
      </c>
      <c r="D1590" t="s">
        <v>332</v>
      </c>
      <c r="E1590" t="s">
        <v>1364</v>
      </c>
      <c r="F1590" t="s">
        <v>1372</v>
      </c>
      <c r="G1590">
        <v>-45</v>
      </c>
      <c r="H1590">
        <v>8026</v>
      </c>
      <c r="K1590" t="s">
        <v>1383</v>
      </c>
    </row>
    <row r="1591" spans="1:11" x14ac:dyDescent="0.25">
      <c r="A1591" s="40">
        <v>45806.448171296295</v>
      </c>
      <c r="B1591" t="s">
        <v>1480</v>
      </c>
      <c r="C1591" t="s">
        <v>64</v>
      </c>
      <c r="D1591" t="s">
        <v>356</v>
      </c>
      <c r="E1591" t="s">
        <v>1364</v>
      </c>
      <c r="F1591" t="s">
        <v>1372</v>
      </c>
      <c r="G1591">
        <v>-70</v>
      </c>
      <c r="H1591">
        <v>3862</v>
      </c>
      <c r="K1591" t="s">
        <v>1383</v>
      </c>
    </row>
    <row r="1592" spans="1:11" x14ac:dyDescent="0.25">
      <c r="A1592" s="40">
        <v>45806.448171296295</v>
      </c>
      <c r="B1592" t="s">
        <v>1480</v>
      </c>
      <c r="C1592" t="s">
        <v>418</v>
      </c>
      <c r="D1592" t="s">
        <v>419</v>
      </c>
      <c r="E1592" t="s">
        <v>1364</v>
      </c>
      <c r="F1592" t="s">
        <v>1372</v>
      </c>
      <c r="G1592">
        <v>-1725</v>
      </c>
      <c r="H1592">
        <v>892</v>
      </c>
      <c r="K1592" t="s">
        <v>1383</v>
      </c>
    </row>
    <row r="1593" spans="1:11" x14ac:dyDescent="0.25">
      <c r="A1593" s="40">
        <v>45806.448171296295</v>
      </c>
      <c r="B1593" t="s">
        <v>1480</v>
      </c>
      <c r="C1593" t="s">
        <v>277</v>
      </c>
      <c r="D1593" t="s">
        <v>278</v>
      </c>
      <c r="E1593" t="s">
        <v>1364</v>
      </c>
      <c r="F1593" t="s">
        <v>1372</v>
      </c>
      <c r="G1593">
        <v>-70</v>
      </c>
      <c r="H1593">
        <v>2434</v>
      </c>
      <c r="K1593" t="s">
        <v>1383</v>
      </c>
    </row>
    <row r="1594" spans="1:11" x14ac:dyDescent="0.25">
      <c r="A1594" s="40">
        <v>45806.448171296295</v>
      </c>
      <c r="B1594" t="s">
        <v>1480</v>
      </c>
      <c r="C1594" t="s">
        <v>102</v>
      </c>
      <c r="D1594" t="s">
        <v>508</v>
      </c>
      <c r="E1594" t="s">
        <v>1364</v>
      </c>
      <c r="F1594" t="s">
        <v>1372</v>
      </c>
      <c r="G1594">
        <v>-265</v>
      </c>
      <c r="H1594">
        <v>4609</v>
      </c>
      <c r="K1594" t="s">
        <v>1383</v>
      </c>
    </row>
    <row r="1595" spans="1:11" x14ac:dyDescent="0.25">
      <c r="A1595" s="40">
        <v>45806.448171296295</v>
      </c>
      <c r="B1595" t="s">
        <v>1480</v>
      </c>
      <c r="C1595" t="s">
        <v>62</v>
      </c>
      <c r="D1595" t="s">
        <v>354</v>
      </c>
      <c r="E1595" t="s">
        <v>1364</v>
      </c>
      <c r="F1595" t="s">
        <v>1372</v>
      </c>
      <c r="G1595">
        <v>-70</v>
      </c>
      <c r="H1595">
        <v>3869</v>
      </c>
      <c r="K1595" t="s">
        <v>1383</v>
      </c>
    </row>
    <row r="1596" spans="1:11" x14ac:dyDescent="0.25">
      <c r="A1596" s="40">
        <v>45806.448171296295</v>
      </c>
      <c r="B1596" t="s">
        <v>1480</v>
      </c>
      <c r="C1596" t="s">
        <v>339</v>
      </c>
      <c r="D1596" t="s">
        <v>340</v>
      </c>
      <c r="E1596" t="s">
        <v>1364</v>
      </c>
      <c r="F1596" t="s">
        <v>1372</v>
      </c>
      <c r="G1596">
        <v>-45</v>
      </c>
      <c r="H1596">
        <v>2315</v>
      </c>
      <c r="K1596" t="s">
        <v>1383</v>
      </c>
    </row>
    <row r="1597" spans="1:11" x14ac:dyDescent="0.25">
      <c r="A1597" s="40">
        <v>45806.448171296295</v>
      </c>
      <c r="B1597" t="s">
        <v>1480</v>
      </c>
      <c r="C1597" t="s">
        <v>414</v>
      </c>
      <c r="D1597" t="s">
        <v>415</v>
      </c>
      <c r="E1597" t="s">
        <v>1364</v>
      </c>
      <c r="F1597" t="s">
        <v>1372</v>
      </c>
      <c r="G1597">
        <v>-105</v>
      </c>
      <c r="H1597">
        <v>3850</v>
      </c>
      <c r="K1597" t="s">
        <v>1383</v>
      </c>
    </row>
    <row r="1598" spans="1:11" x14ac:dyDescent="0.25">
      <c r="A1598" s="40">
        <v>45806.448171296295</v>
      </c>
      <c r="B1598" t="s">
        <v>1480</v>
      </c>
      <c r="C1598" t="s">
        <v>335</v>
      </c>
      <c r="D1598" t="s">
        <v>336</v>
      </c>
      <c r="E1598" t="s">
        <v>1364</v>
      </c>
      <c r="F1598" t="s">
        <v>1372</v>
      </c>
      <c r="G1598">
        <v>-45</v>
      </c>
      <c r="H1598">
        <v>5621</v>
      </c>
      <c r="K1598" t="s">
        <v>1383</v>
      </c>
    </row>
    <row r="1599" spans="1:11" x14ac:dyDescent="0.25">
      <c r="A1599" s="40">
        <v>45806.448171296295</v>
      </c>
      <c r="B1599" t="s">
        <v>1480</v>
      </c>
      <c r="C1599" t="s">
        <v>89</v>
      </c>
      <c r="D1599" t="s">
        <v>359</v>
      </c>
      <c r="E1599" t="s">
        <v>1364</v>
      </c>
      <c r="F1599" t="s">
        <v>1372</v>
      </c>
      <c r="G1599">
        <v>-185</v>
      </c>
      <c r="H1599">
        <v>2823</v>
      </c>
      <c r="K1599" t="s">
        <v>1383</v>
      </c>
    </row>
    <row r="1600" spans="1:11" x14ac:dyDescent="0.25">
      <c r="A1600" s="40">
        <v>45806.448171296295</v>
      </c>
      <c r="B1600" t="s">
        <v>1480</v>
      </c>
      <c r="C1600" t="s">
        <v>18</v>
      </c>
      <c r="D1600" t="s">
        <v>487</v>
      </c>
      <c r="E1600" t="s">
        <v>1364</v>
      </c>
      <c r="F1600" t="s">
        <v>1372</v>
      </c>
      <c r="G1600">
        <v>-370</v>
      </c>
      <c r="H1600">
        <v>9727</v>
      </c>
      <c r="K1600" t="s">
        <v>1383</v>
      </c>
    </row>
    <row r="1601" spans="1:11" x14ac:dyDescent="0.25">
      <c r="A1601" s="40">
        <v>45806.448171296295</v>
      </c>
      <c r="B1601" t="s">
        <v>1480</v>
      </c>
      <c r="C1601" t="s">
        <v>16</v>
      </c>
      <c r="D1601" t="s">
        <v>484</v>
      </c>
      <c r="E1601" t="s">
        <v>1364</v>
      </c>
      <c r="F1601" t="s">
        <v>1372</v>
      </c>
      <c r="G1601">
        <v>-315</v>
      </c>
      <c r="H1601">
        <v>2185</v>
      </c>
      <c r="K1601" t="s">
        <v>1383</v>
      </c>
    </row>
    <row r="1602" spans="1:11" x14ac:dyDescent="0.25">
      <c r="A1602" s="40">
        <v>45806.448171296295</v>
      </c>
      <c r="B1602" t="s">
        <v>1480</v>
      </c>
      <c r="C1602" t="s">
        <v>1352</v>
      </c>
      <c r="E1602" t="s">
        <v>1365</v>
      </c>
      <c r="F1602" t="s">
        <v>1372</v>
      </c>
      <c r="G1602">
        <v>-985</v>
      </c>
      <c r="H1602">
        <v>-186</v>
      </c>
      <c r="K1602" t="s">
        <v>1383</v>
      </c>
    </row>
    <row r="1603" spans="1:11" x14ac:dyDescent="0.25">
      <c r="A1603" s="40">
        <v>45806.448171296295</v>
      </c>
      <c r="B1603" t="s">
        <v>1480</v>
      </c>
      <c r="C1603" t="s">
        <v>324</v>
      </c>
      <c r="D1603" t="s">
        <v>325</v>
      </c>
      <c r="E1603" t="s">
        <v>1364</v>
      </c>
      <c r="F1603" t="s">
        <v>1372</v>
      </c>
      <c r="G1603">
        <v>-75</v>
      </c>
      <c r="H1603">
        <v>2015</v>
      </c>
      <c r="K1603" t="s">
        <v>1383</v>
      </c>
    </row>
    <row r="1604" spans="1:11" x14ac:dyDescent="0.25">
      <c r="A1604" s="40">
        <v>45806.448171296295</v>
      </c>
      <c r="B1604" t="s">
        <v>1480</v>
      </c>
      <c r="C1604" t="s">
        <v>39</v>
      </c>
      <c r="D1604" t="s">
        <v>387</v>
      </c>
      <c r="E1604" t="s">
        <v>1364</v>
      </c>
      <c r="F1604" t="s">
        <v>1372</v>
      </c>
      <c r="G1604">
        <v>-160</v>
      </c>
      <c r="H1604">
        <v>6623</v>
      </c>
      <c r="K1604" t="s">
        <v>1383</v>
      </c>
    </row>
    <row r="1605" spans="1:11" x14ac:dyDescent="0.25">
      <c r="A1605" s="40">
        <v>45806.448171296295</v>
      </c>
      <c r="B1605" t="s">
        <v>1480</v>
      </c>
      <c r="C1605" t="s">
        <v>424</v>
      </c>
      <c r="D1605" t="s">
        <v>425</v>
      </c>
      <c r="E1605" t="s">
        <v>1364</v>
      </c>
      <c r="F1605" t="s">
        <v>1372</v>
      </c>
      <c r="G1605">
        <v>-70</v>
      </c>
      <c r="H1605">
        <v>3730</v>
      </c>
      <c r="K1605" t="s">
        <v>1383</v>
      </c>
    </row>
    <row r="1606" spans="1:11" x14ac:dyDescent="0.25">
      <c r="A1606" s="40">
        <v>45806.448171296295</v>
      </c>
      <c r="B1606" t="s">
        <v>1480</v>
      </c>
      <c r="C1606" t="s">
        <v>230</v>
      </c>
      <c r="D1606" t="s">
        <v>255</v>
      </c>
      <c r="E1606" t="s">
        <v>1364</v>
      </c>
      <c r="F1606" t="s">
        <v>1372</v>
      </c>
      <c r="G1606">
        <v>-105</v>
      </c>
      <c r="H1606">
        <v>5185</v>
      </c>
      <c r="K1606" t="s">
        <v>1383</v>
      </c>
    </row>
    <row r="1607" spans="1:11" x14ac:dyDescent="0.25">
      <c r="A1607" s="40">
        <v>45806.448171296295</v>
      </c>
      <c r="B1607" t="s">
        <v>1480</v>
      </c>
      <c r="C1607" t="s">
        <v>68</v>
      </c>
      <c r="D1607" t="s">
        <v>374</v>
      </c>
      <c r="E1607" t="s">
        <v>1364</v>
      </c>
      <c r="F1607" t="s">
        <v>1372</v>
      </c>
      <c r="G1607">
        <v>-1010</v>
      </c>
      <c r="H1607">
        <v>2209</v>
      </c>
      <c r="K1607" t="s">
        <v>1383</v>
      </c>
    </row>
    <row r="1608" spans="1:11" x14ac:dyDescent="0.25">
      <c r="A1608" s="40">
        <v>45806.448171296295</v>
      </c>
      <c r="B1608" t="s">
        <v>1480</v>
      </c>
      <c r="C1608" t="s">
        <v>445</v>
      </c>
      <c r="D1608" t="s">
        <v>446</v>
      </c>
      <c r="E1608" t="s">
        <v>1364</v>
      </c>
      <c r="F1608" t="s">
        <v>1372</v>
      </c>
      <c r="G1608">
        <v>-70</v>
      </c>
      <c r="H1608">
        <v>3430</v>
      </c>
      <c r="K1608" t="s">
        <v>1383</v>
      </c>
    </row>
    <row r="1609" spans="1:11" x14ac:dyDescent="0.25">
      <c r="A1609" s="40">
        <v>45806.448171296295</v>
      </c>
      <c r="B1609" t="s">
        <v>1480</v>
      </c>
      <c r="C1609" t="s">
        <v>304</v>
      </c>
      <c r="D1609" t="s">
        <v>305</v>
      </c>
      <c r="E1609" t="s">
        <v>1364</v>
      </c>
      <c r="F1609" t="s">
        <v>1372</v>
      </c>
      <c r="G1609">
        <v>-45</v>
      </c>
      <c r="H1609">
        <v>2981</v>
      </c>
      <c r="K1609" t="s">
        <v>1383</v>
      </c>
    </row>
    <row r="1610" spans="1:11" x14ac:dyDescent="0.25">
      <c r="A1610" s="40">
        <v>45806.448171296295</v>
      </c>
      <c r="B1610" t="s">
        <v>1480</v>
      </c>
      <c r="C1610" t="s">
        <v>46</v>
      </c>
      <c r="D1610" t="s">
        <v>394</v>
      </c>
      <c r="E1610" t="s">
        <v>1364</v>
      </c>
      <c r="F1610" t="s">
        <v>1372</v>
      </c>
      <c r="G1610">
        <v>-70</v>
      </c>
      <c r="H1610">
        <v>3590</v>
      </c>
      <c r="K1610" t="s">
        <v>1383</v>
      </c>
    </row>
    <row r="1611" spans="1:11" x14ac:dyDescent="0.25">
      <c r="A1611" s="40">
        <v>45806.448171296295</v>
      </c>
      <c r="B1611" t="s">
        <v>1480</v>
      </c>
      <c r="C1611" t="s">
        <v>300</v>
      </c>
      <c r="D1611" t="s">
        <v>301</v>
      </c>
      <c r="E1611" t="s">
        <v>1364</v>
      </c>
      <c r="F1611" t="s">
        <v>1372</v>
      </c>
      <c r="G1611">
        <v>-185</v>
      </c>
      <c r="H1611">
        <v>1675</v>
      </c>
      <c r="K1611" t="s">
        <v>1383</v>
      </c>
    </row>
    <row r="1612" spans="1:11" x14ac:dyDescent="0.25">
      <c r="A1612" s="40">
        <v>45806.448171296295</v>
      </c>
      <c r="B1612" t="s">
        <v>1480</v>
      </c>
      <c r="C1612" t="s">
        <v>63</v>
      </c>
      <c r="D1612" t="s">
        <v>355</v>
      </c>
      <c r="E1612" t="s">
        <v>1364</v>
      </c>
      <c r="F1612" t="s">
        <v>1372</v>
      </c>
      <c r="G1612">
        <v>-45</v>
      </c>
      <c r="H1612">
        <v>3707</v>
      </c>
      <c r="K1612" t="s">
        <v>1383</v>
      </c>
    </row>
    <row r="1613" spans="1:11" x14ac:dyDescent="0.25">
      <c r="A1613" s="40">
        <v>45806.448171296295</v>
      </c>
      <c r="B1613" t="s">
        <v>1480</v>
      </c>
      <c r="C1613" t="s">
        <v>416</v>
      </c>
      <c r="D1613" t="s">
        <v>417</v>
      </c>
      <c r="E1613" t="s">
        <v>1364</v>
      </c>
      <c r="F1613" t="s">
        <v>1372</v>
      </c>
      <c r="G1613">
        <v>-375</v>
      </c>
      <c r="H1613">
        <v>1604</v>
      </c>
      <c r="K1613" t="s">
        <v>1383</v>
      </c>
    </row>
    <row r="1614" spans="1:11" x14ac:dyDescent="0.25">
      <c r="A1614" s="40">
        <v>45806.448171296295</v>
      </c>
      <c r="B1614" t="s">
        <v>1480</v>
      </c>
      <c r="C1614" t="s">
        <v>82</v>
      </c>
      <c r="D1614" t="s">
        <v>318</v>
      </c>
      <c r="E1614" t="s">
        <v>1364</v>
      </c>
      <c r="F1614" t="s">
        <v>1372</v>
      </c>
      <c r="G1614">
        <v>-1300</v>
      </c>
      <c r="H1614">
        <v>-1267</v>
      </c>
      <c r="K1614" t="s">
        <v>1383</v>
      </c>
    </row>
    <row r="1615" spans="1:11" x14ac:dyDescent="0.25">
      <c r="A1615" s="40">
        <v>45806.448171296295</v>
      </c>
      <c r="B1615" t="s">
        <v>1480</v>
      </c>
      <c r="C1615" t="s">
        <v>26</v>
      </c>
      <c r="D1615" t="s">
        <v>380</v>
      </c>
      <c r="E1615" t="s">
        <v>1364</v>
      </c>
      <c r="F1615" t="s">
        <v>1372</v>
      </c>
      <c r="G1615">
        <v>-45</v>
      </c>
      <c r="H1615">
        <v>3562</v>
      </c>
      <c r="K1615" t="s">
        <v>1383</v>
      </c>
    </row>
    <row r="1616" spans="1:11" x14ac:dyDescent="0.25">
      <c r="A1616" s="40">
        <v>45806.448171296295</v>
      </c>
      <c r="B1616" t="s">
        <v>1480</v>
      </c>
      <c r="C1616" t="s">
        <v>281</v>
      </c>
      <c r="D1616" t="s">
        <v>282</v>
      </c>
      <c r="E1616" t="s">
        <v>1364</v>
      </c>
      <c r="F1616" t="s">
        <v>1372</v>
      </c>
      <c r="G1616">
        <v>-70</v>
      </c>
      <c r="H1616">
        <v>1900</v>
      </c>
      <c r="K1616" t="s">
        <v>1383</v>
      </c>
    </row>
    <row r="1617" spans="1:11" x14ac:dyDescent="0.25">
      <c r="A1617" s="40">
        <v>45806.448171296295</v>
      </c>
      <c r="B1617" t="s">
        <v>1480</v>
      </c>
      <c r="C1617" t="s">
        <v>56</v>
      </c>
      <c r="D1617" t="s">
        <v>313</v>
      </c>
      <c r="E1617" t="s">
        <v>1364</v>
      </c>
      <c r="F1617" t="s">
        <v>1372</v>
      </c>
      <c r="G1617">
        <v>-160</v>
      </c>
      <c r="H1617">
        <v>-113</v>
      </c>
      <c r="K1617" t="s">
        <v>1383</v>
      </c>
    </row>
    <row r="1618" spans="1:11" x14ac:dyDescent="0.25">
      <c r="A1618" s="40">
        <v>45806.448171296295</v>
      </c>
      <c r="B1618" t="s">
        <v>1480</v>
      </c>
      <c r="C1618" t="s">
        <v>343</v>
      </c>
      <c r="D1618" t="s">
        <v>344</v>
      </c>
      <c r="E1618" t="s">
        <v>1364</v>
      </c>
      <c r="F1618" t="s">
        <v>1372</v>
      </c>
      <c r="G1618">
        <v>-250</v>
      </c>
      <c r="H1618">
        <v>2312</v>
      </c>
      <c r="K1618" t="s">
        <v>1383</v>
      </c>
    </row>
    <row r="1619" spans="1:11" x14ac:dyDescent="0.25">
      <c r="A1619" s="40">
        <v>45806.448171296295</v>
      </c>
      <c r="B1619" t="s">
        <v>1480</v>
      </c>
      <c r="C1619" t="s">
        <v>2</v>
      </c>
      <c r="D1619" t="s">
        <v>266</v>
      </c>
      <c r="E1619" t="s">
        <v>1364</v>
      </c>
      <c r="F1619" t="s">
        <v>1372</v>
      </c>
      <c r="G1619">
        <v>-240</v>
      </c>
      <c r="H1619">
        <v>3721</v>
      </c>
      <c r="K1619" t="s">
        <v>1383</v>
      </c>
    </row>
    <row r="1620" spans="1:11" x14ac:dyDescent="0.25">
      <c r="A1620" s="40">
        <v>45806.448171296295</v>
      </c>
      <c r="B1620" t="s">
        <v>1480</v>
      </c>
      <c r="C1620" t="s">
        <v>78</v>
      </c>
      <c r="D1620" t="s">
        <v>254</v>
      </c>
      <c r="E1620" t="s">
        <v>1364</v>
      </c>
      <c r="F1620" t="s">
        <v>1372</v>
      </c>
      <c r="G1620">
        <v>-210</v>
      </c>
      <c r="H1620">
        <v>3590</v>
      </c>
      <c r="K1620" t="s">
        <v>1383</v>
      </c>
    </row>
    <row r="1621" spans="1:11" x14ac:dyDescent="0.25">
      <c r="A1621" s="40">
        <v>45806.448171296295</v>
      </c>
      <c r="B1621" t="s">
        <v>1480</v>
      </c>
      <c r="C1621" t="s">
        <v>55</v>
      </c>
      <c r="D1621" t="s">
        <v>312</v>
      </c>
      <c r="E1621" t="s">
        <v>1364</v>
      </c>
      <c r="F1621" t="s">
        <v>1372</v>
      </c>
      <c r="G1621">
        <v>-70</v>
      </c>
      <c r="H1621">
        <v>1560</v>
      </c>
      <c r="K1621" t="s">
        <v>1383</v>
      </c>
    </row>
    <row r="1622" spans="1:11" x14ac:dyDescent="0.25">
      <c r="A1622" s="40">
        <v>45806.448171296295</v>
      </c>
      <c r="B1622" t="s">
        <v>1480</v>
      </c>
      <c r="C1622" t="s">
        <v>96</v>
      </c>
      <c r="D1622" t="s">
        <v>406</v>
      </c>
      <c r="E1622" t="s">
        <v>1364</v>
      </c>
      <c r="F1622" t="s">
        <v>1372</v>
      </c>
      <c r="G1622">
        <v>-880</v>
      </c>
      <c r="H1622">
        <v>2095</v>
      </c>
      <c r="K1622" t="s">
        <v>1383</v>
      </c>
    </row>
    <row r="1623" spans="1:11" x14ac:dyDescent="0.25">
      <c r="A1623" s="40">
        <v>45806.448171296295</v>
      </c>
      <c r="B1623" t="s">
        <v>1480</v>
      </c>
      <c r="C1623" t="s">
        <v>370</v>
      </c>
      <c r="D1623" t="s">
        <v>371</v>
      </c>
      <c r="E1623" t="s">
        <v>1364</v>
      </c>
      <c r="F1623" t="s">
        <v>1372</v>
      </c>
      <c r="G1623">
        <v>-210</v>
      </c>
      <c r="H1623">
        <v>3020</v>
      </c>
      <c r="K1623" t="s">
        <v>1383</v>
      </c>
    </row>
    <row r="1624" spans="1:11" x14ac:dyDescent="0.25">
      <c r="A1624" s="40">
        <v>45806.448171296295</v>
      </c>
      <c r="B1624" t="s">
        <v>1480</v>
      </c>
      <c r="C1624" t="s">
        <v>38</v>
      </c>
      <c r="D1624" t="s">
        <v>386</v>
      </c>
      <c r="E1624" t="s">
        <v>1364</v>
      </c>
      <c r="F1624" t="s">
        <v>1372</v>
      </c>
      <c r="G1624">
        <v>-2825</v>
      </c>
      <c r="H1624">
        <v>30308</v>
      </c>
      <c r="K1624" t="s">
        <v>1383</v>
      </c>
    </row>
    <row r="1625" spans="1:11" x14ac:dyDescent="0.25">
      <c r="A1625" s="40">
        <v>45806.448171296295</v>
      </c>
      <c r="B1625" t="s">
        <v>1480</v>
      </c>
      <c r="C1625" t="s">
        <v>13</v>
      </c>
      <c r="D1625" t="s">
        <v>453</v>
      </c>
      <c r="E1625" t="s">
        <v>1364</v>
      </c>
      <c r="F1625" t="s">
        <v>1372</v>
      </c>
      <c r="G1625">
        <v>-135</v>
      </c>
      <c r="H1625">
        <v>2665</v>
      </c>
      <c r="K1625" t="s">
        <v>1383</v>
      </c>
    </row>
    <row r="1626" spans="1:11" x14ac:dyDescent="0.25">
      <c r="A1626" s="40">
        <v>45806.448171296295</v>
      </c>
      <c r="B1626" t="s">
        <v>1480</v>
      </c>
      <c r="C1626" t="s">
        <v>28</v>
      </c>
      <c r="D1626" t="s">
        <v>382</v>
      </c>
      <c r="E1626" t="s">
        <v>1364</v>
      </c>
      <c r="F1626" t="s">
        <v>1372</v>
      </c>
      <c r="G1626">
        <v>-45</v>
      </c>
      <c r="H1626">
        <v>3255</v>
      </c>
      <c r="K1626" t="s">
        <v>1383</v>
      </c>
    </row>
    <row r="1627" spans="1:11" x14ac:dyDescent="0.25">
      <c r="A1627" s="40">
        <v>45806.448171296295</v>
      </c>
      <c r="B1627" t="s">
        <v>1480</v>
      </c>
      <c r="C1627" t="s">
        <v>69</v>
      </c>
      <c r="D1627" t="s">
        <v>375</v>
      </c>
      <c r="E1627" t="s">
        <v>1364</v>
      </c>
      <c r="F1627" t="s">
        <v>1372</v>
      </c>
      <c r="G1627">
        <v>-985</v>
      </c>
      <c r="H1627">
        <v>7357</v>
      </c>
      <c r="K1627" t="s">
        <v>1383</v>
      </c>
    </row>
    <row r="1628" spans="1:11" x14ac:dyDescent="0.25">
      <c r="A1628" s="40">
        <v>45806.448171296295</v>
      </c>
      <c r="B1628" t="s">
        <v>1480</v>
      </c>
      <c r="C1628" t="s">
        <v>42</v>
      </c>
      <c r="D1628" t="s">
        <v>391</v>
      </c>
      <c r="E1628" t="s">
        <v>1364</v>
      </c>
      <c r="F1628" t="s">
        <v>1372</v>
      </c>
      <c r="G1628">
        <v>-45</v>
      </c>
      <c r="H1628">
        <v>2818</v>
      </c>
      <c r="K1628" t="s">
        <v>1383</v>
      </c>
    </row>
    <row r="1629" spans="1:11" x14ac:dyDescent="0.25">
      <c r="A1629" s="40">
        <v>45806.448171296295</v>
      </c>
      <c r="B1629" t="s">
        <v>1480</v>
      </c>
      <c r="C1629" t="s">
        <v>333</v>
      </c>
      <c r="D1629" t="s">
        <v>334</v>
      </c>
      <c r="E1629" t="s">
        <v>1364</v>
      </c>
      <c r="F1629" t="s">
        <v>1372</v>
      </c>
      <c r="G1629">
        <v>-70</v>
      </c>
      <c r="H1629">
        <v>2023</v>
      </c>
      <c r="K1629" t="s">
        <v>1383</v>
      </c>
    </row>
    <row r="1630" spans="1:11" x14ac:dyDescent="0.25">
      <c r="A1630" s="40">
        <v>45806.448171296295</v>
      </c>
      <c r="B1630" t="s">
        <v>1480</v>
      </c>
      <c r="C1630" t="s">
        <v>60</v>
      </c>
      <c r="D1630" t="s">
        <v>350</v>
      </c>
      <c r="E1630" t="s">
        <v>1364</v>
      </c>
      <c r="F1630" t="s">
        <v>1372</v>
      </c>
      <c r="G1630">
        <v>-475</v>
      </c>
      <c r="H1630">
        <v>6857</v>
      </c>
      <c r="K1630" t="s">
        <v>1383</v>
      </c>
    </row>
    <row r="1631" spans="1:11" x14ac:dyDescent="0.25">
      <c r="A1631" s="40">
        <v>45806.448171296295</v>
      </c>
      <c r="B1631" t="s">
        <v>1480</v>
      </c>
      <c r="C1631" t="s">
        <v>94</v>
      </c>
      <c r="D1631" t="s">
        <v>404</v>
      </c>
      <c r="E1631" t="s">
        <v>1364</v>
      </c>
      <c r="F1631" t="s">
        <v>1372</v>
      </c>
      <c r="G1631">
        <v>-425</v>
      </c>
      <c r="H1631">
        <v>5745</v>
      </c>
      <c r="K1631" t="s">
        <v>1383</v>
      </c>
    </row>
    <row r="1632" spans="1:11" x14ac:dyDescent="0.25">
      <c r="A1632" s="40">
        <v>45806.448171296295</v>
      </c>
      <c r="B1632" t="s">
        <v>1480</v>
      </c>
      <c r="C1632" t="s">
        <v>79</v>
      </c>
      <c r="D1632" t="s">
        <v>358</v>
      </c>
      <c r="E1632" t="s">
        <v>1364</v>
      </c>
      <c r="F1632" t="s">
        <v>1372</v>
      </c>
      <c r="G1632">
        <v>-160</v>
      </c>
      <c r="H1632">
        <v>2023</v>
      </c>
      <c r="K1632" t="s">
        <v>1383</v>
      </c>
    </row>
    <row r="1633" spans="1:12" x14ac:dyDescent="0.25">
      <c r="A1633" s="40">
        <v>45806.448171296295</v>
      </c>
      <c r="B1633" t="s">
        <v>1480</v>
      </c>
      <c r="C1633" t="s">
        <v>4</v>
      </c>
      <c r="D1633" t="s">
        <v>377</v>
      </c>
      <c r="E1633" t="s">
        <v>1364</v>
      </c>
      <c r="F1633" t="s">
        <v>1372</v>
      </c>
      <c r="G1633">
        <v>-45</v>
      </c>
      <c r="H1633">
        <v>6957</v>
      </c>
      <c r="K1633" t="s">
        <v>1383</v>
      </c>
    </row>
    <row r="1634" spans="1:12" x14ac:dyDescent="0.25">
      <c r="A1634" s="40">
        <v>45806.448171296295</v>
      </c>
      <c r="B1634" t="s">
        <v>1480</v>
      </c>
      <c r="C1634" t="s">
        <v>6</v>
      </c>
      <c r="D1634" t="s">
        <v>400</v>
      </c>
      <c r="E1634" t="s">
        <v>1364</v>
      </c>
      <c r="F1634" t="s">
        <v>1372</v>
      </c>
      <c r="G1634">
        <v>-45</v>
      </c>
      <c r="H1634">
        <v>7057</v>
      </c>
      <c r="K1634" t="s">
        <v>1383</v>
      </c>
    </row>
    <row r="1635" spans="1:12" x14ac:dyDescent="0.25">
      <c r="A1635" s="40">
        <v>45806.448171296295</v>
      </c>
      <c r="B1635" t="s">
        <v>1480</v>
      </c>
      <c r="C1635" t="s">
        <v>44</v>
      </c>
      <c r="D1635" t="s">
        <v>392</v>
      </c>
      <c r="E1635" t="s">
        <v>1364</v>
      </c>
      <c r="F1635" t="s">
        <v>1372</v>
      </c>
      <c r="G1635">
        <v>-160</v>
      </c>
      <c r="H1635">
        <v>10229</v>
      </c>
      <c r="K1635" t="s">
        <v>1383</v>
      </c>
    </row>
    <row r="1636" spans="1:12" x14ac:dyDescent="0.25">
      <c r="A1636" s="40">
        <v>45806.448171296295</v>
      </c>
      <c r="B1636" t="s">
        <v>1480</v>
      </c>
      <c r="C1636" t="s">
        <v>36</v>
      </c>
      <c r="D1636" t="s">
        <v>385</v>
      </c>
      <c r="E1636" t="s">
        <v>1364</v>
      </c>
      <c r="F1636" t="s">
        <v>1372</v>
      </c>
      <c r="G1636">
        <v>-3025</v>
      </c>
      <c r="H1636">
        <v>7316</v>
      </c>
      <c r="K1636" t="s">
        <v>1383</v>
      </c>
    </row>
    <row r="1637" spans="1:12" x14ac:dyDescent="0.25">
      <c r="A1637" s="40">
        <v>45806.448171296295</v>
      </c>
      <c r="B1637" t="s">
        <v>1480</v>
      </c>
      <c r="C1637" t="s">
        <v>477</v>
      </c>
      <c r="D1637" t="s">
        <v>478</v>
      </c>
      <c r="E1637" t="s">
        <v>1364</v>
      </c>
      <c r="F1637" t="s">
        <v>1372</v>
      </c>
      <c r="G1637">
        <v>-45</v>
      </c>
      <c r="H1637">
        <v>1915</v>
      </c>
      <c r="K1637" t="s">
        <v>1383</v>
      </c>
    </row>
    <row r="1638" spans="1:12" x14ac:dyDescent="0.25">
      <c r="A1638" s="40">
        <v>45806.448171296295</v>
      </c>
      <c r="B1638" t="s">
        <v>1480</v>
      </c>
      <c r="C1638" t="s">
        <v>12</v>
      </c>
      <c r="D1638" t="s">
        <v>432</v>
      </c>
      <c r="E1638" t="s">
        <v>1364</v>
      </c>
      <c r="F1638" t="s">
        <v>1372</v>
      </c>
      <c r="G1638">
        <v>-265</v>
      </c>
      <c r="H1638">
        <v>1735</v>
      </c>
      <c r="K1638" t="s">
        <v>1383</v>
      </c>
    </row>
    <row r="1639" spans="1:12" x14ac:dyDescent="0.25">
      <c r="A1639" s="40">
        <v>45806.448171296295</v>
      </c>
      <c r="B1639" t="s">
        <v>1480</v>
      </c>
      <c r="C1639" t="s">
        <v>7</v>
      </c>
      <c r="D1639" t="s">
        <v>307</v>
      </c>
      <c r="E1639" t="s">
        <v>1364</v>
      </c>
      <c r="F1639" t="s">
        <v>1372</v>
      </c>
      <c r="G1639">
        <v>-905</v>
      </c>
      <c r="H1639">
        <v>15938</v>
      </c>
      <c r="K1639" t="s">
        <v>1383</v>
      </c>
    </row>
    <row r="1640" spans="1:12" x14ac:dyDescent="0.25">
      <c r="A1640" s="40">
        <v>45806.448171296295</v>
      </c>
      <c r="B1640" t="s">
        <v>1480</v>
      </c>
      <c r="C1640" t="s">
        <v>20</v>
      </c>
      <c r="D1640" t="s">
        <v>498</v>
      </c>
      <c r="E1640" t="s">
        <v>1364</v>
      </c>
      <c r="F1640" t="s">
        <v>1372</v>
      </c>
      <c r="G1640">
        <v>-165</v>
      </c>
      <c r="H1640">
        <v>7595</v>
      </c>
      <c r="K1640" t="s">
        <v>1383</v>
      </c>
    </row>
    <row r="1641" spans="1:12" x14ac:dyDescent="0.25">
      <c r="A1641" s="40">
        <v>45806.448171296295</v>
      </c>
      <c r="B1641" t="s">
        <v>1480</v>
      </c>
      <c r="C1641" t="s">
        <v>229</v>
      </c>
      <c r="D1641" t="s">
        <v>321</v>
      </c>
      <c r="E1641" t="s">
        <v>1364</v>
      </c>
      <c r="F1641" t="s">
        <v>1372</v>
      </c>
      <c r="G1641">
        <v>-135</v>
      </c>
      <c r="H1641">
        <v>2634</v>
      </c>
      <c r="K1641" t="s">
        <v>1383</v>
      </c>
    </row>
    <row r="1642" spans="1:12" x14ac:dyDescent="0.25">
      <c r="A1642" s="40">
        <v>45806.448171296295</v>
      </c>
      <c r="B1642" t="s">
        <v>1480</v>
      </c>
      <c r="C1642" t="s">
        <v>95</v>
      </c>
      <c r="D1642" t="s">
        <v>405</v>
      </c>
      <c r="E1642" t="s">
        <v>1364</v>
      </c>
      <c r="F1642" t="s">
        <v>1372</v>
      </c>
      <c r="G1642">
        <v>-70</v>
      </c>
      <c r="H1642">
        <v>2925</v>
      </c>
      <c r="K1642" t="s">
        <v>1383</v>
      </c>
    </row>
    <row r="1643" spans="1:12" x14ac:dyDescent="0.25">
      <c r="A1643" s="40">
        <v>45806.448171296295</v>
      </c>
      <c r="B1643" t="s">
        <v>1480</v>
      </c>
      <c r="C1643" t="s">
        <v>27</v>
      </c>
      <c r="D1643" t="s">
        <v>381</v>
      </c>
      <c r="E1643" t="s">
        <v>1364</v>
      </c>
      <c r="F1643" t="s">
        <v>1372</v>
      </c>
      <c r="G1643">
        <v>-3970</v>
      </c>
      <c r="H1643">
        <v>7309</v>
      </c>
      <c r="K1643" t="s">
        <v>1383</v>
      </c>
    </row>
    <row r="1644" spans="1:12" x14ac:dyDescent="0.25">
      <c r="A1644" s="40">
        <v>45806.448171296295</v>
      </c>
      <c r="B1644" t="s">
        <v>1480</v>
      </c>
      <c r="C1644" t="s">
        <v>29</v>
      </c>
      <c r="D1644" t="s">
        <v>383</v>
      </c>
      <c r="E1644" t="s">
        <v>1364</v>
      </c>
      <c r="F1644" t="s">
        <v>1372</v>
      </c>
      <c r="G1644">
        <v>-110</v>
      </c>
      <c r="H1644">
        <v>1658</v>
      </c>
      <c r="K1644" t="s">
        <v>1383</v>
      </c>
    </row>
    <row r="1645" spans="1:12" x14ac:dyDescent="0.25">
      <c r="A1645" s="40">
        <v>45806.448171296295</v>
      </c>
      <c r="B1645" t="s">
        <v>1480</v>
      </c>
      <c r="C1645" t="s">
        <v>70</v>
      </c>
      <c r="D1645" t="s">
        <v>402</v>
      </c>
      <c r="E1645" t="s">
        <v>1364</v>
      </c>
      <c r="F1645" t="s">
        <v>1372</v>
      </c>
      <c r="G1645">
        <v>-1525</v>
      </c>
      <c r="H1645">
        <v>23330</v>
      </c>
      <c r="K1645" t="s">
        <v>1383</v>
      </c>
    </row>
    <row r="1646" spans="1:12" x14ac:dyDescent="0.25">
      <c r="A1646" s="40">
        <v>45806.448171296295</v>
      </c>
      <c r="B1646" t="s">
        <v>1480</v>
      </c>
      <c r="C1646" t="s">
        <v>47</v>
      </c>
      <c r="D1646" t="s">
        <v>395</v>
      </c>
      <c r="E1646" t="s">
        <v>1364</v>
      </c>
      <c r="F1646" t="s">
        <v>1372</v>
      </c>
      <c r="G1646">
        <v>-240</v>
      </c>
      <c r="H1646">
        <v>24919</v>
      </c>
      <c r="K1646" t="s">
        <v>1383</v>
      </c>
    </row>
    <row r="1647" spans="1:12" x14ac:dyDescent="0.25">
      <c r="A1647" s="40">
        <v>45806.448171296295</v>
      </c>
      <c r="B1647" t="s">
        <v>1480</v>
      </c>
      <c r="C1647" t="s">
        <v>1</v>
      </c>
      <c r="D1647" t="s">
        <v>250</v>
      </c>
      <c r="E1647" t="s">
        <v>1364</v>
      </c>
      <c r="F1647" t="s">
        <v>1372</v>
      </c>
      <c r="G1647">
        <v>-3015</v>
      </c>
      <c r="H1647">
        <v>3656</v>
      </c>
      <c r="K1647" t="s">
        <v>1383</v>
      </c>
    </row>
    <row r="1648" spans="1:12" x14ac:dyDescent="0.25">
      <c r="A1648" s="40">
        <v>45807.71875</v>
      </c>
      <c r="B1648" t="s">
        <v>1485</v>
      </c>
      <c r="C1648" t="s">
        <v>1483</v>
      </c>
      <c r="E1648" t="s">
        <v>1365</v>
      </c>
      <c r="F1648" t="s">
        <v>695</v>
      </c>
      <c r="G1648">
        <v>110</v>
      </c>
      <c r="H1648">
        <v>110</v>
      </c>
      <c r="I1648" t="s">
        <v>1488</v>
      </c>
      <c r="K1648" t="s">
        <v>1486</v>
      </c>
      <c r="L1648">
        <v>194.22199999999998</v>
      </c>
    </row>
    <row r="1649" spans="1:12" x14ac:dyDescent="0.25">
      <c r="A1649" s="40">
        <v>45807.71875</v>
      </c>
      <c r="B1649" t="s">
        <v>1480</v>
      </c>
      <c r="C1649" t="s">
        <v>1483</v>
      </c>
      <c r="E1649" t="s">
        <v>1365</v>
      </c>
      <c r="F1649" t="s">
        <v>1372</v>
      </c>
      <c r="G1649">
        <v>-55</v>
      </c>
      <c r="H1649">
        <v>55</v>
      </c>
      <c r="K1649" t="s">
        <v>1486</v>
      </c>
    </row>
    <row r="1650" spans="1:12" x14ac:dyDescent="0.25">
      <c r="A1650" s="40">
        <v>45807.71875</v>
      </c>
      <c r="B1650" t="s">
        <v>1478</v>
      </c>
      <c r="C1650" t="s">
        <v>1483</v>
      </c>
      <c r="E1650" t="s">
        <v>1365</v>
      </c>
      <c r="F1650" t="s">
        <v>1372</v>
      </c>
      <c r="G1650">
        <v>-22</v>
      </c>
      <c r="H1650">
        <v>33</v>
      </c>
      <c r="K1650" t="s">
        <v>1486</v>
      </c>
    </row>
    <row r="1651" spans="1:12" x14ac:dyDescent="0.25">
      <c r="A1651" s="40">
        <v>45807.44091435185</v>
      </c>
      <c r="B1651" t="s">
        <v>1480</v>
      </c>
      <c r="C1651" t="s">
        <v>1351</v>
      </c>
      <c r="E1651" t="s">
        <v>1365</v>
      </c>
      <c r="F1651" t="s">
        <v>695</v>
      </c>
      <c r="G1651">
        <v>100</v>
      </c>
      <c r="H1651">
        <v>77</v>
      </c>
      <c r="I1651" t="s">
        <v>1410</v>
      </c>
      <c r="K1651" t="s">
        <v>1465</v>
      </c>
      <c r="L1651">
        <v>1482</v>
      </c>
    </row>
    <row r="1652" spans="1:12" x14ac:dyDescent="0.25">
      <c r="A1652" s="40">
        <v>45807.44091435185</v>
      </c>
      <c r="B1652" t="s">
        <v>1480</v>
      </c>
      <c r="C1652" t="s">
        <v>1353</v>
      </c>
      <c r="E1652" t="s">
        <v>1365</v>
      </c>
      <c r="F1652" t="s">
        <v>695</v>
      </c>
      <c r="G1652">
        <v>2000</v>
      </c>
      <c r="H1652">
        <v>1659</v>
      </c>
      <c r="I1652" t="s">
        <v>698</v>
      </c>
      <c r="K1652" t="s">
        <v>1465</v>
      </c>
      <c r="L1652">
        <v>812</v>
      </c>
    </row>
    <row r="1653" spans="1:12" x14ac:dyDescent="0.25">
      <c r="A1653" s="40">
        <v>45807.44091435185</v>
      </c>
      <c r="B1653" t="s">
        <v>1480</v>
      </c>
      <c r="C1653" t="s">
        <v>82</v>
      </c>
      <c r="D1653" t="s">
        <v>318</v>
      </c>
      <c r="E1653" t="s">
        <v>1364</v>
      </c>
      <c r="F1653" t="s">
        <v>695</v>
      </c>
      <c r="G1653">
        <v>3000</v>
      </c>
      <c r="H1653">
        <v>1733</v>
      </c>
      <c r="I1653" t="s">
        <v>696</v>
      </c>
      <c r="K1653" t="s">
        <v>1465</v>
      </c>
      <c r="L1653">
        <v>40.74</v>
      </c>
    </row>
    <row r="1654" spans="1:12" x14ac:dyDescent="0.25">
      <c r="A1654" s="40">
        <v>45807.44091435185</v>
      </c>
      <c r="B1654" t="s">
        <v>1480</v>
      </c>
      <c r="C1654" t="s">
        <v>56</v>
      </c>
      <c r="D1654" t="s">
        <v>313</v>
      </c>
      <c r="E1654" t="s">
        <v>1364</v>
      </c>
      <c r="F1654" t="s">
        <v>695</v>
      </c>
      <c r="G1654">
        <v>4000</v>
      </c>
      <c r="H1654">
        <v>3887</v>
      </c>
      <c r="I1654" t="s">
        <v>696</v>
      </c>
      <c r="K1654" t="s">
        <v>1465</v>
      </c>
      <c r="L1654">
        <v>12.879999999999999</v>
      </c>
    </row>
    <row r="1655" spans="1:12" x14ac:dyDescent="0.25">
      <c r="A1655" s="40">
        <v>45807.557013888887</v>
      </c>
      <c r="B1655" t="s">
        <v>1489</v>
      </c>
      <c r="C1655" t="s">
        <v>1351</v>
      </c>
      <c r="E1655" t="s">
        <v>1365</v>
      </c>
      <c r="F1655" t="s">
        <v>1372</v>
      </c>
      <c r="G1655">
        <v>-55</v>
      </c>
      <c r="H1655">
        <v>22</v>
      </c>
      <c r="K1655" t="s">
        <v>1383</v>
      </c>
    </row>
    <row r="1656" spans="1:12" x14ac:dyDescent="0.25">
      <c r="A1656" s="40">
        <v>45807.557013888887</v>
      </c>
      <c r="B1656" t="s">
        <v>1489</v>
      </c>
      <c r="C1656" t="s">
        <v>326</v>
      </c>
      <c r="D1656" t="s">
        <v>327</v>
      </c>
      <c r="E1656" t="s">
        <v>1364</v>
      </c>
      <c r="F1656" t="s">
        <v>1372</v>
      </c>
      <c r="G1656">
        <v>-70</v>
      </c>
      <c r="H1656">
        <v>1950</v>
      </c>
      <c r="K1656" t="s">
        <v>1383</v>
      </c>
    </row>
    <row r="1657" spans="1:12" x14ac:dyDescent="0.25">
      <c r="A1657" s="40">
        <v>45807.557013888887</v>
      </c>
      <c r="B1657" t="s">
        <v>1489</v>
      </c>
      <c r="C1657" t="s">
        <v>18</v>
      </c>
      <c r="D1657" t="s">
        <v>487</v>
      </c>
      <c r="E1657" t="s">
        <v>1364</v>
      </c>
      <c r="F1657" t="s">
        <v>1372</v>
      </c>
      <c r="G1657">
        <v>-45</v>
      </c>
      <c r="H1657">
        <v>9682</v>
      </c>
      <c r="K1657" t="s">
        <v>1383</v>
      </c>
    </row>
    <row r="1658" spans="1:12" x14ac:dyDescent="0.25">
      <c r="A1658" s="40">
        <v>45807.557013888887</v>
      </c>
      <c r="B1658" t="s">
        <v>1489</v>
      </c>
      <c r="C1658" t="s">
        <v>324</v>
      </c>
      <c r="D1658" t="s">
        <v>325</v>
      </c>
      <c r="E1658" t="s">
        <v>1364</v>
      </c>
      <c r="F1658" t="s">
        <v>1372</v>
      </c>
      <c r="G1658">
        <v>-45</v>
      </c>
      <c r="H1658">
        <v>1970</v>
      </c>
      <c r="K1658" t="s">
        <v>1383</v>
      </c>
    </row>
    <row r="1659" spans="1:12" x14ac:dyDescent="0.25">
      <c r="A1659" s="40">
        <v>45807.557013888887</v>
      </c>
      <c r="B1659" t="s">
        <v>1489</v>
      </c>
      <c r="C1659" t="s">
        <v>63</v>
      </c>
      <c r="D1659" t="s">
        <v>355</v>
      </c>
      <c r="E1659" t="s">
        <v>1364</v>
      </c>
      <c r="F1659" t="s">
        <v>1372</v>
      </c>
      <c r="G1659">
        <v>-45</v>
      </c>
      <c r="H1659">
        <v>3662</v>
      </c>
      <c r="K1659" t="s">
        <v>1383</v>
      </c>
    </row>
    <row r="1660" spans="1:12" x14ac:dyDescent="0.25">
      <c r="A1660" s="40">
        <v>45807.557013888887</v>
      </c>
      <c r="B1660" t="s">
        <v>1489</v>
      </c>
      <c r="C1660" t="s">
        <v>14</v>
      </c>
      <c r="D1660" t="s">
        <v>483</v>
      </c>
      <c r="E1660" t="s">
        <v>1364</v>
      </c>
      <c r="F1660" t="s">
        <v>1372</v>
      </c>
      <c r="G1660">
        <v>-135</v>
      </c>
      <c r="H1660">
        <v>2125</v>
      </c>
      <c r="K1660" t="s">
        <v>1383</v>
      </c>
    </row>
    <row r="1661" spans="1:12" x14ac:dyDescent="0.25">
      <c r="A1661" s="40">
        <v>45807.557013888887</v>
      </c>
      <c r="B1661" t="s">
        <v>1489</v>
      </c>
      <c r="C1661" t="s">
        <v>370</v>
      </c>
      <c r="D1661" t="s">
        <v>371</v>
      </c>
      <c r="E1661" t="s">
        <v>1364</v>
      </c>
      <c r="F1661" t="s">
        <v>1372</v>
      </c>
      <c r="G1661">
        <v>-45</v>
      </c>
      <c r="H1661">
        <v>2975</v>
      </c>
      <c r="K1661" t="s">
        <v>1383</v>
      </c>
    </row>
    <row r="1662" spans="1:12" x14ac:dyDescent="0.25">
      <c r="A1662" s="40">
        <v>45807.557013888887</v>
      </c>
      <c r="B1662" t="s">
        <v>1489</v>
      </c>
      <c r="C1662" t="s">
        <v>20</v>
      </c>
      <c r="D1662" t="s">
        <v>498</v>
      </c>
      <c r="E1662" t="s">
        <v>1364</v>
      </c>
      <c r="F1662" t="s">
        <v>1372</v>
      </c>
      <c r="G1662">
        <v>-105</v>
      </c>
      <c r="H1662">
        <v>7490</v>
      </c>
      <c r="K1662" t="s">
        <v>1383</v>
      </c>
    </row>
    <row r="1663" spans="1:12" x14ac:dyDescent="0.25">
      <c r="A1663" s="40">
        <v>45807.557013888887</v>
      </c>
      <c r="B1663" t="s">
        <v>1489</v>
      </c>
      <c r="C1663" t="s">
        <v>25</v>
      </c>
      <c r="D1663" t="s">
        <v>491</v>
      </c>
      <c r="E1663" t="s">
        <v>1364</v>
      </c>
      <c r="F1663" t="s">
        <v>1372</v>
      </c>
      <c r="G1663">
        <v>-135</v>
      </c>
      <c r="H1663">
        <v>1125</v>
      </c>
      <c r="K1663" t="s">
        <v>1383</v>
      </c>
    </row>
    <row r="1664" spans="1:12" x14ac:dyDescent="0.25">
      <c r="A1664" s="40">
        <v>45807.557013888887</v>
      </c>
      <c r="B1664" t="s">
        <v>1489</v>
      </c>
      <c r="C1664" t="s">
        <v>24</v>
      </c>
      <c r="D1664" t="s">
        <v>378</v>
      </c>
      <c r="E1664" t="s">
        <v>1364</v>
      </c>
      <c r="F1664" t="s">
        <v>1372</v>
      </c>
      <c r="G1664">
        <v>-70</v>
      </c>
      <c r="H1664">
        <v>2653</v>
      </c>
      <c r="K1664" t="s">
        <v>1383</v>
      </c>
    </row>
    <row r="1665" spans="1:11" x14ac:dyDescent="0.25">
      <c r="A1665" s="40">
        <v>45807.557013888887</v>
      </c>
      <c r="B1665" t="s">
        <v>1489</v>
      </c>
      <c r="C1665" t="s">
        <v>27</v>
      </c>
      <c r="D1665" t="s">
        <v>381</v>
      </c>
      <c r="E1665" t="s">
        <v>1364</v>
      </c>
      <c r="F1665" t="s">
        <v>1372</v>
      </c>
      <c r="G1665">
        <v>-70</v>
      </c>
      <c r="H1665">
        <v>7239</v>
      </c>
      <c r="K1665" t="s">
        <v>1383</v>
      </c>
    </row>
    <row r="1666" spans="1:11" x14ac:dyDescent="0.25">
      <c r="A1666" s="40">
        <v>45807.557013888887</v>
      </c>
      <c r="B1666" t="s">
        <v>1489</v>
      </c>
      <c r="C1666" t="s">
        <v>1</v>
      </c>
      <c r="D1666" t="s">
        <v>250</v>
      </c>
      <c r="E1666" t="s">
        <v>1364</v>
      </c>
      <c r="F1666" t="s">
        <v>1372</v>
      </c>
      <c r="G1666">
        <v>-290</v>
      </c>
      <c r="H1666">
        <v>3366</v>
      </c>
      <c r="K1666" t="s">
        <v>1383</v>
      </c>
    </row>
    <row r="1667" spans="1:11" x14ac:dyDescent="0.25">
      <c r="A1667" s="40">
        <v>45808.291643518518</v>
      </c>
      <c r="B1667" t="s">
        <v>1490</v>
      </c>
      <c r="C1667" t="s">
        <v>77</v>
      </c>
      <c r="D1667" t="s">
        <v>253</v>
      </c>
      <c r="E1667" t="s">
        <v>1364</v>
      </c>
      <c r="F1667" t="s">
        <v>1372</v>
      </c>
      <c r="G1667">
        <v>-440</v>
      </c>
      <c r="H1667">
        <v>7085</v>
      </c>
      <c r="K1667" t="s">
        <v>1383</v>
      </c>
    </row>
    <row r="1668" spans="1:11" x14ac:dyDescent="0.25">
      <c r="A1668" s="40">
        <v>45808.291643518518</v>
      </c>
      <c r="B1668" t="s">
        <v>1490</v>
      </c>
      <c r="C1668" t="s">
        <v>271</v>
      </c>
      <c r="D1668" t="s">
        <v>272</v>
      </c>
      <c r="E1668" t="s">
        <v>1364</v>
      </c>
      <c r="F1668" t="s">
        <v>1372</v>
      </c>
      <c r="G1668">
        <v>-35</v>
      </c>
      <c r="H1668">
        <v>2790</v>
      </c>
      <c r="K1668" t="s">
        <v>1383</v>
      </c>
    </row>
    <row r="1669" spans="1:11" x14ac:dyDescent="0.25">
      <c r="A1669" s="40">
        <v>45808.291643518518</v>
      </c>
      <c r="B1669" t="s">
        <v>1490</v>
      </c>
      <c r="C1669" t="s">
        <v>258</v>
      </c>
      <c r="D1669" t="s">
        <v>259</v>
      </c>
      <c r="E1669" t="s">
        <v>1364</v>
      </c>
      <c r="F1669" t="s">
        <v>1372</v>
      </c>
      <c r="G1669">
        <v>-65</v>
      </c>
      <c r="H1669">
        <v>3957</v>
      </c>
      <c r="K1669" t="s">
        <v>1383</v>
      </c>
    </row>
    <row r="1670" spans="1:11" x14ac:dyDescent="0.25">
      <c r="A1670" s="40">
        <v>45808.291643518518</v>
      </c>
      <c r="B1670" t="s">
        <v>1490</v>
      </c>
      <c r="C1670" t="s">
        <v>262</v>
      </c>
      <c r="D1670" t="s">
        <v>263</v>
      </c>
      <c r="E1670" t="s">
        <v>1364</v>
      </c>
      <c r="F1670" t="s">
        <v>1372</v>
      </c>
      <c r="G1670">
        <v>-50</v>
      </c>
      <c r="H1670">
        <v>150</v>
      </c>
      <c r="K1670" t="s">
        <v>1383</v>
      </c>
    </row>
    <row r="1671" spans="1:11" x14ac:dyDescent="0.25">
      <c r="A1671" s="40">
        <v>45808.291643518518</v>
      </c>
      <c r="B1671" t="s">
        <v>1490</v>
      </c>
      <c r="C1671" t="s">
        <v>256</v>
      </c>
      <c r="D1671" t="s">
        <v>257</v>
      </c>
      <c r="E1671" t="s">
        <v>1364</v>
      </c>
      <c r="F1671" t="s">
        <v>1372</v>
      </c>
      <c r="G1671">
        <v>-230</v>
      </c>
      <c r="H1671">
        <v>2530</v>
      </c>
      <c r="K1671" t="s">
        <v>1383</v>
      </c>
    </row>
    <row r="1672" spans="1:11" x14ac:dyDescent="0.25">
      <c r="A1672" s="40">
        <v>45808.291643518518</v>
      </c>
      <c r="B1672" t="s">
        <v>1490</v>
      </c>
      <c r="C1672" t="s">
        <v>308</v>
      </c>
      <c r="D1672" t="s">
        <v>306</v>
      </c>
      <c r="E1672" t="s">
        <v>1364</v>
      </c>
      <c r="F1672" t="s">
        <v>1372</v>
      </c>
      <c r="G1672">
        <v>-35</v>
      </c>
      <c r="H1672">
        <v>415</v>
      </c>
      <c r="K1672" t="s">
        <v>1383</v>
      </c>
    </row>
    <row r="1673" spans="1:11" x14ac:dyDescent="0.25">
      <c r="A1673" s="40">
        <v>45808.291643518518</v>
      </c>
      <c r="B1673" t="s">
        <v>1490</v>
      </c>
      <c r="C1673" t="s">
        <v>264</v>
      </c>
      <c r="D1673" t="s">
        <v>265</v>
      </c>
      <c r="E1673" t="s">
        <v>1364</v>
      </c>
      <c r="F1673" t="s">
        <v>1372</v>
      </c>
      <c r="G1673">
        <v>-65</v>
      </c>
      <c r="H1673">
        <v>2775</v>
      </c>
      <c r="K1673" t="s">
        <v>1383</v>
      </c>
    </row>
    <row r="1674" spans="1:11" x14ac:dyDescent="0.25">
      <c r="A1674" s="40">
        <v>45808.291643518518</v>
      </c>
      <c r="B1674" t="s">
        <v>1490</v>
      </c>
      <c r="C1674" t="s">
        <v>285</v>
      </c>
      <c r="D1674" t="s">
        <v>286</v>
      </c>
      <c r="E1674" t="s">
        <v>1364</v>
      </c>
      <c r="F1674" t="s">
        <v>1372</v>
      </c>
      <c r="G1674">
        <v>-50</v>
      </c>
      <c r="H1674">
        <v>2905</v>
      </c>
      <c r="K1674" t="s">
        <v>1383</v>
      </c>
    </row>
    <row r="1675" spans="1:11" x14ac:dyDescent="0.25">
      <c r="A1675" s="40">
        <v>45808.291643518518</v>
      </c>
      <c r="B1675" t="s">
        <v>1490</v>
      </c>
      <c r="C1675" t="s">
        <v>290</v>
      </c>
      <c r="D1675" t="s">
        <v>291</v>
      </c>
      <c r="E1675" t="s">
        <v>1364</v>
      </c>
      <c r="F1675" t="s">
        <v>1372</v>
      </c>
      <c r="G1675">
        <v>-35</v>
      </c>
      <c r="H1675">
        <v>1920</v>
      </c>
      <c r="K1675" t="s">
        <v>1383</v>
      </c>
    </row>
    <row r="1676" spans="1:11" x14ac:dyDescent="0.25">
      <c r="A1676" s="40">
        <v>45808.291643518518</v>
      </c>
      <c r="B1676" t="s">
        <v>1490</v>
      </c>
      <c r="C1676" t="s">
        <v>337</v>
      </c>
      <c r="D1676" t="s">
        <v>338</v>
      </c>
      <c r="E1676" t="s">
        <v>1364</v>
      </c>
      <c r="F1676" t="s">
        <v>1372</v>
      </c>
      <c r="G1676">
        <v>-50</v>
      </c>
      <c r="H1676">
        <v>3274</v>
      </c>
      <c r="K1676" t="s">
        <v>1383</v>
      </c>
    </row>
    <row r="1677" spans="1:11" x14ac:dyDescent="0.25">
      <c r="A1677" s="40">
        <v>45808.291643518518</v>
      </c>
      <c r="B1677" t="s">
        <v>1490</v>
      </c>
      <c r="C1677" t="s">
        <v>81</v>
      </c>
      <c r="D1677" t="s">
        <v>317</v>
      </c>
      <c r="E1677" t="s">
        <v>1364</v>
      </c>
      <c r="F1677" t="s">
        <v>1372</v>
      </c>
      <c r="G1677">
        <v>-155</v>
      </c>
      <c r="H1677">
        <v>4465</v>
      </c>
      <c r="K1677" t="s">
        <v>1383</v>
      </c>
    </row>
    <row r="1678" spans="1:11" x14ac:dyDescent="0.25">
      <c r="A1678" s="40">
        <v>45808.291643518518</v>
      </c>
      <c r="B1678" t="s">
        <v>1490</v>
      </c>
      <c r="C1678" t="s">
        <v>82</v>
      </c>
      <c r="D1678" t="s">
        <v>318</v>
      </c>
      <c r="E1678" t="s">
        <v>1364</v>
      </c>
      <c r="F1678" t="s">
        <v>1372</v>
      </c>
      <c r="G1678">
        <v>-50</v>
      </c>
      <c r="H1678">
        <v>1683</v>
      </c>
      <c r="K1678" t="s">
        <v>1383</v>
      </c>
    </row>
    <row r="1679" spans="1:11" x14ac:dyDescent="0.25">
      <c r="A1679" s="40">
        <v>45808.291643518518</v>
      </c>
      <c r="B1679" t="s">
        <v>1490</v>
      </c>
      <c r="C1679" t="s">
        <v>84</v>
      </c>
      <c r="D1679" t="s">
        <v>319</v>
      </c>
      <c r="E1679" t="s">
        <v>1364</v>
      </c>
      <c r="F1679" t="s">
        <v>1372</v>
      </c>
      <c r="G1679">
        <v>-35</v>
      </c>
      <c r="H1679">
        <v>2135</v>
      </c>
      <c r="K1679" t="s">
        <v>1383</v>
      </c>
    </row>
    <row r="1680" spans="1:11" x14ac:dyDescent="0.25">
      <c r="A1680" s="40">
        <v>45808.291643518518</v>
      </c>
      <c r="B1680" t="s">
        <v>1490</v>
      </c>
      <c r="C1680" t="s">
        <v>330</v>
      </c>
      <c r="D1680" t="s">
        <v>331</v>
      </c>
      <c r="E1680" t="s">
        <v>1364</v>
      </c>
      <c r="F1680" t="s">
        <v>1372</v>
      </c>
      <c r="G1680">
        <v>-35</v>
      </c>
      <c r="H1680">
        <v>3578</v>
      </c>
      <c r="K1680" t="s">
        <v>1383</v>
      </c>
    </row>
    <row r="1681" spans="1:11" x14ac:dyDescent="0.25">
      <c r="A1681" s="40">
        <v>45808.291643518518</v>
      </c>
      <c r="B1681" t="s">
        <v>1490</v>
      </c>
      <c r="C1681" t="s">
        <v>368</v>
      </c>
      <c r="D1681" t="s">
        <v>369</v>
      </c>
      <c r="E1681" t="s">
        <v>1364</v>
      </c>
      <c r="F1681" t="s">
        <v>1372</v>
      </c>
      <c r="G1681">
        <v>-90</v>
      </c>
      <c r="H1681">
        <v>2615</v>
      </c>
      <c r="K1681" t="s">
        <v>1383</v>
      </c>
    </row>
    <row r="1682" spans="1:11" x14ac:dyDescent="0.25">
      <c r="A1682" s="40">
        <v>45808.291643518518</v>
      </c>
      <c r="B1682" t="s">
        <v>1490</v>
      </c>
      <c r="C1682" t="s">
        <v>418</v>
      </c>
      <c r="D1682" t="s">
        <v>419</v>
      </c>
      <c r="E1682" t="s">
        <v>1364</v>
      </c>
      <c r="F1682" t="s">
        <v>1372</v>
      </c>
      <c r="G1682">
        <v>-50</v>
      </c>
      <c r="H1682">
        <v>842</v>
      </c>
      <c r="K1682" t="s">
        <v>1383</v>
      </c>
    </row>
    <row r="1683" spans="1:11" x14ac:dyDescent="0.25">
      <c r="A1683" s="40">
        <v>45808.291643518518</v>
      </c>
      <c r="B1683" t="s">
        <v>1490</v>
      </c>
      <c r="C1683" t="s">
        <v>97</v>
      </c>
      <c r="D1683" t="s">
        <v>407</v>
      </c>
      <c r="E1683" t="s">
        <v>1364</v>
      </c>
      <c r="F1683" t="s">
        <v>1372</v>
      </c>
      <c r="G1683">
        <v>-105</v>
      </c>
      <c r="H1683">
        <v>6070</v>
      </c>
      <c r="K1683" t="s">
        <v>1383</v>
      </c>
    </row>
    <row r="1684" spans="1:11" x14ac:dyDescent="0.25">
      <c r="A1684" s="40">
        <v>45808.291643518518</v>
      </c>
      <c r="B1684" t="s">
        <v>1490</v>
      </c>
      <c r="C1684" t="s">
        <v>449</v>
      </c>
      <c r="D1684" t="s">
        <v>450</v>
      </c>
      <c r="E1684" t="s">
        <v>1364</v>
      </c>
      <c r="F1684" t="s">
        <v>1372</v>
      </c>
      <c r="G1684">
        <v>-35</v>
      </c>
      <c r="H1684">
        <v>4965</v>
      </c>
      <c r="K1684" t="s">
        <v>1383</v>
      </c>
    </row>
    <row r="1685" spans="1:11" x14ac:dyDescent="0.25">
      <c r="A1685" s="40">
        <v>45808.291643518518</v>
      </c>
      <c r="B1685" t="s">
        <v>1490</v>
      </c>
      <c r="C1685" t="s">
        <v>451</v>
      </c>
      <c r="D1685" t="s">
        <v>452</v>
      </c>
      <c r="E1685" t="s">
        <v>1364</v>
      </c>
      <c r="F1685" t="s">
        <v>1372</v>
      </c>
      <c r="G1685">
        <v>-50</v>
      </c>
      <c r="H1685">
        <v>4950</v>
      </c>
      <c r="K1685" t="s">
        <v>1383</v>
      </c>
    </row>
    <row r="1686" spans="1:11" x14ac:dyDescent="0.25">
      <c r="A1686" s="40">
        <v>45808.291643518518</v>
      </c>
      <c r="B1686" t="s">
        <v>1490</v>
      </c>
      <c r="C1686" t="s">
        <v>428</v>
      </c>
      <c r="D1686" t="s">
        <v>429</v>
      </c>
      <c r="E1686" t="s">
        <v>1364</v>
      </c>
      <c r="F1686" t="s">
        <v>1372</v>
      </c>
      <c r="G1686">
        <v>-50</v>
      </c>
      <c r="H1686">
        <v>1714</v>
      </c>
      <c r="K1686" t="s">
        <v>1383</v>
      </c>
    </row>
    <row r="1687" spans="1:11" x14ac:dyDescent="0.25">
      <c r="A1687" s="40">
        <v>45808.291643518518</v>
      </c>
      <c r="B1687" t="s">
        <v>1490</v>
      </c>
      <c r="C1687" t="s">
        <v>48</v>
      </c>
      <c r="D1687" t="s">
        <v>396</v>
      </c>
      <c r="E1687" t="s">
        <v>1364</v>
      </c>
      <c r="F1687" t="s">
        <v>1372</v>
      </c>
      <c r="G1687">
        <v>-155</v>
      </c>
      <c r="H1687">
        <v>3845</v>
      </c>
      <c r="K1687" t="s">
        <v>1383</v>
      </c>
    </row>
    <row r="1688" spans="1:11" x14ac:dyDescent="0.25">
      <c r="A1688" s="40">
        <v>45808.291643518518</v>
      </c>
      <c r="B1688" t="s">
        <v>1490</v>
      </c>
      <c r="C1688" t="s">
        <v>99</v>
      </c>
      <c r="D1688" t="s">
        <v>409</v>
      </c>
      <c r="E1688" t="s">
        <v>1364</v>
      </c>
      <c r="F1688" t="s">
        <v>1372</v>
      </c>
      <c r="G1688">
        <v>-50</v>
      </c>
      <c r="H1688">
        <v>5105</v>
      </c>
      <c r="K1688" t="s">
        <v>1383</v>
      </c>
    </row>
    <row r="1689" spans="1:11" x14ac:dyDescent="0.25">
      <c r="A1689" s="40">
        <v>45808.291643518518</v>
      </c>
      <c r="B1689" t="s">
        <v>1490</v>
      </c>
      <c r="C1689" t="s">
        <v>54</v>
      </c>
      <c r="D1689" t="s">
        <v>399</v>
      </c>
      <c r="E1689" t="s">
        <v>1364</v>
      </c>
      <c r="F1689" t="s">
        <v>1372</v>
      </c>
      <c r="G1689">
        <v>-35</v>
      </c>
      <c r="H1689">
        <v>2359</v>
      </c>
      <c r="K1689" t="s">
        <v>1383</v>
      </c>
    </row>
    <row r="1690" spans="1:11" x14ac:dyDescent="0.25">
      <c r="A1690" s="40">
        <v>45808.291643518518</v>
      </c>
      <c r="B1690" t="s">
        <v>1490</v>
      </c>
      <c r="C1690" t="s">
        <v>98</v>
      </c>
      <c r="D1690" t="s">
        <v>408</v>
      </c>
      <c r="E1690" t="s">
        <v>1364</v>
      </c>
      <c r="F1690" t="s">
        <v>1372</v>
      </c>
      <c r="G1690">
        <v>-35</v>
      </c>
      <c r="H1690">
        <v>4965</v>
      </c>
      <c r="K1690" t="s">
        <v>1383</v>
      </c>
    </row>
    <row r="1691" spans="1:11" x14ac:dyDescent="0.25">
      <c r="A1691" s="40">
        <v>45808.291643518518</v>
      </c>
      <c r="B1691" t="s">
        <v>1490</v>
      </c>
      <c r="C1691" t="s">
        <v>433</v>
      </c>
      <c r="D1691" t="s">
        <v>434</v>
      </c>
      <c r="E1691" t="s">
        <v>1364</v>
      </c>
      <c r="F1691" t="s">
        <v>1372</v>
      </c>
      <c r="G1691">
        <v>-35</v>
      </c>
      <c r="H1691">
        <v>4530</v>
      </c>
      <c r="K1691" t="s">
        <v>1383</v>
      </c>
    </row>
    <row r="1692" spans="1:11" x14ac:dyDescent="0.25">
      <c r="A1692" s="40">
        <v>45808.291643518518</v>
      </c>
      <c r="B1692" t="s">
        <v>1490</v>
      </c>
      <c r="C1692" t="s">
        <v>52</v>
      </c>
      <c r="D1692" t="s">
        <v>397</v>
      </c>
      <c r="E1692" t="s">
        <v>1364</v>
      </c>
      <c r="F1692" t="s">
        <v>1372</v>
      </c>
      <c r="G1692">
        <v>-50</v>
      </c>
      <c r="H1692">
        <v>8456</v>
      </c>
      <c r="K1692" t="s">
        <v>1383</v>
      </c>
    </row>
    <row r="1693" spans="1:11" x14ac:dyDescent="0.25">
      <c r="A1693" s="40">
        <v>45808.291643518518</v>
      </c>
      <c r="B1693" t="s">
        <v>1490</v>
      </c>
      <c r="C1693" t="s">
        <v>360</v>
      </c>
      <c r="D1693" t="s">
        <v>361</v>
      </c>
      <c r="E1693" t="s">
        <v>1364</v>
      </c>
      <c r="F1693" t="s">
        <v>1372</v>
      </c>
      <c r="G1693">
        <v>-50</v>
      </c>
      <c r="H1693">
        <v>646</v>
      </c>
      <c r="K1693" t="s">
        <v>1383</v>
      </c>
    </row>
    <row r="1694" spans="1:11" x14ac:dyDescent="0.25">
      <c r="A1694" s="40">
        <v>45808.291643518518</v>
      </c>
      <c r="B1694" t="s">
        <v>1490</v>
      </c>
      <c r="C1694" t="s">
        <v>60</v>
      </c>
      <c r="D1694" t="s">
        <v>350</v>
      </c>
      <c r="E1694" t="s">
        <v>1364</v>
      </c>
      <c r="F1694" t="s">
        <v>1372</v>
      </c>
      <c r="G1694">
        <v>-35</v>
      </c>
      <c r="H1694">
        <v>6822</v>
      </c>
      <c r="K1694" t="s">
        <v>1383</v>
      </c>
    </row>
    <row r="1695" spans="1:11" x14ac:dyDescent="0.25">
      <c r="A1695" s="40">
        <v>45810.550173611111</v>
      </c>
      <c r="B1695" t="s">
        <v>1491</v>
      </c>
      <c r="C1695" t="s">
        <v>335</v>
      </c>
      <c r="D1695" t="s">
        <v>336</v>
      </c>
      <c r="E1695" t="s">
        <v>1364</v>
      </c>
      <c r="F1695" t="s">
        <v>1372</v>
      </c>
      <c r="G1695">
        <v>-110</v>
      </c>
      <c r="H1695">
        <v>5511</v>
      </c>
      <c r="K1695" t="s">
        <v>1383</v>
      </c>
    </row>
    <row r="1696" spans="1:11" x14ac:dyDescent="0.25">
      <c r="A1696" s="40">
        <v>45810.550173611111</v>
      </c>
      <c r="B1696" t="s">
        <v>1491</v>
      </c>
      <c r="C1696" t="s">
        <v>1352</v>
      </c>
      <c r="E1696" t="s">
        <v>1365</v>
      </c>
      <c r="F1696" t="s">
        <v>1372</v>
      </c>
      <c r="G1696">
        <v>-610</v>
      </c>
      <c r="H1696">
        <v>-796</v>
      </c>
      <c r="K1696" t="s">
        <v>1383</v>
      </c>
    </row>
    <row r="1697" spans="1:11" x14ac:dyDescent="0.25">
      <c r="A1697" s="40">
        <v>45810.550173611111</v>
      </c>
      <c r="B1697" t="s">
        <v>1491</v>
      </c>
      <c r="C1697" t="s">
        <v>1353</v>
      </c>
      <c r="E1697" t="s">
        <v>1365</v>
      </c>
      <c r="F1697" t="s">
        <v>1372</v>
      </c>
      <c r="G1697">
        <v>-420</v>
      </c>
      <c r="H1697">
        <v>1239</v>
      </c>
      <c r="K1697" t="s">
        <v>1383</v>
      </c>
    </row>
    <row r="1698" spans="1:11" x14ac:dyDescent="0.25">
      <c r="A1698" s="40">
        <v>45810.550173611111</v>
      </c>
      <c r="B1698" t="s">
        <v>1491</v>
      </c>
      <c r="C1698" t="s">
        <v>45</v>
      </c>
      <c r="D1698" t="s">
        <v>393</v>
      </c>
      <c r="E1698" t="s">
        <v>1364</v>
      </c>
      <c r="F1698" t="s">
        <v>1372</v>
      </c>
      <c r="G1698">
        <v>-40</v>
      </c>
      <c r="H1698">
        <v>3262</v>
      </c>
      <c r="K1698" t="s">
        <v>1383</v>
      </c>
    </row>
    <row r="1699" spans="1:11" x14ac:dyDescent="0.25">
      <c r="A1699" s="40">
        <v>45810.550173611111</v>
      </c>
      <c r="B1699" t="s">
        <v>1491</v>
      </c>
      <c r="C1699" t="s">
        <v>70</v>
      </c>
      <c r="D1699" t="s">
        <v>402</v>
      </c>
      <c r="E1699" t="s">
        <v>1364</v>
      </c>
      <c r="F1699" t="s">
        <v>1372</v>
      </c>
      <c r="G1699">
        <v>-1140</v>
      </c>
      <c r="H1699">
        <v>22190</v>
      </c>
      <c r="K1699" t="s">
        <v>1383</v>
      </c>
    </row>
    <row r="1700" spans="1:11" x14ac:dyDescent="0.25">
      <c r="A1700" s="40">
        <v>45810.550173611111</v>
      </c>
      <c r="B1700" t="s">
        <v>1491</v>
      </c>
      <c r="C1700" t="s">
        <v>38</v>
      </c>
      <c r="D1700" t="s">
        <v>386</v>
      </c>
      <c r="E1700" t="s">
        <v>1364</v>
      </c>
      <c r="F1700" t="s">
        <v>1372</v>
      </c>
      <c r="G1700">
        <v>-1820</v>
      </c>
      <c r="H1700">
        <v>28488</v>
      </c>
      <c r="K1700" t="s">
        <v>1383</v>
      </c>
    </row>
    <row r="1701" spans="1:11" x14ac:dyDescent="0.25">
      <c r="A1701" s="40">
        <v>45810.550173611111</v>
      </c>
      <c r="B1701" t="s">
        <v>1491</v>
      </c>
      <c r="C1701" t="s">
        <v>59</v>
      </c>
      <c r="D1701" t="s">
        <v>401</v>
      </c>
      <c r="E1701" t="s">
        <v>1364</v>
      </c>
      <c r="F1701" t="s">
        <v>1372</v>
      </c>
      <c r="G1701">
        <v>-40</v>
      </c>
      <c r="H1701">
        <v>3460</v>
      </c>
      <c r="K1701" t="s">
        <v>1383</v>
      </c>
    </row>
    <row r="1702" spans="1:11" x14ac:dyDescent="0.25">
      <c r="A1702" s="40">
        <v>45810.550173611111</v>
      </c>
      <c r="B1702" t="s">
        <v>1491</v>
      </c>
      <c r="C1702" t="s">
        <v>94</v>
      </c>
      <c r="D1702" t="s">
        <v>404</v>
      </c>
      <c r="E1702" t="s">
        <v>1364</v>
      </c>
      <c r="F1702" t="s">
        <v>1372</v>
      </c>
      <c r="G1702">
        <v>-110</v>
      </c>
      <c r="H1702">
        <v>5635</v>
      </c>
      <c r="K1702" t="s">
        <v>1383</v>
      </c>
    </row>
    <row r="1703" spans="1:11" x14ac:dyDescent="0.25">
      <c r="A1703" s="40">
        <v>45810.550173611111</v>
      </c>
      <c r="B1703" t="s">
        <v>1491</v>
      </c>
      <c r="C1703" t="s">
        <v>443</v>
      </c>
      <c r="D1703" t="s">
        <v>444</v>
      </c>
      <c r="E1703" t="s">
        <v>1364</v>
      </c>
      <c r="F1703" t="s">
        <v>1372</v>
      </c>
      <c r="G1703">
        <v>-110</v>
      </c>
      <c r="H1703">
        <v>3190</v>
      </c>
      <c r="K1703" t="s">
        <v>1383</v>
      </c>
    </row>
    <row r="1704" spans="1:11" x14ac:dyDescent="0.25">
      <c r="A1704" s="40">
        <v>45810.550173611111</v>
      </c>
      <c r="B1704" t="s">
        <v>1491</v>
      </c>
      <c r="C1704" t="s">
        <v>44</v>
      </c>
      <c r="D1704" t="s">
        <v>392</v>
      </c>
      <c r="E1704" t="s">
        <v>1364</v>
      </c>
      <c r="F1704" t="s">
        <v>1372</v>
      </c>
      <c r="G1704">
        <v>-530</v>
      </c>
      <c r="H1704">
        <v>9699</v>
      </c>
      <c r="K1704" t="s">
        <v>1383</v>
      </c>
    </row>
    <row r="1705" spans="1:11" x14ac:dyDescent="0.25">
      <c r="A1705" s="40">
        <v>45810.550173611111</v>
      </c>
      <c r="B1705" t="s">
        <v>1491</v>
      </c>
      <c r="C1705" t="s">
        <v>20</v>
      </c>
      <c r="D1705" t="s">
        <v>498</v>
      </c>
      <c r="E1705" t="s">
        <v>1364</v>
      </c>
      <c r="F1705" t="s">
        <v>1372</v>
      </c>
      <c r="G1705">
        <v>-60</v>
      </c>
      <c r="H1705">
        <v>7430</v>
      </c>
      <c r="K1705" t="s">
        <v>1383</v>
      </c>
    </row>
    <row r="1706" spans="1:11" x14ac:dyDescent="0.25">
      <c r="A1706" s="40">
        <v>45810.550173611111</v>
      </c>
      <c r="B1706" t="s">
        <v>1491</v>
      </c>
      <c r="C1706" t="s">
        <v>6</v>
      </c>
      <c r="D1706" t="s">
        <v>400</v>
      </c>
      <c r="E1706" t="s">
        <v>1364</v>
      </c>
      <c r="F1706" t="s">
        <v>1372</v>
      </c>
      <c r="G1706">
        <v>-530</v>
      </c>
      <c r="H1706">
        <v>6527</v>
      </c>
      <c r="K1706" t="s">
        <v>1383</v>
      </c>
    </row>
    <row r="1707" spans="1:11" x14ac:dyDescent="0.25">
      <c r="A1707" s="40">
        <v>45810.550173611111</v>
      </c>
      <c r="B1707" t="s">
        <v>1491</v>
      </c>
      <c r="C1707" t="s">
        <v>37</v>
      </c>
      <c r="D1707" t="s">
        <v>497</v>
      </c>
      <c r="E1707" t="s">
        <v>1364</v>
      </c>
      <c r="F1707" t="s">
        <v>1372</v>
      </c>
      <c r="G1707">
        <v>-195</v>
      </c>
      <c r="H1707">
        <v>6694</v>
      </c>
      <c r="K1707" t="s">
        <v>1383</v>
      </c>
    </row>
    <row r="1708" spans="1:11" x14ac:dyDescent="0.25">
      <c r="A1708" s="40">
        <v>45810.550173611111</v>
      </c>
      <c r="B1708" t="s">
        <v>1491</v>
      </c>
      <c r="C1708" t="s">
        <v>47</v>
      </c>
      <c r="D1708" t="s">
        <v>395</v>
      </c>
      <c r="E1708" t="s">
        <v>1364</v>
      </c>
      <c r="F1708" t="s">
        <v>1372</v>
      </c>
      <c r="G1708">
        <v>-155</v>
      </c>
      <c r="H1708">
        <v>24764</v>
      </c>
      <c r="K1708" t="s">
        <v>1383</v>
      </c>
    </row>
    <row r="1709" spans="1:11" x14ac:dyDescent="0.25">
      <c r="A1709" s="40">
        <v>45810.550173611111</v>
      </c>
      <c r="B1709" t="s">
        <v>1491</v>
      </c>
      <c r="C1709" t="s">
        <v>96</v>
      </c>
      <c r="D1709" t="s">
        <v>406</v>
      </c>
      <c r="E1709" t="s">
        <v>1364</v>
      </c>
      <c r="F1709" t="s">
        <v>1372</v>
      </c>
      <c r="G1709">
        <v>-90</v>
      </c>
      <c r="H1709">
        <v>2005</v>
      </c>
      <c r="K1709" t="s">
        <v>1383</v>
      </c>
    </row>
    <row r="1710" spans="1:11" x14ac:dyDescent="0.25">
      <c r="A1710" s="40">
        <v>45810.550173611111</v>
      </c>
      <c r="B1710" t="s">
        <v>1491</v>
      </c>
      <c r="C1710" t="s">
        <v>5</v>
      </c>
      <c r="D1710" t="s">
        <v>389</v>
      </c>
      <c r="E1710" t="s">
        <v>1364</v>
      </c>
      <c r="F1710" t="s">
        <v>1372</v>
      </c>
      <c r="G1710">
        <v>-40</v>
      </c>
      <c r="H1710">
        <v>2415</v>
      </c>
      <c r="K1710" t="s">
        <v>1383</v>
      </c>
    </row>
    <row r="1711" spans="1:11" x14ac:dyDescent="0.25">
      <c r="A1711" s="40">
        <v>45810.550173611111</v>
      </c>
      <c r="B1711" t="s">
        <v>1491</v>
      </c>
      <c r="C1711" t="s">
        <v>69</v>
      </c>
      <c r="D1711" t="s">
        <v>375</v>
      </c>
      <c r="E1711" t="s">
        <v>1364</v>
      </c>
      <c r="F1711" t="s">
        <v>1372</v>
      </c>
      <c r="G1711">
        <v>-530</v>
      </c>
      <c r="H1711">
        <v>6827</v>
      </c>
      <c r="K1711" t="s">
        <v>1383</v>
      </c>
    </row>
    <row r="1712" spans="1:11" x14ac:dyDescent="0.25">
      <c r="A1712" s="40">
        <v>45810.550173611111</v>
      </c>
      <c r="B1712" t="s">
        <v>1491</v>
      </c>
      <c r="C1712" t="s">
        <v>68</v>
      </c>
      <c r="D1712" t="s">
        <v>374</v>
      </c>
      <c r="E1712" t="s">
        <v>1364</v>
      </c>
      <c r="F1712" t="s">
        <v>1372</v>
      </c>
      <c r="G1712">
        <v>-530</v>
      </c>
      <c r="H1712">
        <v>1679</v>
      </c>
      <c r="K1712" t="s">
        <v>1383</v>
      </c>
    </row>
    <row r="1713" spans="1:12" x14ac:dyDescent="0.25">
      <c r="A1713" s="40">
        <v>45810.550173611111</v>
      </c>
      <c r="B1713" t="s">
        <v>1491</v>
      </c>
      <c r="C1713" t="s">
        <v>63</v>
      </c>
      <c r="D1713" t="s">
        <v>355</v>
      </c>
      <c r="E1713" t="s">
        <v>1364</v>
      </c>
      <c r="F1713" t="s">
        <v>1372</v>
      </c>
      <c r="G1713">
        <v>-40</v>
      </c>
      <c r="H1713">
        <v>3622</v>
      </c>
      <c r="K1713" t="s">
        <v>1383</v>
      </c>
    </row>
    <row r="1714" spans="1:12" x14ac:dyDescent="0.25">
      <c r="A1714" s="40">
        <v>45810.550173611111</v>
      </c>
      <c r="B1714" t="s">
        <v>1491</v>
      </c>
      <c r="C1714" t="s">
        <v>79</v>
      </c>
      <c r="D1714" t="s">
        <v>358</v>
      </c>
      <c r="E1714" t="s">
        <v>1364</v>
      </c>
      <c r="F1714" t="s">
        <v>1372</v>
      </c>
      <c r="G1714">
        <v>-60</v>
      </c>
      <c r="H1714">
        <v>1963</v>
      </c>
      <c r="K1714" t="s">
        <v>1383</v>
      </c>
    </row>
    <row r="1715" spans="1:12" x14ac:dyDescent="0.25">
      <c r="A1715" s="40">
        <v>45810.550173611111</v>
      </c>
      <c r="B1715" t="s">
        <v>1491</v>
      </c>
      <c r="C1715" t="s">
        <v>229</v>
      </c>
      <c r="D1715" t="s">
        <v>321</v>
      </c>
      <c r="E1715" t="s">
        <v>1364</v>
      </c>
      <c r="F1715" t="s">
        <v>1372</v>
      </c>
      <c r="G1715">
        <v>-1700</v>
      </c>
      <c r="H1715">
        <v>934</v>
      </c>
      <c r="K1715" t="s">
        <v>1383</v>
      </c>
    </row>
    <row r="1716" spans="1:12" x14ac:dyDescent="0.25">
      <c r="A1716" s="40">
        <v>45810.550173611111</v>
      </c>
      <c r="B1716" t="s">
        <v>1491</v>
      </c>
      <c r="C1716" t="s">
        <v>324</v>
      </c>
      <c r="D1716" t="s">
        <v>325</v>
      </c>
      <c r="E1716" t="s">
        <v>1364</v>
      </c>
      <c r="F1716" t="s">
        <v>1372</v>
      </c>
      <c r="G1716">
        <v>-215</v>
      </c>
      <c r="H1716">
        <v>1755</v>
      </c>
      <c r="K1716" t="s">
        <v>1383</v>
      </c>
    </row>
    <row r="1717" spans="1:12" x14ac:dyDescent="0.25">
      <c r="A1717" s="40">
        <v>45810.550173611111</v>
      </c>
      <c r="B1717" t="s">
        <v>1491</v>
      </c>
      <c r="C1717" t="s">
        <v>273</v>
      </c>
      <c r="D1717" t="s">
        <v>274</v>
      </c>
      <c r="E1717" t="s">
        <v>1364</v>
      </c>
      <c r="F1717" t="s">
        <v>1372</v>
      </c>
      <c r="G1717">
        <v>-195</v>
      </c>
      <c r="H1717">
        <v>3165</v>
      </c>
      <c r="K1717" t="s">
        <v>1383</v>
      </c>
    </row>
    <row r="1718" spans="1:12" x14ac:dyDescent="0.25">
      <c r="A1718" s="40">
        <v>45810.550173611111</v>
      </c>
      <c r="B1718" t="s">
        <v>1491</v>
      </c>
      <c r="C1718" t="s">
        <v>267</v>
      </c>
      <c r="D1718" t="s">
        <v>268</v>
      </c>
      <c r="E1718" t="s">
        <v>1364</v>
      </c>
      <c r="F1718" t="s">
        <v>1372</v>
      </c>
      <c r="G1718">
        <v>-40</v>
      </c>
      <c r="H1718">
        <v>615</v>
      </c>
      <c r="K1718" t="s">
        <v>1383</v>
      </c>
    </row>
    <row r="1719" spans="1:12" x14ac:dyDescent="0.25">
      <c r="A1719" s="40">
        <v>45810.550173611111</v>
      </c>
      <c r="B1719" t="s">
        <v>1491</v>
      </c>
      <c r="C1719" t="s">
        <v>230</v>
      </c>
      <c r="D1719" t="s">
        <v>255</v>
      </c>
      <c r="E1719" t="s">
        <v>1364</v>
      </c>
      <c r="F1719" t="s">
        <v>1372</v>
      </c>
      <c r="G1719">
        <v>-40</v>
      </c>
      <c r="H1719">
        <v>5145</v>
      </c>
      <c r="K1719" t="s">
        <v>1383</v>
      </c>
    </row>
    <row r="1720" spans="1:12" x14ac:dyDescent="0.25">
      <c r="A1720" s="40">
        <v>45810.550173611111</v>
      </c>
      <c r="B1720" t="s">
        <v>1491</v>
      </c>
      <c r="C1720" t="s">
        <v>58</v>
      </c>
      <c r="D1720" t="s">
        <v>315</v>
      </c>
      <c r="E1720" t="s">
        <v>1364</v>
      </c>
      <c r="F1720" t="s">
        <v>1372</v>
      </c>
      <c r="G1720">
        <v>-1040</v>
      </c>
      <c r="H1720">
        <v>8462</v>
      </c>
      <c r="K1720" t="s">
        <v>1383</v>
      </c>
    </row>
    <row r="1721" spans="1:12" x14ac:dyDescent="0.25">
      <c r="A1721" s="40">
        <v>45810.550173611111</v>
      </c>
      <c r="B1721" t="s">
        <v>1491</v>
      </c>
      <c r="C1721" t="s">
        <v>7</v>
      </c>
      <c r="D1721" t="s">
        <v>307</v>
      </c>
      <c r="E1721" t="s">
        <v>1364</v>
      </c>
      <c r="F1721" t="s">
        <v>1372</v>
      </c>
      <c r="G1721">
        <v>-215</v>
      </c>
      <c r="H1721">
        <v>15723</v>
      </c>
      <c r="K1721" t="s">
        <v>1383</v>
      </c>
    </row>
    <row r="1722" spans="1:12" x14ac:dyDescent="0.25">
      <c r="A1722" s="40">
        <v>45810.550173611111</v>
      </c>
      <c r="B1722" t="s">
        <v>1491</v>
      </c>
      <c r="C1722" t="s">
        <v>36</v>
      </c>
      <c r="D1722" t="s">
        <v>385</v>
      </c>
      <c r="E1722" t="s">
        <v>1364</v>
      </c>
      <c r="F1722" t="s">
        <v>1372</v>
      </c>
      <c r="G1722">
        <v>-2720</v>
      </c>
      <c r="H1722">
        <v>4596</v>
      </c>
      <c r="K1722" t="s">
        <v>1383</v>
      </c>
    </row>
    <row r="1723" spans="1:12" x14ac:dyDescent="0.25">
      <c r="A1723" s="40">
        <v>45810.550173611111</v>
      </c>
      <c r="B1723" t="s">
        <v>1491</v>
      </c>
      <c r="C1723" t="s">
        <v>62</v>
      </c>
      <c r="D1723" t="s">
        <v>354</v>
      </c>
      <c r="E1723" t="s">
        <v>1364</v>
      </c>
      <c r="F1723" t="s">
        <v>1372</v>
      </c>
      <c r="G1723">
        <v>-40</v>
      </c>
      <c r="H1723">
        <v>3829</v>
      </c>
      <c r="K1723" t="s">
        <v>1383</v>
      </c>
    </row>
    <row r="1724" spans="1:12" x14ac:dyDescent="0.25">
      <c r="A1724" s="40">
        <v>45810.550173611111</v>
      </c>
      <c r="B1724" t="s">
        <v>1491</v>
      </c>
      <c r="C1724" t="s">
        <v>61</v>
      </c>
      <c r="D1724" t="s">
        <v>353</v>
      </c>
      <c r="E1724" t="s">
        <v>1364</v>
      </c>
      <c r="F1724" t="s">
        <v>1372</v>
      </c>
      <c r="G1724">
        <v>-530</v>
      </c>
      <c r="H1724">
        <v>2696</v>
      </c>
      <c r="K1724" t="s">
        <v>1383</v>
      </c>
    </row>
    <row r="1725" spans="1:12" x14ac:dyDescent="0.25">
      <c r="A1725" s="40">
        <v>45810.550173611111</v>
      </c>
      <c r="B1725" t="s">
        <v>1491</v>
      </c>
      <c r="C1725" t="s">
        <v>1</v>
      </c>
      <c r="D1725" t="s">
        <v>250</v>
      </c>
      <c r="E1725" t="s">
        <v>1364</v>
      </c>
      <c r="F1725" t="s">
        <v>1372</v>
      </c>
      <c r="G1725">
        <v>-1740</v>
      </c>
      <c r="H1725">
        <v>1626</v>
      </c>
      <c r="K1725" t="s">
        <v>1383</v>
      </c>
    </row>
    <row r="1726" spans="1:12" x14ac:dyDescent="0.25">
      <c r="A1726" s="40">
        <v>45810.550173611111</v>
      </c>
      <c r="B1726" t="s">
        <v>1491</v>
      </c>
      <c r="C1726" t="s">
        <v>2</v>
      </c>
      <c r="D1726" t="s">
        <v>266</v>
      </c>
      <c r="E1726" t="s">
        <v>1364</v>
      </c>
      <c r="F1726" t="s">
        <v>1372</v>
      </c>
      <c r="G1726">
        <v>-90</v>
      </c>
      <c r="H1726">
        <v>3631</v>
      </c>
      <c r="K1726" t="s">
        <v>1383</v>
      </c>
    </row>
    <row r="1727" spans="1:12" x14ac:dyDescent="0.25">
      <c r="A1727" s="40">
        <v>45810.591377314813</v>
      </c>
      <c r="B1727" t="s">
        <v>1491</v>
      </c>
      <c r="C1727" t="s">
        <v>1352</v>
      </c>
      <c r="E1727" t="s">
        <v>1365</v>
      </c>
      <c r="F1727" t="s">
        <v>695</v>
      </c>
      <c r="G1727">
        <v>2500</v>
      </c>
      <c r="H1727">
        <v>1704</v>
      </c>
      <c r="I1727" t="s">
        <v>696</v>
      </c>
      <c r="K1727" t="s">
        <v>1465</v>
      </c>
      <c r="L1727">
        <v>274.04999999999995</v>
      </c>
    </row>
    <row r="1728" spans="1:12" x14ac:dyDescent="0.25">
      <c r="A1728" s="40">
        <v>45812.344629629632</v>
      </c>
      <c r="B1728" t="s">
        <v>1491</v>
      </c>
      <c r="C1728" t="s">
        <v>1492</v>
      </c>
      <c r="E1728" t="s">
        <v>1365</v>
      </c>
      <c r="F1728" t="s">
        <v>695</v>
      </c>
      <c r="G1728">
        <v>500</v>
      </c>
      <c r="H1728">
        <v>500</v>
      </c>
      <c r="I1728" t="s">
        <v>1493</v>
      </c>
      <c r="J1728" t="s">
        <v>1494</v>
      </c>
      <c r="K1728" t="s">
        <v>1465</v>
      </c>
      <c r="L1728">
        <v>160</v>
      </c>
    </row>
    <row r="1729" spans="1:12" x14ac:dyDescent="0.25">
      <c r="A1729" s="40">
        <v>45812.344629629632</v>
      </c>
      <c r="B1729" t="s">
        <v>1491</v>
      </c>
      <c r="C1729" t="s">
        <v>1492</v>
      </c>
      <c r="E1729" t="s">
        <v>1365</v>
      </c>
      <c r="F1729" t="s">
        <v>1372</v>
      </c>
      <c r="G1729">
        <v>-42</v>
      </c>
      <c r="H1729">
        <v>458</v>
      </c>
      <c r="K1729" t="s">
        <v>1465</v>
      </c>
    </row>
    <row r="1730" spans="1:12" x14ac:dyDescent="0.25">
      <c r="A1730" s="40">
        <v>45818.38921296296</v>
      </c>
      <c r="B1730" t="s">
        <v>1498</v>
      </c>
      <c r="C1730" t="s">
        <v>258</v>
      </c>
      <c r="D1730" t="s">
        <v>259</v>
      </c>
      <c r="E1730" t="s">
        <v>1364</v>
      </c>
      <c r="F1730" t="s">
        <v>1372</v>
      </c>
      <c r="G1730">
        <v>-42</v>
      </c>
      <c r="H1730">
        <v>3915</v>
      </c>
      <c r="K1730" t="s">
        <v>1383</v>
      </c>
    </row>
    <row r="1731" spans="1:12" x14ac:dyDescent="0.25">
      <c r="A1731" s="40">
        <v>45818.38921296296</v>
      </c>
      <c r="B1731" t="s">
        <v>1498</v>
      </c>
      <c r="C1731" t="s">
        <v>15</v>
      </c>
      <c r="D1731" t="s">
        <v>474</v>
      </c>
      <c r="E1731" t="s">
        <v>1364</v>
      </c>
      <c r="F1731" t="s">
        <v>1372</v>
      </c>
      <c r="G1731">
        <v>-42</v>
      </c>
      <c r="H1731">
        <v>2772</v>
      </c>
      <c r="K1731" t="s">
        <v>1383</v>
      </c>
    </row>
    <row r="1732" spans="1:12" x14ac:dyDescent="0.25">
      <c r="A1732" s="40">
        <v>45818.38921296296</v>
      </c>
      <c r="B1732" t="s">
        <v>1498</v>
      </c>
      <c r="C1732" t="s">
        <v>32</v>
      </c>
      <c r="D1732" t="s">
        <v>384</v>
      </c>
      <c r="E1732" t="s">
        <v>1364</v>
      </c>
      <c r="F1732" t="s">
        <v>1372</v>
      </c>
      <c r="G1732">
        <v>-42</v>
      </c>
      <c r="H1732">
        <v>3521</v>
      </c>
      <c r="K1732" t="s">
        <v>1383</v>
      </c>
    </row>
    <row r="1733" spans="1:12" x14ac:dyDescent="0.25">
      <c r="A1733" s="40">
        <v>45839.354953703703</v>
      </c>
      <c r="B1733" t="s">
        <v>1499</v>
      </c>
      <c r="C1733" t="s">
        <v>1500</v>
      </c>
      <c r="E1733" t="s">
        <v>1365</v>
      </c>
      <c r="F1733" t="s">
        <v>695</v>
      </c>
      <c r="G1733">
        <v>100</v>
      </c>
      <c r="H1733">
        <v>100</v>
      </c>
      <c r="I1733" t="s">
        <v>1501</v>
      </c>
      <c r="J1733" t="s">
        <v>1494</v>
      </c>
      <c r="K1733" t="s">
        <v>1465</v>
      </c>
      <c r="L1733">
        <v>95.66</v>
      </c>
    </row>
    <row r="1734" spans="1:12" x14ac:dyDescent="0.25">
      <c r="A1734" s="40">
        <v>45839.354953703703</v>
      </c>
      <c r="B1734" t="s">
        <v>1499</v>
      </c>
      <c r="C1734" t="s">
        <v>1500</v>
      </c>
      <c r="E1734" t="s">
        <v>1365</v>
      </c>
      <c r="F1734" t="s">
        <v>1372</v>
      </c>
      <c r="G1734">
        <v>-4</v>
      </c>
      <c r="H1734">
        <v>96</v>
      </c>
      <c r="K1734" t="s">
        <v>1465</v>
      </c>
    </row>
    <row r="1735" spans="1:12" x14ac:dyDescent="0.25">
      <c r="A1735" s="40">
        <v>45853.602013888885</v>
      </c>
      <c r="B1735" t="s">
        <v>1502</v>
      </c>
      <c r="C1735" t="s">
        <v>7</v>
      </c>
      <c r="D1735" t="s">
        <v>307</v>
      </c>
      <c r="E1735" t="s">
        <v>1364</v>
      </c>
      <c r="F1735" t="s">
        <v>1372</v>
      </c>
      <c r="G1735">
        <v>-30</v>
      </c>
      <c r="H1735">
        <v>15693</v>
      </c>
      <c r="K1735" t="s">
        <v>1383</v>
      </c>
    </row>
    <row r="1736" spans="1:12" x14ac:dyDescent="0.25">
      <c r="A1736" s="40">
        <v>45853.602013888885</v>
      </c>
      <c r="B1736" t="s">
        <v>1502</v>
      </c>
      <c r="C1736" t="s">
        <v>230</v>
      </c>
      <c r="D1736" t="s">
        <v>255</v>
      </c>
      <c r="E1736" t="s">
        <v>1364</v>
      </c>
      <c r="F1736" t="s">
        <v>1372</v>
      </c>
      <c r="G1736">
        <v>-110</v>
      </c>
      <c r="H1736">
        <v>5035</v>
      </c>
      <c r="K1736" t="s">
        <v>1383</v>
      </c>
    </row>
    <row r="1737" spans="1:12" x14ac:dyDescent="0.25">
      <c r="A1737" s="40">
        <v>45853.602013888885</v>
      </c>
      <c r="B1737" t="s">
        <v>1502</v>
      </c>
      <c r="C1737" t="s">
        <v>4</v>
      </c>
      <c r="D1737" t="s">
        <v>377</v>
      </c>
      <c r="E1737" t="s">
        <v>1364</v>
      </c>
      <c r="F1737" t="s">
        <v>1372</v>
      </c>
      <c r="G1737">
        <v>-225</v>
      </c>
      <c r="H1737">
        <v>6732</v>
      </c>
      <c r="K1737" t="s">
        <v>1383</v>
      </c>
    </row>
    <row r="1738" spans="1:12" x14ac:dyDescent="0.25">
      <c r="A1738" s="40">
        <v>45853.602013888885</v>
      </c>
      <c r="B1738" t="s">
        <v>1502</v>
      </c>
      <c r="C1738" t="s">
        <v>20</v>
      </c>
      <c r="D1738" t="s">
        <v>498</v>
      </c>
      <c r="E1738" t="s">
        <v>1364</v>
      </c>
      <c r="F1738" t="s">
        <v>1372</v>
      </c>
      <c r="G1738">
        <v>-50</v>
      </c>
      <c r="H1738">
        <v>7380</v>
      </c>
      <c r="K1738" t="s">
        <v>1383</v>
      </c>
    </row>
    <row r="1739" spans="1:12" x14ac:dyDescent="0.25">
      <c r="A1739" s="40">
        <v>45853.602013888885</v>
      </c>
      <c r="B1739" t="s">
        <v>1502</v>
      </c>
      <c r="C1739" t="s">
        <v>5</v>
      </c>
      <c r="D1739" t="s">
        <v>389</v>
      </c>
      <c r="E1739" t="s">
        <v>1364</v>
      </c>
      <c r="F1739" t="s">
        <v>1372</v>
      </c>
      <c r="G1739">
        <v>-195</v>
      </c>
      <c r="H1739">
        <v>2220</v>
      </c>
      <c r="K1739" t="s">
        <v>1383</v>
      </c>
    </row>
    <row r="1740" spans="1:12" x14ac:dyDescent="0.25">
      <c r="A1740" s="40">
        <v>45853.602013888885</v>
      </c>
      <c r="B1740" t="s">
        <v>1502</v>
      </c>
      <c r="C1740" t="s">
        <v>6</v>
      </c>
      <c r="D1740" t="s">
        <v>400</v>
      </c>
      <c r="E1740" t="s">
        <v>1364</v>
      </c>
      <c r="F1740" t="s">
        <v>1372</v>
      </c>
      <c r="G1740">
        <v>-30</v>
      </c>
      <c r="H1740">
        <v>6497</v>
      </c>
      <c r="K1740" t="s">
        <v>1383</v>
      </c>
    </row>
    <row r="1741" spans="1:12" x14ac:dyDescent="0.25">
      <c r="A1741" s="40">
        <v>45853.602013888885</v>
      </c>
      <c r="B1741" t="s">
        <v>1502</v>
      </c>
      <c r="C1741" t="s">
        <v>1</v>
      </c>
      <c r="D1741" t="s">
        <v>250</v>
      </c>
      <c r="E1741" t="s">
        <v>1364</v>
      </c>
      <c r="F1741" t="s">
        <v>1372</v>
      </c>
      <c r="G1741">
        <v>-135</v>
      </c>
      <c r="H1741">
        <v>1491</v>
      </c>
      <c r="K1741" t="s">
        <v>1383</v>
      </c>
    </row>
    <row r="1742" spans="1:12" x14ac:dyDescent="0.25">
      <c r="A1742" s="40">
        <v>45861.611956018518</v>
      </c>
      <c r="B1742" t="s">
        <v>1503</v>
      </c>
      <c r="C1742" t="s">
        <v>1</v>
      </c>
      <c r="D1742" t="s">
        <v>250</v>
      </c>
      <c r="E1742" t="s">
        <v>1364</v>
      </c>
      <c r="F1742" t="s">
        <v>1372</v>
      </c>
      <c r="G1742">
        <v>-762</v>
      </c>
      <c r="H1742">
        <v>729</v>
      </c>
      <c r="K1742" t="s">
        <v>1383</v>
      </c>
    </row>
    <row r="1743" spans="1:12" x14ac:dyDescent="0.25">
      <c r="A1743" s="40">
        <v>45861.611956018518</v>
      </c>
      <c r="B1743" t="s">
        <v>1503</v>
      </c>
      <c r="C1743" t="s">
        <v>7</v>
      </c>
      <c r="D1743" t="s">
        <v>307</v>
      </c>
      <c r="E1743" t="s">
        <v>1364</v>
      </c>
      <c r="F1743" t="s">
        <v>1372</v>
      </c>
      <c r="G1743">
        <v>-108</v>
      </c>
      <c r="H1743">
        <v>15585</v>
      </c>
      <c r="K1743" t="s">
        <v>1383</v>
      </c>
    </row>
    <row r="1744" spans="1:12" x14ac:dyDescent="0.25">
      <c r="A1744" s="40">
        <v>45861.611956018518</v>
      </c>
      <c r="B1744" t="s">
        <v>1503</v>
      </c>
      <c r="C1744" t="s">
        <v>58</v>
      </c>
      <c r="D1744" t="s">
        <v>315</v>
      </c>
      <c r="E1744" t="s">
        <v>1364</v>
      </c>
      <c r="F1744" t="s">
        <v>1372</v>
      </c>
      <c r="G1744">
        <v>-59</v>
      </c>
      <c r="H1744">
        <v>8403</v>
      </c>
      <c r="K1744" t="s">
        <v>1383</v>
      </c>
    </row>
    <row r="1745" spans="1:11" x14ac:dyDescent="0.25">
      <c r="A1745" s="40">
        <v>45861.611956018518</v>
      </c>
      <c r="B1745" t="s">
        <v>1503</v>
      </c>
      <c r="C1745" t="s">
        <v>94</v>
      </c>
      <c r="D1745" t="s">
        <v>404</v>
      </c>
      <c r="E1745" t="s">
        <v>1364</v>
      </c>
      <c r="F1745" t="s">
        <v>1372</v>
      </c>
      <c r="G1745">
        <v>-191</v>
      </c>
      <c r="H1745">
        <v>5444</v>
      </c>
      <c r="K1745" t="s">
        <v>1383</v>
      </c>
    </row>
    <row r="1746" spans="1:11" x14ac:dyDescent="0.25">
      <c r="A1746" s="40">
        <v>45861.611956018518</v>
      </c>
      <c r="B1746" t="s">
        <v>1503</v>
      </c>
      <c r="C1746" t="s">
        <v>27</v>
      </c>
      <c r="D1746" t="s">
        <v>381</v>
      </c>
      <c r="E1746" t="s">
        <v>1364</v>
      </c>
      <c r="F1746" t="s">
        <v>1372</v>
      </c>
      <c r="G1746">
        <v>-1055</v>
      </c>
      <c r="H1746">
        <v>6184</v>
      </c>
      <c r="K1746" t="s">
        <v>1383</v>
      </c>
    </row>
    <row r="1747" spans="1:11" x14ac:dyDescent="0.25">
      <c r="A1747" s="40">
        <v>45861.611956018518</v>
      </c>
      <c r="B1747" t="s">
        <v>1503</v>
      </c>
      <c r="C1747" t="s">
        <v>20</v>
      </c>
      <c r="D1747" t="s">
        <v>498</v>
      </c>
      <c r="E1747" t="s">
        <v>1364</v>
      </c>
      <c r="F1747" t="s">
        <v>1372</v>
      </c>
      <c r="G1747">
        <v>-108</v>
      </c>
      <c r="H1747">
        <v>7272</v>
      </c>
      <c r="K1747" t="s">
        <v>1383</v>
      </c>
    </row>
    <row r="1748" spans="1:11" x14ac:dyDescent="0.25">
      <c r="A1748" s="40">
        <v>45861.611956018518</v>
      </c>
      <c r="B1748" t="s">
        <v>1503</v>
      </c>
      <c r="C1748" t="s">
        <v>39</v>
      </c>
      <c r="D1748" t="s">
        <v>387</v>
      </c>
      <c r="E1748" t="s">
        <v>1364</v>
      </c>
      <c r="F1748" t="s">
        <v>1372</v>
      </c>
      <c r="G1748">
        <v>-59</v>
      </c>
      <c r="H1748">
        <v>6564</v>
      </c>
      <c r="K1748" t="s">
        <v>1383</v>
      </c>
    </row>
    <row r="1749" spans="1:11" x14ac:dyDescent="0.25">
      <c r="A1749" s="40">
        <v>45861.611956018518</v>
      </c>
      <c r="B1749" t="s">
        <v>1503</v>
      </c>
      <c r="C1749" t="s">
        <v>25</v>
      </c>
      <c r="D1749" t="s">
        <v>491</v>
      </c>
      <c r="E1749" t="s">
        <v>1364</v>
      </c>
      <c r="F1749" t="s">
        <v>1372</v>
      </c>
      <c r="G1749">
        <v>-59</v>
      </c>
      <c r="H1749">
        <v>1066</v>
      </c>
      <c r="K1749" t="s">
        <v>1383</v>
      </c>
    </row>
    <row r="1750" spans="1:11" x14ac:dyDescent="0.25">
      <c r="A1750" s="40">
        <v>45861.611956018518</v>
      </c>
      <c r="B1750" t="s">
        <v>1503</v>
      </c>
      <c r="C1750" t="s">
        <v>92</v>
      </c>
      <c r="D1750" t="s">
        <v>403</v>
      </c>
      <c r="E1750" t="s">
        <v>1364</v>
      </c>
      <c r="F1750" t="s">
        <v>1372</v>
      </c>
      <c r="G1750">
        <v>-59</v>
      </c>
      <c r="H1750">
        <v>2949</v>
      </c>
      <c r="K1750" t="s">
        <v>1383</v>
      </c>
    </row>
    <row r="1751" spans="1:11" x14ac:dyDescent="0.25">
      <c r="A1751" s="40">
        <v>45861.636724537035</v>
      </c>
      <c r="B1751" t="s">
        <v>1503</v>
      </c>
      <c r="C1751" t="s">
        <v>1504</v>
      </c>
      <c r="E1751" t="s">
        <v>1365</v>
      </c>
      <c r="F1751" t="s">
        <v>695</v>
      </c>
      <c r="G1751">
        <v>350</v>
      </c>
      <c r="H1751">
        <v>350</v>
      </c>
      <c r="I1751" t="s">
        <v>1505</v>
      </c>
      <c r="J1751" t="s">
        <v>1494</v>
      </c>
      <c r="K1751" t="s">
        <v>1465</v>
      </c>
    </row>
    <row r="1752" spans="1:11" x14ac:dyDescent="0.25">
      <c r="A1752" s="40">
        <v>45861.636724537035</v>
      </c>
      <c r="B1752" t="s">
        <v>1503</v>
      </c>
      <c r="C1752" t="s">
        <v>1504</v>
      </c>
      <c r="E1752" t="s">
        <v>1365</v>
      </c>
      <c r="F1752" t="s">
        <v>1372</v>
      </c>
      <c r="G1752">
        <v>-41</v>
      </c>
      <c r="H1752">
        <v>309</v>
      </c>
      <c r="K1752" t="s">
        <v>1465</v>
      </c>
    </row>
    <row r="1753" spans="1:11" x14ac:dyDescent="0.25">
      <c r="A1753" s="40">
        <v>45862.518738425926</v>
      </c>
      <c r="B1753" t="s">
        <v>1506</v>
      </c>
      <c r="C1753" t="s">
        <v>230</v>
      </c>
      <c r="D1753" t="s">
        <v>255</v>
      </c>
      <c r="E1753" t="s">
        <v>1364</v>
      </c>
      <c r="F1753" t="s">
        <v>1372</v>
      </c>
      <c r="G1753">
        <v>-90</v>
      </c>
      <c r="H1753">
        <v>4945</v>
      </c>
      <c r="K1753" t="s">
        <v>1383</v>
      </c>
    </row>
    <row r="1754" spans="1:11" x14ac:dyDescent="0.25">
      <c r="A1754" s="40">
        <v>45862.518738425926</v>
      </c>
      <c r="B1754" t="s">
        <v>1506</v>
      </c>
      <c r="C1754" t="s">
        <v>5</v>
      </c>
      <c r="D1754" t="s">
        <v>389</v>
      </c>
      <c r="E1754" t="s">
        <v>1364</v>
      </c>
      <c r="F1754" t="s">
        <v>1372</v>
      </c>
      <c r="G1754">
        <v>-155</v>
      </c>
      <c r="H1754">
        <v>2065</v>
      </c>
      <c r="K1754" t="s">
        <v>1383</v>
      </c>
    </row>
    <row r="1755" spans="1:11" x14ac:dyDescent="0.25">
      <c r="A1755" s="40">
        <v>45862.518738425926</v>
      </c>
      <c r="B1755" t="s">
        <v>1506</v>
      </c>
      <c r="C1755" t="s">
        <v>4</v>
      </c>
      <c r="D1755" t="s">
        <v>377</v>
      </c>
      <c r="E1755" t="s">
        <v>1364</v>
      </c>
      <c r="F1755" t="s">
        <v>1372</v>
      </c>
      <c r="G1755">
        <v>-155</v>
      </c>
      <c r="H1755">
        <v>6577</v>
      </c>
      <c r="K1755" t="s">
        <v>1383</v>
      </c>
    </row>
    <row r="1756" spans="1:11" x14ac:dyDescent="0.25">
      <c r="A1756" s="40">
        <v>45862.518738425926</v>
      </c>
      <c r="B1756" t="s">
        <v>1506</v>
      </c>
      <c r="C1756" t="s">
        <v>77</v>
      </c>
      <c r="D1756" t="s">
        <v>253</v>
      </c>
      <c r="E1756" t="s">
        <v>1364</v>
      </c>
      <c r="F1756" t="s">
        <v>1372</v>
      </c>
      <c r="G1756">
        <v>-165</v>
      </c>
      <c r="H1756">
        <v>6920</v>
      </c>
      <c r="K1756" t="s">
        <v>1383</v>
      </c>
    </row>
    <row r="1757" spans="1:11" x14ac:dyDescent="0.25">
      <c r="A1757" s="40">
        <v>45862.518738425926</v>
      </c>
      <c r="B1757" t="s">
        <v>1506</v>
      </c>
      <c r="C1757" t="s">
        <v>271</v>
      </c>
      <c r="D1757" t="s">
        <v>272</v>
      </c>
      <c r="E1757" t="s">
        <v>1364</v>
      </c>
      <c r="F1757" t="s">
        <v>1372</v>
      </c>
      <c r="G1757">
        <v>-25</v>
      </c>
      <c r="H1757">
        <v>2765</v>
      </c>
      <c r="K1757" t="s">
        <v>1383</v>
      </c>
    </row>
    <row r="1758" spans="1:11" x14ac:dyDescent="0.25">
      <c r="A1758" s="40">
        <v>45862.518738425926</v>
      </c>
      <c r="B1758" t="s">
        <v>1506</v>
      </c>
      <c r="C1758" t="s">
        <v>258</v>
      </c>
      <c r="D1758" t="s">
        <v>259</v>
      </c>
      <c r="E1758" t="s">
        <v>1364</v>
      </c>
      <c r="F1758" t="s">
        <v>1372</v>
      </c>
      <c r="G1758">
        <v>-35</v>
      </c>
      <c r="H1758">
        <v>3880</v>
      </c>
      <c r="K1758" t="s">
        <v>1383</v>
      </c>
    </row>
    <row r="1759" spans="1:11" x14ac:dyDescent="0.25">
      <c r="A1759" s="40">
        <v>45862.518738425926</v>
      </c>
      <c r="B1759" t="s">
        <v>1506</v>
      </c>
      <c r="C1759" t="s">
        <v>262</v>
      </c>
      <c r="D1759" t="s">
        <v>263</v>
      </c>
      <c r="E1759" t="s">
        <v>1364</v>
      </c>
      <c r="F1759" t="s">
        <v>1372</v>
      </c>
      <c r="G1759">
        <v>-30</v>
      </c>
      <c r="H1759">
        <v>120</v>
      </c>
      <c r="K1759" t="s">
        <v>1383</v>
      </c>
    </row>
    <row r="1760" spans="1:11" x14ac:dyDescent="0.25">
      <c r="A1760" s="40">
        <v>45862.518738425926</v>
      </c>
      <c r="B1760" t="s">
        <v>1506</v>
      </c>
      <c r="C1760" t="s">
        <v>256</v>
      </c>
      <c r="D1760" t="s">
        <v>257</v>
      </c>
      <c r="E1760" t="s">
        <v>1364</v>
      </c>
      <c r="F1760" t="s">
        <v>1372</v>
      </c>
      <c r="G1760">
        <v>-95</v>
      </c>
      <c r="H1760">
        <v>2435</v>
      </c>
      <c r="K1760" t="s">
        <v>1383</v>
      </c>
    </row>
    <row r="1761" spans="1:11" x14ac:dyDescent="0.25">
      <c r="A1761" s="40">
        <v>45862.518738425926</v>
      </c>
      <c r="B1761" t="s">
        <v>1506</v>
      </c>
      <c r="C1761" t="s">
        <v>308</v>
      </c>
      <c r="D1761" t="s">
        <v>306</v>
      </c>
      <c r="E1761" t="s">
        <v>1364</v>
      </c>
      <c r="F1761" t="s">
        <v>1372</v>
      </c>
      <c r="G1761">
        <v>-25</v>
      </c>
      <c r="H1761">
        <v>390</v>
      </c>
      <c r="K1761" t="s">
        <v>1383</v>
      </c>
    </row>
    <row r="1762" spans="1:11" x14ac:dyDescent="0.25">
      <c r="A1762" s="40">
        <v>45862.518738425926</v>
      </c>
      <c r="B1762" t="s">
        <v>1506</v>
      </c>
      <c r="C1762" t="s">
        <v>264</v>
      </c>
      <c r="D1762" t="s">
        <v>265</v>
      </c>
      <c r="E1762" t="s">
        <v>1364</v>
      </c>
      <c r="F1762" t="s">
        <v>1372</v>
      </c>
      <c r="G1762">
        <v>-35</v>
      </c>
      <c r="H1762">
        <v>2740</v>
      </c>
      <c r="K1762" t="s">
        <v>1383</v>
      </c>
    </row>
    <row r="1763" spans="1:11" x14ac:dyDescent="0.25">
      <c r="A1763" s="40">
        <v>45862.518738425926</v>
      </c>
      <c r="B1763" t="s">
        <v>1506</v>
      </c>
      <c r="C1763" t="s">
        <v>285</v>
      </c>
      <c r="D1763" t="s">
        <v>286</v>
      </c>
      <c r="E1763" t="s">
        <v>1364</v>
      </c>
      <c r="F1763" t="s">
        <v>1372</v>
      </c>
      <c r="G1763">
        <v>-30</v>
      </c>
      <c r="H1763">
        <v>2875</v>
      </c>
      <c r="K1763" t="s">
        <v>1383</v>
      </c>
    </row>
    <row r="1764" spans="1:11" x14ac:dyDescent="0.25">
      <c r="A1764" s="40">
        <v>45862.518738425926</v>
      </c>
      <c r="B1764" t="s">
        <v>1506</v>
      </c>
      <c r="C1764" t="s">
        <v>290</v>
      </c>
      <c r="D1764" t="s">
        <v>291</v>
      </c>
      <c r="E1764" t="s">
        <v>1364</v>
      </c>
      <c r="F1764" t="s">
        <v>1372</v>
      </c>
      <c r="G1764">
        <v>-25</v>
      </c>
      <c r="H1764">
        <v>1895</v>
      </c>
      <c r="K1764" t="s">
        <v>1383</v>
      </c>
    </row>
    <row r="1765" spans="1:11" x14ac:dyDescent="0.25">
      <c r="A1765" s="40">
        <v>45862.518738425926</v>
      </c>
      <c r="B1765" t="s">
        <v>1506</v>
      </c>
      <c r="C1765" t="s">
        <v>337</v>
      </c>
      <c r="D1765" t="s">
        <v>338</v>
      </c>
      <c r="E1765" t="s">
        <v>1364</v>
      </c>
      <c r="F1765" t="s">
        <v>1372</v>
      </c>
      <c r="G1765">
        <v>-30</v>
      </c>
      <c r="H1765">
        <v>3244</v>
      </c>
      <c r="K1765" t="s">
        <v>1383</v>
      </c>
    </row>
    <row r="1766" spans="1:11" x14ac:dyDescent="0.25">
      <c r="A1766" s="40">
        <v>45862.518738425926</v>
      </c>
      <c r="B1766" t="s">
        <v>1506</v>
      </c>
      <c r="C1766" t="s">
        <v>81</v>
      </c>
      <c r="D1766" t="s">
        <v>317</v>
      </c>
      <c r="E1766" t="s">
        <v>1364</v>
      </c>
      <c r="F1766" t="s">
        <v>1372</v>
      </c>
      <c r="G1766">
        <v>-60</v>
      </c>
      <c r="H1766">
        <v>4405</v>
      </c>
      <c r="K1766" t="s">
        <v>1383</v>
      </c>
    </row>
    <row r="1767" spans="1:11" x14ac:dyDescent="0.25">
      <c r="A1767" s="40">
        <v>45862.518738425926</v>
      </c>
      <c r="B1767" t="s">
        <v>1506</v>
      </c>
      <c r="C1767" t="s">
        <v>82</v>
      </c>
      <c r="D1767" t="s">
        <v>318</v>
      </c>
      <c r="E1767" t="s">
        <v>1364</v>
      </c>
      <c r="F1767" t="s">
        <v>1372</v>
      </c>
      <c r="G1767">
        <v>-30</v>
      </c>
      <c r="H1767">
        <v>1653</v>
      </c>
      <c r="K1767" t="s">
        <v>1383</v>
      </c>
    </row>
    <row r="1768" spans="1:11" x14ac:dyDescent="0.25">
      <c r="A1768" s="40">
        <v>45862.518738425926</v>
      </c>
      <c r="B1768" t="s">
        <v>1506</v>
      </c>
      <c r="C1768" t="s">
        <v>84</v>
      </c>
      <c r="D1768" t="s">
        <v>319</v>
      </c>
      <c r="E1768" t="s">
        <v>1364</v>
      </c>
      <c r="F1768" t="s">
        <v>1372</v>
      </c>
      <c r="G1768">
        <v>-25</v>
      </c>
      <c r="H1768">
        <v>2110</v>
      </c>
      <c r="K1768" t="s">
        <v>1383</v>
      </c>
    </row>
    <row r="1769" spans="1:11" x14ac:dyDescent="0.25">
      <c r="A1769" s="40">
        <v>45862.518738425926</v>
      </c>
      <c r="B1769" t="s">
        <v>1506</v>
      </c>
      <c r="C1769" t="s">
        <v>330</v>
      </c>
      <c r="D1769" t="s">
        <v>331</v>
      </c>
      <c r="E1769" t="s">
        <v>1364</v>
      </c>
      <c r="F1769" t="s">
        <v>1372</v>
      </c>
      <c r="G1769">
        <v>-25</v>
      </c>
      <c r="H1769">
        <v>3553</v>
      </c>
      <c r="K1769" t="s">
        <v>1383</v>
      </c>
    </row>
    <row r="1770" spans="1:11" x14ac:dyDescent="0.25">
      <c r="A1770" s="40">
        <v>45862.518738425926</v>
      </c>
      <c r="B1770" t="s">
        <v>1506</v>
      </c>
      <c r="C1770" t="s">
        <v>368</v>
      </c>
      <c r="D1770" t="s">
        <v>369</v>
      </c>
      <c r="E1770" t="s">
        <v>1364</v>
      </c>
      <c r="F1770" t="s">
        <v>1372</v>
      </c>
      <c r="G1770">
        <v>-40</v>
      </c>
      <c r="H1770">
        <v>2575</v>
      </c>
      <c r="K1770" t="s">
        <v>1383</v>
      </c>
    </row>
    <row r="1771" spans="1:11" x14ac:dyDescent="0.25">
      <c r="A1771" s="40">
        <v>45862.518738425926</v>
      </c>
      <c r="B1771" t="s">
        <v>1506</v>
      </c>
      <c r="C1771" t="s">
        <v>418</v>
      </c>
      <c r="D1771" t="s">
        <v>419</v>
      </c>
      <c r="E1771" t="s">
        <v>1364</v>
      </c>
      <c r="F1771" t="s">
        <v>1372</v>
      </c>
      <c r="G1771">
        <v>-30</v>
      </c>
      <c r="H1771">
        <v>812</v>
      </c>
      <c r="K1771" t="s">
        <v>1383</v>
      </c>
    </row>
    <row r="1772" spans="1:11" x14ac:dyDescent="0.25">
      <c r="A1772" s="40">
        <v>45862.518738425926</v>
      </c>
      <c r="B1772" t="s">
        <v>1506</v>
      </c>
      <c r="C1772" t="s">
        <v>97</v>
      </c>
      <c r="D1772" t="s">
        <v>407</v>
      </c>
      <c r="E1772" t="s">
        <v>1364</v>
      </c>
      <c r="F1772" t="s">
        <v>1372</v>
      </c>
      <c r="G1772">
        <v>-45</v>
      </c>
      <c r="H1772">
        <v>6025</v>
      </c>
      <c r="K1772" t="s">
        <v>1383</v>
      </c>
    </row>
    <row r="1773" spans="1:11" x14ac:dyDescent="0.25">
      <c r="A1773" s="40">
        <v>45862.518738425926</v>
      </c>
      <c r="B1773" t="s">
        <v>1506</v>
      </c>
      <c r="C1773" t="s">
        <v>449</v>
      </c>
      <c r="D1773" t="s">
        <v>450</v>
      </c>
      <c r="E1773" t="s">
        <v>1364</v>
      </c>
      <c r="F1773" t="s">
        <v>1372</v>
      </c>
      <c r="G1773">
        <v>-25</v>
      </c>
      <c r="H1773">
        <v>4940</v>
      </c>
      <c r="K1773" t="s">
        <v>1383</v>
      </c>
    </row>
    <row r="1774" spans="1:11" x14ac:dyDescent="0.25">
      <c r="A1774" s="40">
        <v>45862.518738425926</v>
      </c>
      <c r="B1774" t="s">
        <v>1506</v>
      </c>
      <c r="C1774" t="s">
        <v>451</v>
      </c>
      <c r="D1774" t="s">
        <v>452</v>
      </c>
      <c r="E1774" t="s">
        <v>1364</v>
      </c>
      <c r="F1774" t="s">
        <v>1372</v>
      </c>
      <c r="G1774">
        <v>-30</v>
      </c>
      <c r="H1774">
        <v>4920</v>
      </c>
      <c r="K1774" t="s">
        <v>1383</v>
      </c>
    </row>
    <row r="1775" spans="1:11" x14ac:dyDescent="0.25">
      <c r="A1775" s="40">
        <v>45862.518738425926</v>
      </c>
      <c r="B1775" t="s">
        <v>1506</v>
      </c>
      <c r="C1775" t="s">
        <v>428</v>
      </c>
      <c r="D1775" t="s">
        <v>429</v>
      </c>
      <c r="E1775" t="s">
        <v>1364</v>
      </c>
      <c r="F1775" t="s">
        <v>1372</v>
      </c>
      <c r="G1775">
        <v>-30</v>
      </c>
      <c r="H1775">
        <v>1684</v>
      </c>
      <c r="K1775" t="s">
        <v>1383</v>
      </c>
    </row>
    <row r="1776" spans="1:11" x14ac:dyDescent="0.25">
      <c r="A1776" s="40">
        <v>45862.518738425926</v>
      </c>
      <c r="B1776" t="s">
        <v>1506</v>
      </c>
      <c r="C1776" t="s">
        <v>48</v>
      </c>
      <c r="D1776" t="s">
        <v>396</v>
      </c>
      <c r="E1776" t="s">
        <v>1364</v>
      </c>
      <c r="F1776" t="s">
        <v>1372</v>
      </c>
      <c r="G1776">
        <v>-60</v>
      </c>
      <c r="H1776">
        <v>3785</v>
      </c>
      <c r="K1776" t="s">
        <v>1383</v>
      </c>
    </row>
    <row r="1777" spans="1:11" x14ac:dyDescent="0.25">
      <c r="A1777" s="40">
        <v>45862.518738425926</v>
      </c>
      <c r="B1777" t="s">
        <v>1506</v>
      </c>
      <c r="C1777" t="s">
        <v>99</v>
      </c>
      <c r="D1777" t="s">
        <v>409</v>
      </c>
      <c r="E1777" t="s">
        <v>1364</v>
      </c>
      <c r="F1777" t="s">
        <v>1372</v>
      </c>
      <c r="G1777">
        <v>-30</v>
      </c>
      <c r="H1777">
        <v>5075</v>
      </c>
      <c r="K1777" t="s">
        <v>1383</v>
      </c>
    </row>
    <row r="1778" spans="1:11" x14ac:dyDescent="0.25">
      <c r="A1778" s="40">
        <v>45862.518738425926</v>
      </c>
      <c r="B1778" t="s">
        <v>1506</v>
      </c>
      <c r="C1778" t="s">
        <v>54</v>
      </c>
      <c r="D1778" t="s">
        <v>399</v>
      </c>
      <c r="E1778" t="s">
        <v>1364</v>
      </c>
      <c r="F1778" t="s">
        <v>1372</v>
      </c>
      <c r="G1778">
        <v>-25</v>
      </c>
      <c r="H1778">
        <v>2334</v>
      </c>
      <c r="K1778" t="s">
        <v>1383</v>
      </c>
    </row>
    <row r="1779" spans="1:11" x14ac:dyDescent="0.25">
      <c r="A1779" s="40">
        <v>45862.518738425926</v>
      </c>
      <c r="B1779" t="s">
        <v>1506</v>
      </c>
      <c r="C1779" t="s">
        <v>98</v>
      </c>
      <c r="D1779" t="s">
        <v>408</v>
      </c>
      <c r="E1779" t="s">
        <v>1364</v>
      </c>
      <c r="F1779" t="s">
        <v>1372</v>
      </c>
      <c r="G1779">
        <v>-25</v>
      </c>
      <c r="H1779">
        <v>4940</v>
      </c>
      <c r="K1779" t="s">
        <v>1383</v>
      </c>
    </row>
    <row r="1780" spans="1:11" x14ac:dyDescent="0.25">
      <c r="A1780" s="40">
        <v>45862.518738425926</v>
      </c>
      <c r="B1780" t="s">
        <v>1506</v>
      </c>
      <c r="C1780" t="s">
        <v>433</v>
      </c>
      <c r="D1780" t="s">
        <v>434</v>
      </c>
      <c r="E1780" t="s">
        <v>1364</v>
      </c>
      <c r="F1780" t="s">
        <v>1372</v>
      </c>
      <c r="G1780">
        <v>-25</v>
      </c>
      <c r="H1780">
        <v>4505</v>
      </c>
      <c r="K1780" t="s">
        <v>1383</v>
      </c>
    </row>
    <row r="1781" spans="1:11" x14ac:dyDescent="0.25">
      <c r="A1781" s="40">
        <v>45862.518738425926</v>
      </c>
      <c r="B1781" t="s">
        <v>1506</v>
      </c>
      <c r="C1781" t="s">
        <v>52</v>
      </c>
      <c r="D1781" t="s">
        <v>397</v>
      </c>
      <c r="E1781" t="s">
        <v>1364</v>
      </c>
      <c r="F1781" t="s">
        <v>1372</v>
      </c>
      <c r="G1781">
        <v>-30</v>
      </c>
      <c r="H1781">
        <v>8426</v>
      </c>
      <c r="K1781" t="s">
        <v>1383</v>
      </c>
    </row>
    <row r="1782" spans="1:11" x14ac:dyDescent="0.25">
      <c r="A1782" s="40">
        <v>45862.518738425926</v>
      </c>
      <c r="B1782" t="s">
        <v>1506</v>
      </c>
      <c r="C1782" t="s">
        <v>360</v>
      </c>
      <c r="D1782" t="s">
        <v>361</v>
      </c>
      <c r="E1782" t="s">
        <v>1364</v>
      </c>
      <c r="F1782" t="s">
        <v>1372</v>
      </c>
      <c r="G1782">
        <v>-30</v>
      </c>
      <c r="H1782">
        <v>616</v>
      </c>
      <c r="K1782" t="s">
        <v>1383</v>
      </c>
    </row>
    <row r="1783" spans="1:11" x14ac:dyDescent="0.25">
      <c r="A1783" s="40">
        <v>45862.518738425926</v>
      </c>
      <c r="B1783" t="s">
        <v>1506</v>
      </c>
      <c r="C1783" t="s">
        <v>1</v>
      </c>
      <c r="D1783" t="s">
        <v>250</v>
      </c>
      <c r="E1783" t="s">
        <v>1364</v>
      </c>
      <c r="F1783" t="s">
        <v>1372</v>
      </c>
      <c r="G1783">
        <v>-90</v>
      </c>
      <c r="H1783">
        <v>639</v>
      </c>
      <c r="K1783" t="s">
        <v>1383</v>
      </c>
    </row>
    <row r="1784" spans="1:11" x14ac:dyDescent="0.25">
      <c r="A1784" s="40">
        <v>45862.518738425926</v>
      </c>
      <c r="B1784" t="s">
        <v>1506</v>
      </c>
      <c r="C1784" t="s">
        <v>60</v>
      </c>
      <c r="D1784" t="s">
        <v>350</v>
      </c>
      <c r="E1784" t="s">
        <v>1364</v>
      </c>
      <c r="F1784" t="s">
        <v>1372</v>
      </c>
      <c r="G1784">
        <v>-25</v>
      </c>
      <c r="H1784">
        <v>6797</v>
      </c>
      <c r="K1784" t="s">
        <v>1383</v>
      </c>
    </row>
    <row r="1785" spans="1:11" x14ac:dyDescent="0.25">
      <c r="A1785" s="40">
        <v>45869.602025462962</v>
      </c>
      <c r="B1785" t="s">
        <v>1737</v>
      </c>
      <c r="C1785" t="s">
        <v>1539</v>
      </c>
      <c r="E1785" t="s">
        <v>1364</v>
      </c>
      <c r="F1785" t="s">
        <v>1372</v>
      </c>
      <c r="G1785">
        <v>-1042</v>
      </c>
      <c r="H1785">
        <v>610</v>
      </c>
      <c r="K1785" t="s">
        <v>1383</v>
      </c>
    </row>
    <row r="1786" spans="1:11" x14ac:dyDescent="0.25">
      <c r="A1786" s="40">
        <v>45869.602025462962</v>
      </c>
      <c r="B1786" t="s">
        <v>1737</v>
      </c>
      <c r="C1786" t="s">
        <v>1518</v>
      </c>
      <c r="E1786" t="s">
        <v>1364</v>
      </c>
      <c r="F1786" t="s">
        <v>1372</v>
      </c>
      <c r="G1786">
        <v>-1212</v>
      </c>
      <c r="H1786">
        <v>2000</v>
      </c>
      <c r="K1786" t="s">
        <v>1383</v>
      </c>
    </row>
    <row r="1787" spans="1:11" x14ac:dyDescent="0.25">
      <c r="A1787" s="40">
        <v>45869.602025462962</v>
      </c>
      <c r="B1787" t="s">
        <v>1737</v>
      </c>
      <c r="C1787" t="s">
        <v>1735</v>
      </c>
      <c r="E1787" t="s">
        <v>1364</v>
      </c>
      <c r="F1787" t="s">
        <v>1372</v>
      </c>
      <c r="G1787">
        <v>-2424</v>
      </c>
      <c r="H1787">
        <v>0</v>
      </c>
      <c r="K1787" t="s">
        <v>1383</v>
      </c>
    </row>
    <row r="1788" spans="1:11" x14ac:dyDescent="0.25">
      <c r="A1788" s="40">
        <v>45869.602025462962</v>
      </c>
      <c r="B1788" t="s">
        <v>1737</v>
      </c>
      <c r="C1788" t="s">
        <v>1565</v>
      </c>
      <c r="E1788" t="s">
        <v>1364</v>
      </c>
      <c r="F1788" t="s">
        <v>1372</v>
      </c>
      <c r="G1788">
        <v>-1212</v>
      </c>
      <c r="H1788">
        <v>11000</v>
      </c>
      <c r="K1788" t="s">
        <v>1383</v>
      </c>
    </row>
    <row r="1789" spans="1:11" x14ac:dyDescent="0.25">
      <c r="A1789" s="40">
        <v>45869.602025462962</v>
      </c>
      <c r="B1789" t="s">
        <v>1737</v>
      </c>
      <c r="C1789" t="s">
        <v>1569</v>
      </c>
      <c r="E1789" t="s">
        <v>1364</v>
      </c>
      <c r="F1789" t="s">
        <v>1372</v>
      </c>
      <c r="G1789">
        <v>-1212</v>
      </c>
      <c r="H1789">
        <v>20400</v>
      </c>
      <c r="K1789" t="s">
        <v>1383</v>
      </c>
    </row>
    <row r="1790" spans="1:11" x14ac:dyDescent="0.25">
      <c r="A1790" s="40">
        <v>45869.602025462962</v>
      </c>
      <c r="B1790" t="s">
        <v>1737</v>
      </c>
      <c r="C1790" t="s">
        <v>1571</v>
      </c>
      <c r="E1790" t="s">
        <v>1364</v>
      </c>
      <c r="F1790" t="s">
        <v>1372</v>
      </c>
      <c r="G1790">
        <v>-1212</v>
      </c>
      <c r="H1790">
        <v>0</v>
      </c>
      <c r="K1790" t="s">
        <v>1383</v>
      </c>
    </row>
    <row r="1791" spans="1:11" x14ac:dyDescent="0.25">
      <c r="A1791" s="40">
        <v>45869.602025462962</v>
      </c>
      <c r="B1791" t="s">
        <v>1737</v>
      </c>
      <c r="C1791" t="s">
        <v>1514</v>
      </c>
      <c r="E1791" t="s">
        <v>1364</v>
      </c>
      <c r="F1791" t="s">
        <v>1372</v>
      </c>
      <c r="G1791">
        <v>-2424</v>
      </c>
      <c r="H1791">
        <v>13226</v>
      </c>
      <c r="K1791" t="s">
        <v>1383</v>
      </c>
    </row>
    <row r="1792" spans="1:11" x14ac:dyDescent="0.25">
      <c r="A1792" s="40">
        <v>45869.602025462962</v>
      </c>
      <c r="B1792" t="s">
        <v>1737</v>
      </c>
      <c r="C1792" t="s">
        <v>1563</v>
      </c>
      <c r="E1792" t="s">
        <v>1364</v>
      </c>
      <c r="F1792" t="s">
        <v>1372</v>
      </c>
      <c r="G1792">
        <v>-1212</v>
      </c>
      <c r="H1792">
        <v>0</v>
      </c>
      <c r="K1792" t="s">
        <v>1383</v>
      </c>
    </row>
    <row r="1793" spans="1:11" x14ac:dyDescent="0.25">
      <c r="A1793" s="40">
        <v>45869.602025462962</v>
      </c>
      <c r="B1793" t="s">
        <v>1737</v>
      </c>
      <c r="C1793" t="s">
        <v>1517</v>
      </c>
      <c r="E1793" t="s">
        <v>1364</v>
      </c>
      <c r="F1793" t="s">
        <v>1372</v>
      </c>
      <c r="G1793">
        <v>-7272</v>
      </c>
      <c r="H1793">
        <v>6698</v>
      </c>
      <c r="K1793" t="s">
        <v>1383</v>
      </c>
    </row>
    <row r="1794" spans="1:11" x14ac:dyDescent="0.25">
      <c r="A1794" s="40">
        <v>45869.602025462962</v>
      </c>
      <c r="B1794" t="s">
        <v>1737</v>
      </c>
      <c r="C1794" t="s">
        <v>1568</v>
      </c>
      <c r="E1794" t="s">
        <v>1364</v>
      </c>
      <c r="F1794" t="s">
        <v>1372</v>
      </c>
      <c r="G1794">
        <v>-2424</v>
      </c>
      <c r="H1794">
        <v>12576</v>
      </c>
      <c r="K1794" t="s">
        <v>1383</v>
      </c>
    </row>
    <row r="1795" spans="1:11" x14ac:dyDescent="0.25">
      <c r="A1795" s="40">
        <v>45869.602025462962</v>
      </c>
      <c r="B1795" t="s">
        <v>1737</v>
      </c>
      <c r="C1795" t="s">
        <v>1570</v>
      </c>
      <c r="E1795" t="s">
        <v>1364</v>
      </c>
      <c r="F1795" t="s">
        <v>1372</v>
      </c>
      <c r="G1795">
        <v>-1212</v>
      </c>
      <c r="H1795">
        <v>23988</v>
      </c>
      <c r="K1795" t="s">
        <v>1383</v>
      </c>
    </row>
    <row r="1796" spans="1:11" x14ac:dyDescent="0.25">
      <c r="A1796" s="40">
        <v>45869.602025462962</v>
      </c>
      <c r="B1796" t="s">
        <v>1737</v>
      </c>
      <c r="C1796" t="s">
        <v>1566</v>
      </c>
      <c r="E1796" t="s">
        <v>1364</v>
      </c>
      <c r="F1796" t="s">
        <v>1372</v>
      </c>
      <c r="G1796">
        <v>-4848</v>
      </c>
      <c r="H1796">
        <v>5052</v>
      </c>
      <c r="K1796" t="s">
        <v>1383</v>
      </c>
    </row>
    <row r="1797" spans="1:11" x14ac:dyDescent="0.25">
      <c r="A1797" s="40">
        <v>45869.602025462962</v>
      </c>
      <c r="B1797" t="s">
        <v>1737</v>
      </c>
      <c r="C1797" t="s">
        <v>1516</v>
      </c>
      <c r="E1797" t="s">
        <v>1364</v>
      </c>
      <c r="F1797" t="s">
        <v>1372</v>
      </c>
      <c r="G1797">
        <v>-2424</v>
      </c>
      <c r="H1797">
        <v>11500</v>
      </c>
      <c r="K1797" t="s">
        <v>1383</v>
      </c>
    </row>
    <row r="1798" spans="1:11" x14ac:dyDescent="0.25">
      <c r="A1798" s="40">
        <v>45869.602025462962</v>
      </c>
      <c r="B1798" t="s">
        <v>1737</v>
      </c>
      <c r="C1798" t="s">
        <v>1567</v>
      </c>
      <c r="E1798" t="s">
        <v>1364</v>
      </c>
      <c r="F1798" t="s">
        <v>1372</v>
      </c>
      <c r="G1798">
        <v>-3636</v>
      </c>
      <c r="H1798">
        <v>8814</v>
      </c>
      <c r="K1798" t="s">
        <v>1383</v>
      </c>
    </row>
    <row r="1799" spans="1:11" x14ac:dyDescent="0.25">
      <c r="A1799" s="40">
        <v>45869.602025462962</v>
      </c>
      <c r="B1799" t="s">
        <v>1737</v>
      </c>
      <c r="C1799" t="s">
        <v>1537</v>
      </c>
      <c r="E1799" t="s">
        <v>1364</v>
      </c>
      <c r="F1799" t="s">
        <v>1372</v>
      </c>
      <c r="G1799">
        <v>-1112</v>
      </c>
      <c r="H1799">
        <v>1500</v>
      </c>
      <c r="K1799" t="s">
        <v>1383</v>
      </c>
    </row>
    <row r="1800" spans="1:11" x14ac:dyDescent="0.25">
      <c r="A1800" s="40">
        <v>45869.602025462962</v>
      </c>
      <c r="B1800" t="s">
        <v>1737</v>
      </c>
      <c r="C1800" t="s">
        <v>1547</v>
      </c>
      <c r="E1800" t="s">
        <v>1364</v>
      </c>
      <c r="F1800" t="s">
        <v>1372</v>
      </c>
      <c r="G1800">
        <v>-6672</v>
      </c>
      <c r="H1800">
        <v>1238</v>
      </c>
      <c r="K1800" t="s">
        <v>1383</v>
      </c>
    </row>
    <row r="1801" spans="1:11" x14ac:dyDescent="0.25">
      <c r="A1801" s="40">
        <v>45869.602025462962</v>
      </c>
      <c r="B1801" t="s">
        <v>1737</v>
      </c>
      <c r="C1801" t="s">
        <v>1522</v>
      </c>
      <c r="E1801" t="s">
        <v>1364</v>
      </c>
      <c r="F1801" t="s">
        <v>1372</v>
      </c>
      <c r="G1801">
        <v>-1212</v>
      </c>
      <c r="H1801">
        <v>2800</v>
      </c>
      <c r="K1801" t="s">
        <v>1383</v>
      </c>
    </row>
    <row r="1802" spans="1:11" x14ac:dyDescent="0.25">
      <c r="A1802" s="40">
        <v>45869.602025462962</v>
      </c>
      <c r="B1802" t="s">
        <v>1737</v>
      </c>
      <c r="C1802" t="s">
        <v>1530</v>
      </c>
      <c r="E1802" t="s">
        <v>1364</v>
      </c>
      <c r="F1802" t="s">
        <v>1372</v>
      </c>
      <c r="G1802">
        <v>-1112</v>
      </c>
      <c r="H1802">
        <v>1430</v>
      </c>
      <c r="K1802" t="s">
        <v>1383</v>
      </c>
    </row>
    <row r="1803" spans="1:11" x14ac:dyDescent="0.25">
      <c r="A1803" s="40">
        <v>45869.602025462962</v>
      </c>
      <c r="B1803" t="s">
        <v>1737</v>
      </c>
      <c r="C1803" t="s">
        <v>1533</v>
      </c>
      <c r="E1803" t="s">
        <v>1364</v>
      </c>
      <c r="F1803" t="s">
        <v>1372</v>
      </c>
      <c r="G1803">
        <v>-1112</v>
      </c>
      <c r="H1803">
        <v>20</v>
      </c>
      <c r="K1803" t="s">
        <v>1383</v>
      </c>
    </row>
    <row r="1804" spans="1:11" x14ac:dyDescent="0.25">
      <c r="A1804" s="40">
        <v>45869.602025462962</v>
      </c>
      <c r="B1804" t="s">
        <v>1737</v>
      </c>
      <c r="C1804" t="s">
        <v>1532</v>
      </c>
      <c r="E1804" t="s">
        <v>1364</v>
      </c>
      <c r="F1804" t="s">
        <v>1372</v>
      </c>
      <c r="G1804">
        <v>-1112</v>
      </c>
      <c r="H1804">
        <v>1100</v>
      </c>
      <c r="K1804" t="s">
        <v>1383</v>
      </c>
    </row>
    <row r="1805" spans="1:11" x14ac:dyDescent="0.25">
      <c r="A1805" s="40">
        <v>45869.602025462962</v>
      </c>
      <c r="B1805" t="s">
        <v>1737</v>
      </c>
      <c r="C1805" t="s">
        <v>1542</v>
      </c>
      <c r="E1805" t="s">
        <v>1364</v>
      </c>
      <c r="F1805" t="s">
        <v>1372</v>
      </c>
      <c r="G1805">
        <v>-1042</v>
      </c>
      <c r="H1805">
        <v>495</v>
      </c>
      <c r="K1805" t="s">
        <v>1383</v>
      </c>
    </row>
    <row r="1806" spans="1:11" x14ac:dyDescent="0.25">
      <c r="A1806" s="40">
        <v>45869.602025462962</v>
      </c>
      <c r="B1806" t="s">
        <v>1737</v>
      </c>
      <c r="C1806" t="s">
        <v>1535</v>
      </c>
      <c r="E1806" t="s">
        <v>1364</v>
      </c>
      <c r="F1806" t="s">
        <v>1372</v>
      </c>
      <c r="G1806">
        <v>-1112</v>
      </c>
      <c r="H1806">
        <v>680</v>
      </c>
      <c r="K1806" t="s">
        <v>1383</v>
      </c>
    </row>
    <row r="1807" spans="1:11" x14ac:dyDescent="0.25">
      <c r="A1807" s="40">
        <v>45869.602025462962</v>
      </c>
      <c r="B1807" t="s">
        <v>1737</v>
      </c>
      <c r="C1807" t="s">
        <v>1526</v>
      </c>
      <c r="E1807" t="s">
        <v>1364</v>
      </c>
      <c r="F1807" t="s">
        <v>1372</v>
      </c>
      <c r="G1807">
        <v>-1042</v>
      </c>
      <c r="H1807">
        <v>4740</v>
      </c>
      <c r="K1807" t="s">
        <v>1383</v>
      </c>
    </row>
    <row r="1808" spans="1:11" x14ac:dyDescent="0.25">
      <c r="A1808" s="40">
        <v>45869.602025462962</v>
      </c>
      <c r="B1808" t="s">
        <v>1737</v>
      </c>
      <c r="C1808" t="s">
        <v>1534</v>
      </c>
      <c r="E1808" t="s">
        <v>1364</v>
      </c>
      <c r="F1808" t="s">
        <v>1372</v>
      </c>
      <c r="G1808">
        <v>-1112</v>
      </c>
      <c r="H1808">
        <v>1850</v>
      </c>
      <c r="K1808" t="s">
        <v>1383</v>
      </c>
    </row>
    <row r="1809" spans="1:11" x14ac:dyDescent="0.25">
      <c r="A1809" s="40">
        <v>45869.602025462962</v>
      </c>
      <c r="B1809" t="s">
        <v>1737</v>
      </c>
      <c r="C1809" t="s">
        <v>1546</v>
      </c>
      <c r="E1809" t="s">
        <v>1364</v>
      </c>
      <c r="F1809" t="s">
        <v>1372</v>
      </c>
      <c r="G1809">
        <v>-1112</v>
      </c>
      <c r="H1809">
        <v>260</v>
      </c>
      <c r="K1809" t="s">
        <v>1383</v>
      </c>
    </row>
    <row r="1810" spans="1:11" x14ac:dyDescent="0.25">
      <c r="A1810" s="40">
        <v>45869.602025462962</v>
      </c>
      <c r="B1810" t="s">
        <v>1737</v>
      </c>
      <c r="C1810" t="s">
        <v>1736</v>
      </c>
      <c r="E1810" t="s">
        <v>1364</v>
      </c>
      <c r="F1810" t="s">
        <v>1372</v>
      </c>
      <c r="G1810">
        <v>-1042</v>
      </c>
      <c r="H1810">
        <v>105</v>
      </c>
      <c r="K1810" t="s">
        <v>1383</v>
      </c>
    </row>
    <row r="1811" spans="1:11" x14ac:dyDescent="0.25">
      <c r="A1811" s="40">
        <v>45870.567175925928</v>
      </c>
      <c r="B1811" t="s">
        <v>1738</v>
      </c>
      <c r="C1811" t="s">
        <v>296</v>
      </c>
      <c r="D1811" t="s">
        <v>297</v>
      </c>
      <c r="E1811" t="s">
        <v>1364</v>
      </c>
      <c r="F1811" t="s">
        <v>1372</v>
      </c>
      <c r="G1811">
        <v>-135</v>
      </c>
      <c r="H1811">
        <v>1132</v>
      </c>
      <c r="K1811" t="s">
        <v>1383</v>
      </c>
    </row>
    <row r="1812" spans="1:11" x14ac:dyDescent="0.25">
      <c r="A1812" s="40">
        <v>45870.567175925928</v>
      </c>
      <c r="B1812" t="s">
        <v>1738</v>
      </c>
      <c r="C1812" t="s">
        <v>8</v>
      </c>
      <c r="D1812" t="s">
        <v>311</v>
      </c>
      <c r="E1812" t="s">
        <v>1364</v>
      </c>
      <c r="F1812" t="s">
        <v>1372</v>
      </c>
      <c r="G1812">
        <v>-215</v>
      </c>
      <c r="H1812">
        <v>2021</v>
      </c>
      <c r="K1812" t="s">
        <v>1383</v>
      </c>
    </row>
    <row r="1813" spans="1:11" x14ac:dyDescent="0.25">
      <c r="A1813" s="40">
        <v>45870.567175925928</v>
      </c>
      <c r="B1813" t="s">
        <v>1738</v>
      </c>
      <c r="C1813" t="s">
        <v>279</v>
      </c>
      <c r="D1813" t="s">
        <v>280</v>
      </c>
      <c r="E1813" t="s">
        <v>1364</v>
      </c>
      <c r="F1813" t="s">
        <v>1372</v>
      </c>
      <c r="G1813">
        <v>-90</v>
      </c>
      <c r="H1813">
        <v>2991</v>
      </c>
      <c r="K1813" t="s">
        <v>1383</v>
      </c>
    </row>
    <row r="1814" spans="1:11" x14ac:dyDescent="0.25">
      <c r="A1814" s="40">
        <v>45870.567175925928</v>
      </c>
      <c r="B1814" t="s">
        <v>1738</v>
      </c>
      <c r="C1814" t="s">
        <v>7</v>
      </c>
      <c r="D1814" t="s">
        <v>307</v>
      </c>
      <c r="E1814" t="s">
        <v>1364</v>
      </c>
      <c r="F1814" t="s">
        <v>1372</v>
      </c>
      <c r="G1814">
        <v>-215</v>
      </c>
      <c r="H1814">
        <v>15370</v>
      </c>
      <c r="K1814" t="s">
        <v>1383</v>
      </c>
    </row>
    <row r="1815" spans="1:11" x14ac:dyDescent="0.25">
      <c r="A1815" s="40">
        <v>45870.567175925928</v>
      </c>
      <c r="B1815" t="s">
        <v>1738</v>
      </c>
      <c r="C1815" t="s">
        <v>57</v>
      </c>
      <c r="D1815" t="s">
        <v>314</v>
      </c>
      <c r="E1815" t="s">
        <v>1364</v>
      </c>
      <c r="F1815" t="s">
        <v>1372</v>
      </c>
      <c r="G1815">
        <v>-40</v>
      </c>
      <c r="H1815">
        <v>5111</v>
      </c>
      <c r="K1815" t="s">
        <v>1383</v>
      </c>
    </row>
    <row r="1816" spans="1:11" x14ac:dyDescent="0.25">
      <c r="A1816" s="40">
        <v>45870.567175925928</v>
      </c>
      <c r="B1816" t="s">
        <v>1738</v>
      </c>
      <c r="C1816" t="s">
        <v>56</v>
      </c>
      <c r="D1816" t="s">
        <v>313</v>
      </c>
      <c r="E1816" t="s">
        <v>1364</v>
      </c>
      <c r="F1816" t="s">
        <v>1372</v>
      </c>
      <c r="G1816">
        <v>-70</v>
      </c>
      <c r="H1816">
        <v>3817</v>
      </c>
      <c r="K1816" t="s">
        <v>1383</v>
      </c>
    </row>
    <row r="1817" spans="1:11" x14ac:dyDescent="0.25">
      <c r="A1817" s="40">
        <v>45870.567175925928</v>
      </c>
      <c r="B1817" t="s">
        <v>1738</v>
      </c>
      <c r="C1817" t="s">
        <v>230</v>
      </c>
      <c r="D1817" t="s">
        <v>255</v>
      </c>
      <c r="E1817" t="s">
        <v>1364</v>
      </c>
      <c r="F1817" t="s">
        <v>1372</v>
      </c>
      <c r="G1817">
        <v>-50</v>
      </c>
      <c r="H1817">
        <v>4895</v>
      </c>
      <c r="K1817" t="s">
        <v>1383</v>
      </c>
    </row>
    <row r="1818" spans="1:11" x14ac:dyDescent="0.25">
      <c r="A1818" s="40">
        <v>45870.567175925928</v>
      </c>
      <c r="B1818" t="s">
        <v>1738</v>
      </c>
      <c r="C1818" t="s">
        <v>75</v>
      </c>
      <c r="D1818" t="s">
        <v>251</v>
      </c>
      <c r="E1818" t="s">
        <v>1364</v>
      </c>
      <c r="F1818" t="s">
        <v>1372</v>
      </c>
      <c r="G1818">
        <v>-70</v>
      </c>
      <c r="H1818">
        <v>2714</v>
      </c>
      <c r="K1818" t="s">
        <v>1383</v>
      </c>
    </row>
    <row r="1819" spans="1:11" x14ac:dyDescent="0.25">
      <c r="A1819" s="40">
        <v>45870.567175925928</v>
      </c>
      <c r="B1819" t="s">
        <v>1738</v>
      </c>
      <c r="C1819" t="s">
        <v>326</v>
      </c>
      <c r="D1819" t="s">
        <v>327</v>
      </c>
      <c r="E1819" t="s">
        <v>1364</v>
      </c>
      <c r="F1819" t="s">
        <v>1372</v>
      </c>
      <c r="G1819">
        <v>-30</v>
      </c>
      <c r="H1819">
        <v>1920</v>
      </c>
      <c r="K1819" t="s">
        <v>1383</v>
      </c>
    </row>
    <row r="1820" spans="1:11" x14ac:dyDescent="0.25">
      <c r="A1820" s="40">
        <v>45870.567175925928</v>
      </c>
      <c r="B1820" t="s">
        <v>1738</v>
      </c>
      <c r="C1820" t="s">
        <v>330</v>
      </c>
      <c r="D1820" t="s">
        <v>331</v>
      </c>
      <c r="E1820" t="s">
        <v>1364</v>
      </c>
      <c r="F1820" t="s">
        <v>1372</v>
      </c>
      <c r="G1820">
        <v>-70</v>
      </c>
      <c r="H1820">
        <v>3483</v>
      </c>
      <c r="K1820" t="s">
        <v>1383</v>
      </c>
    </row>
    <row r="1821" spans="1:11" x14ac:dyDescent="0.25">
      <c r="A1821" s="40">
        <v>45870.567175925928</v>
      </c>
      <c r="B1821" t="s">
        <v>1738</v>
      </c>
      <c r="C1821" t="s">
        <v>82</v>
      </c>
      <c r="D1821" t="s">
        <v>318</v>
      </c>
      <c r="E1821" t="s">
        <v>1364</v>
      </c>
      <c r="F1821" t="s">
        <v>1372</v>
      </c>
      <c r="G1821">
        <v>-410</v>
      </c>
      <c r="H1821">
        <v>1243</v>
      </c>
      <c r="K1821" t="s">
        <v>1383</v>
      </c>
    </row>
    <row r="1822" spans="1:11" x14ac:dyDescent="0.25">
      <c r="A1822" s="40">
        <v>45870.567175925928</v>
      </c>
      <c r="B1822" t="s">
        <v>1738</v>
      </c>
      <c r="C1822" t="s">
        <v>335</v>
      </c>
      <c r="D1822" t="s">
        <v>336</v>
      </c>
      <c r="E1822" t="s">
        <v>1364</v>
      </c>
      <c r="F1822" t="s">
        <v>1372</v>
      </c>
      <c r="G1822">
        <v>-50</v>
      </c>
      <c r="H1822">
        <v>5461</v>
      </c>
      <c r="K1822" t="s">
        <v>1383</v>
      </c>
    </row>
    <row r="1823" spans="1:11" x14ac:dyDescent="0.25">
      <c r="A1823" s="40">
        <v>45870.567175925928</v>
      </c>
      <c r="B1823" t="s">
        <v>1738</v>
      </c>
      <c r="C1823" t="s">
        <v>229</v>
      </c>
      <c r="D1823" t="s">
        <v>321</v>
      </c>
      <c r="E1823" t="s">
        <v>1364</v>
      </c>
      <c r="F1823" t="s">
        <v>1372</v>
      </c>
      <c r="G1823">
        <v>-40</v>
      </c>
      <c r="H1823">
        <v>894</v>
      </c>
      <c r="K1823" t="s">
        <v>1383</v>
      </c>
    </row>
    <row r="1824" spans="1:11" x14ac:dyDescent="0.25">
      <c r="A1824" s="40">
        <v>45870.567175925928</v>
      </c>
      <c r="B1824" t="s">
        <v>1738</v>
      </c>
      <c r="C1824" t="s">
        <v>63</v>
      </c>
      <c r="D1824" t="s">
        <v>355</v>
      </c>
      <c r="E1824" t="s">
        <v>1364</v>
      </c>
      <c r="F1824" t="s">
        <v>1372</v>
      </c>
      <c r="G1824">
        <v>-60</v>
      </c>
      <c r="H1824">
        <v>3562</v>
      </c>
      <c r="K1824" t="s">
        <v>1383</v>
      </c>
    </row>
    <row r="1825" spans="1:11" x14ac:dyDescent="0.25">
      <c r="A1825" s="40">
        <v>45870.567175925928</v>
      </c>
      <c r="B1825" t="s">
        <v>1738</v>
      </c>
      <c r="C1825" t="s">
        <v>62</v>
      </c>
      <c r="D1825" t="s">
        <v>354</v>
      </c>
      <c r="E1825" t="s">
        <v>1364</v>
      </c>
      <c r="F1825" t="s">
        <v>1372</v>
      </c>
      <c r="G1825">
        <v>-40</v>
      </c>
      <c r="H1825">
        <v>3789</v>
      </c>
      <c r="K1825" t="s">
        <v>1383</v>
      </c>
    </row>
    <row r="1826" spans="1:11" x14ac:dyDescent="0.25">
      <c r="A1826" s="40">
        <v>45870.567175925928</v>
      </c>
      <c r="B1826" t="s">
        <v>1738</v>
      </c>
      <c r="C1826" t="s">
        <v>1351</v>
      </c>
      <c r="E1826" t="s">
        <v>1365</v>
      </c>
      <c r="F1826" t="s">
        <v>1372</v>
      </c>
      <c r="G1826">
        <v>-11</v>
      </c>
      <c r="H1826">
        <v>11</v>
      </c>
      <c r="K1826" t="s">
        <v>1383</v>
      </c>
    </row>
    <row r="1827" spans="1:11" x14ac:dyDescent="0.25">
      <c r="A1827" s="40">
        <v>45870.567175925928</v>
      </c>
      <c r="B1827" t="s">
        <v>1738</v>
      </c>
      <c r="C1827" t="s">
        <v>370</v>
      </c>
      <c r="D1827" t="s">
        <v>371</v>
      </c>
      <c r="E1827" t="s">
        <v>1364</v>
      </c>
      <c r="F1827" t="s">
        <v>1372</v>
      </c>
      <c r="G1827">
        <v>-30</v>
      </c>
      <c r="H1827">
        <v>2945</v>
      </c>
      <c r="K1827" t="s">
        <v>1383</v>
      </c>
    </row>
    <row r="1828" spans="1:11" x14ac:dyDescent="0.25">
      <c r="A1828" s="40">
        <v>45870.567175925928</v>
      </c>
      <c r="B1828" t="s">
        <v>1738</v>
      </c>
      <c r="C1828" t="s">
        <v>68</v>
      </c>
      <c r="D1828" t="s">
        <v>374</v>
      </c>
      <c r="E1828" t="s">
        <v>1364</v>
      </c>
      <c r="F1828" t="s">
        <v>1372</v>
      </c>
      <c r="G1828">
        <v>-260</v>
      </c>
      <c r="H1828">
        <v>1419</v>
      </c>
      <c r="K1828" t="s">
        <v>1383</v>
      </c>
    </row>
    <row r="1829" spans="1:11" x14ac:dyDescent="0.25">
      <c r="A1829" s="40">
        <v>45870.567175925928</v>
      </c>
      <c r="B1829" t="s">
        <v>1738</v>
      </c>
      <c r="C1829" t="s">
        <v>69</v>
      </c>
      <c r="D1829" t="s">
        <v>375</v>
      </c>
      <c r="E1829" t="s">
        <v>1364</v>
      </c>
      <c r="F1829" t="s">
        <v>1372</v>
      </c>
      <c r="G1829">
        <v>-250</v>
      </c>
      <c r="H1829">
        <v>6577</v>
      </c>
      <c r="K1829" t="s">
        <v>1383</v>
      </c>
    </row>
    <row r="1830" spans="1:11" x14ac:dyDescent="0.25">
      <c r="A1830" s="40">
        <v>45870.567175925928</v>
      </c>
      <c r="B1830" t="s">
        <v>1738</v>
      </c>
      <c r="C1830" t="s">
        <v>47</v>
      </c>
      <c r="D1830" t="s">
        <v>395</v>
      </c>
      <c r="E1830" t="s">
        <v>1364</v>
      </c>
      <c r="F1830" t="s">
        <v>1372</v>
      </c>
      <c r="G1830">
        <v>-110</v>
      </c>
      <c r="H1830">
        <v>24654</v>
      </c>
      <c r="K1830" t="s">
        <v>1383</v>
      </c>
    </row>
    <row r="1831" spans="1:11" x14ac:dyDescent="0.25">
      <c r="A1831" s="40">
        <v>45870.567175925928</v>
      </c>
      <c r="B1831" t="s">
        <v>1738</v>
      </c>
      <c r="C1831" t="s">
        <v>29</v>
      </c>
      <c r="D1831" t="s">
        <v>383</v>
      </c>
      <c r="E1831" t="s">
        <v>1364</v>
      </c>
      <c r="F1831" t="s">
        <v>1372</v>
      </c>
      <c r="G1831">
        <v>-750</v>
      </c>
      <c r="H1831">
        <v>908</v>
      </c>
      <c r="K1831" t="s">
        <v>1383</v>
      </c>
    </row>
    <row r="1832" spans="1:11" x14ac:dyDescent="0.25">
      <c r="A1832" s="40">
        <v>45870.567175925928</v>
      </c>
      <c r="B1832" t="s">
        <v>1738</v>
      </c>
      <c r="C1832" t="s">
        <v>32</v>
      </c>
      <c r="D1832" t="s">
        <v>384</v>
      </c>
      <c r="E1832" t="s">
        <v>1364</v>
      </c>
      <c r="F1832" t="s">
        <v>1372</v>
      </c>
      <c r="G1832">
        <v>-205</v>
      </c>
      <c r="H1832">
        <v>3316</v>
      </c>
      <c r="K1832" t="s">
        <v>1383</v>
      </c>
    </row>
    <row r="1833" spans="1:11" x14ac:dyDescent="0.25">
      <c r="A1833" s="40">
        <v>45870.567175925928</v>
      </c>
      <c r="B1833" t="s">
        <v>1738</v>
      </c>
      <c r="C1833" t="s">
        <v>462</v>
      </c>
      <c r="D1833" t="s">
        <v>463</v>
      </c>
      <c r="E1833" t="s">
        <v>1364</v>
      </c>
      <c r="F1833" t="s">
        <v>1372</v>
      </c>
      <c r="G1833">
        <v>-50</v>
      </c>
      <c r="H1833">
        <v>2780</v>
      </c>
      <c r="K1833" t="s">
        <v>1383</v>
      </c>
    </row>
    <row r="1834" spans="1:11" x14ac:dyDescent="0.25">
      <c r="A1834" s="40">
        <v>45870.567175925928</v>
      </c>
      <c r="B1834" t="s">
        <v>1738</v>
      </c>
      <c r="C1834" t="s">
        <v>18</v>
      </c>
      <c r="D1834" t="s">
        <v>487</v>
      </c>
      <c r="E1834" t="s">
        <v>1364</v>
      </c>
      <c r="F1834" t="s">
        <v>1372</v>
      </c>
      <c r="G1834">
        <v>-310</v>
      </c>
      <c r="H1834">
        <v>9372</v>
      </c>
      <c r="K1834" t="s">
        <v>1383</v>
      </c>
    </row>
    <row r="1835" spans="1:11" x14ac:dyDescent="0.25">
      <c r="A1835" s="40">
        <v>45870.567175925928</v>
      </c>
      <c r="B1835" t="s">
        <v>1738</v>
      </c>
      <c r="C1835" t="s">
        <v>418</v>
      </c>
      <c r="D1835" t="s">
        <v>419</v>
      </c>
      <c r="E1835" t="s">
        <v>1364</v>
      </c>
      <c r="F1835" t="s">
        <v>1372</v>
      </c>
      <c r="G1835">
        <v>-50</v>
      </c>
      <c r="H1835">
        <v>762</v>
      </c>
      <c r="K1835" t="s">
        <v>1383</v>
      </c>
    </row>
    <row r="1836" spans="1:11" x14ac:dyDescent="0.25">
      <c r="A1836" s="40">
        <v>45870.567175925928</v>
      </c>
      <c r="B1836" t="s">
        <v>1738</v>
      </c>
      <c r="C1836" t="s">
        <v>21</v>
      </c>
      <c r="D1836" t="s">
        <v>488</v>
      </c>
      <c r="E1836" t="s">
        <v>1364</v>
      </c>
      <c r="F1836" t="s">
        <v>1372</v>
      </c>
      <c r="G1836">
        <v>-30</v>
      </c>
      <c r="H1836">
        <v>3470</v>
      </c>
      <c r="K1836" t="s">
        <v>1383</v>
      </c>
    </row>
    <row r="1837" spans="1:11" x14ac:dyDescent="0.25">
      <c r="A1837" s="40">
        <v>45870.567175925928</v>
      </c>
      <c r="B1837" t="s">
        <v>1738</v>
      </c>
      <c r="C1837" t="s">
        <v>90</v>
      </c>
      <c r="D1837" t="s">
        <v>503</v>
      </c>
      <c r="E1837" t="s">
        <v>1364</v>
      </c>
      <c r="F1837" t="s">
        <v>1372</v>
      </c>
      <c r="G1837">
        <v>-50</v>
      </c>
      <c r="H1837">
        <v>4214</v>
      </c>
      <c r="K1837" t="s">
        <v>1383</v>
      </c>
    </row>
    <row r="1838" spans="1:11" x14ac:dyDescent="0.25">
      <c r="A1838" s="40">
        <v>45870.567175925928</v>
      </c>
      <c r="B1838" t="s">
        <v>1738</v>
      </c>
      <c r="C1838" t="s">
        <v>435</v>
      </c>
      <c r="D1838" t="s">
        <v>436</v>
      </c>
      <c r="E1838" t="s">
        <v>1364</v>
      </c>
      <c r="F1838" t="s">
        <v>1372</v>
      </c>
      <c r="G1838">
        <v>-60</v>
      </c>
      <c r="H1838">
        <v>4616</v>
      </c>
      <c r="K1838" t="s">
        <v>1383</v>
      </c>
    </row>
    <row r="1839" spans="1:11" x14ac:dyDescent="0.25">
      <c r="A1839" s="40">
        <v>45870.567175925928</v>
      </c>
      <c r="B1839" t="s">
        <v>1738</v>
      </c>
      <c r="C1839" t="s">
        <v>412</v>
      </c>
      <c r="D1839" t="s">
        <v>413</v>
      </c>
      <c r="E1839" t="s">
        <v>1364</v>
      </c>
      <c r="F1839" t="s">
        <v>1372</v>
      </c>
      <c r="G1839">
        <v>-30</v>
      </c>
      <c r="H1839">
        <v>3388</v>
      </c>
      <c r="K1839" t="s">
        <v>1383</v>
      </c>
    </row>
    <row r="1840" spans="1:11" x14ac:dyDescent="0.25">
      <c r="A1840" s="40">
        <v>45870.567175925928</v>
      </c>
      <c r="B1840" t="s">
        <v>1738</v>
      </c>
      <c r="C1840" t="s">
        <v>26</v>
      </c>
      <c r="D1840" t="s">
        <v>380</v>
      </c>
      <c r="E1840" t="s">
        <v>1364</v>
      </c>
      <c r="F1840" t="s">
        <v>1372</v>
      </c>
      <c r="G1840">
        <v>-30</v>
      </c>
      <c r="H1840">
        <v>3532</v>
      </c>
      <c r="K1840" t="s">
        <v>1383</v>
      </c>
    </row>
    <row r="1841" spans="1:11" x14ac:dyDescent="0.25">
      <c r="A1841" s="40">
        <v>45870.567175925928</v>
      </c>
      <c r="B1841" t="s">
        <v>1738</v>
      </c>
      <c r="C1841" t="s">
        <v>101</v>
      </c>
      <c r="D1841" t="s">
        <v>507</v>
      </c>
      <c r="E1841" t="s">
        <v>1364</v>
      </c>
      <c r="F1841" t="s">
        <v>1372</v>
      </c>
      <c r="G1841">
        <v>-30</v>
      </c>
      <c r="H1841">
        <v>4868</v>
      </c>
      <c r="K1841" t="s">
        <v>1383</v>
      </c>
    </row>
    <row r="1842" spans="1:11" x14ac:dyDescent="0.25">
      <c r="A1842" s="40">
        <v>45870.567175925928</v>
      </c>
      <c r="B1842" t="s">
        <v>1738</v>
      </c>
      <c r="C1842" t="s">
        <v>13</v>
      </c>
      <c r="D1842" t="s">
        <v>453</v>
      </c>
      <c r="E1842" t="s">
        <v>1364</v>
      </c>
      <c r="F1842" t="s">
        <v>1372</v>
      </c>
      <c r="G1842">
        <v>-60</v>
      </c>
      <c r="H1842">
        <v>2605</v>
      </c>
      <c r="K1842" t="s">
        <v>1383</v>
      </c>
    </row>
    <row r="1843" spans="1:11" x14ac:dyDescent="0.25">
      <c r="A1843" s="40">
        <v>45870.567175925928</v>
      </c>
      <c r="B1843" t="s">
        <v>1738</v>
      </c>
      <c r="C1843" t="s">
        <v>28</v>
      </c>
      <c r="D1843" t="s">
        <v>382</v>
      </c>
      <c r="E1843" t="s">
        <v>1364</v>
      </c>
      <c r="F1843" t="s">
        <v>1372</v>
      </c>
      <c r="G1843">
        <v>-30</v>
      </c>
      <c r="H1843">
        <v>3225</v>
      </c>
      <c r="K1843" t="s">
        <v>1383</v>
      </c>
    </row>
    <row r="1844" spans="1:11" x14ac:dyDescent="0.25">
      <c r="A1844" s="40">
        <v>45870.567175925928</v>
      </c>
      <c r="B1844" t="s">
        <v>1738</v>
      </c>
      <c r="C1844" t="s">
        <v>89</v>
      </c>
      <c r="D1844" t="s">
        <v>359</v>
      </c>
      <c r="E1844" t="s">
        <v>1364</v>
      </c>
      <c r="F1844" t="s">
        <v>1372</v>
      </c>
      <c r="G1844">
        <v>-90</v>
      </c>
      <c r="H1844">
        <v>2733</v>
      </c>
      <c r="K1844" t="s">
        <v>1383</v>
      </c>
    </row>
    <row r="1845" spans="1:11" x14ac:dyDescent="0.25">
      <c r="A1845" s="40">
        <v>45870.567175925928</v>
      </c>
      <c r="B1845" t="s">
        <v>1738</v>
      </c>
      <c r="C1845" t="s">
        <v>24</v>
      </c>
      <c r="D1845" t="s">
        <v>378</v>
      </c>
      <c r="E1845" t="s">
        <v>1364</v>
      </c>
      <c r="F1845" t="s">
        <v>1372</v>
      </c>
      <c r="G1845">
        <v>-135</v>
      </c>
      <c r="H1845">
        <v>2518</v>
      </c>
      <c r="K1845" t="s">
        <v>1383</v>
      </c>
    </row>
    <row r="1846" spans="1:11" x14ac:dyDescent="0.25">
      <c r="A1846" s="40">
        <v>45870.567175925928</v>
      </c>
      <c r="B1846" t="s">
        <v>1738</v>
      </c>
      <c r="C1846" t="s">
        <v>15</v>
      </c>
      <c r="D1846" t="s">
        <v>474</v>
      </c>
      <c r="E1846" t="s">
        <v>1364</v>
      </c>
      <c r="F1846" t="s">
        <v>1372</v>
      </c>
      <c r="G1846">
        <v>-430</v>
      </c>
      <c r="H1846">
        <v>2342</v>
      </c>
      <c r="K1846" t="s">
        <v>1383</v>
      </c>
    </row>
    <row r="1847" spans="1:11" x14ac:dyDescent="0.25">
      <c r="A1847" s="40">
        <v>45870.567175925928</v>
      </c>
      <c r="B1847" t="s">
        <v>1738</v>
      </c>
      <c r="C1847" t="s">
        <v>441</v>
      </c>
      <c r="D1847" t="s">
        <v>442</v>
      </c>
      <c r="E1847" t="s">
        <v>1364</v>
      </c>
      <c r="F1847" t="s">
        <v>1372</v>
      </c>
      <c r="G1847">
        <v>-30</v>
      </c>
      <c r="H1847">
        <v>600</v>
      </c>
      <c r="K1847" t="s">
        <v>1383</v>
      </c>
    </row>
    <row r="1848" spans="1:11" x14ac:dyDescent="0.25">
      <c r="A1848" s="40">
        <v>45870.567175925928</v>
      </c>
      <c r="B1848" t="s">
        <v>1738</v>
      </c>
      <c r="C1848" t="s">
        <v>1</v>
      </c>
      <c r="D1848" t="s">
        <v>250</v>
      </c>
      <c r="E1848" t="s">
        <v>1364</v>
      </c>
      <c r="F1848" t="s">
        <v>1372</v>
      </c>
      <c r="G1848">
        <v>-900</v>
      </c>
      <c r="H1848">
        <v>-261</v>
      </c>
      <c r="K1848" t="s">
        <v>1383</v>
      </c>
    </row>
    <row r="1849" spans="1:11" x14ac:dyDescent="0.25">
      <c r="A1849" s="40">
        <v>45870.567175925928</v>
      </c>
      <c r="B1849" t="s">
        <v>1738</v>
      </c>
      <c r="C1849" t="s">
        <v>60</v>
      </c>
      <c r="D1849" t="s">
        <v>350</v>
      </c>
      <c r="E1849" t="s">
        <v>1364</v>
      </c>
      <c r="F1849" t="s">
        <v>1372</v>
      </c>
      <c r="G1849">
        <v>-135</v>
      </c>
      <c r="H1849">
        <v>6662</v>
      </c>
      <c r="K1849" t="s">
        <v>1383</v>
      </c>
    </row>
    <row r="1850" spans="1:11" x14ac:dyDescent="0.25">
      <c r="A1850" s="40">
        <v>45870.567175925928</v>
      </c>
      <c r="B1850" t="s">
        <v>1738</v>
      </c>
      <c r="C1850" t="s">
        <v>339</v>
      </c>
      <c r="D1850" t="s">
        <v>340</v>
      </c>
      <c r="E1850" t="s">
        <v>1364</v>
      </c>
      <c r="F1850" t="s">
        <v>1372</v>
      </c>
      <c r="G1850">
        <v>-40</v>
      </c>
      <c r="H1850">
        <v>2275</v>
      </c>
      <c r="K1850" t="s">
        <v>1383</v>
      </c>
    </row>
    <row r="1851" spans="1:11" x14ac:dyDescent="0.25">
      <c r="A1851" s="40">
        <v>45870.567175925928</v>
      </c>
      <c r="B1851" t="s">
        <v>1738</v>
      </c>
      <c r="C1851" t="s">
        <v>11</v>
      </c>
      <c r="D1851" t="s">
        <v>411</v>
      </c>
      <c r="E1851" t="s">
        <v>1364</v>
      </c>
      <c r="F1851" t="s">
        <v>1372</v>
      </c>
      <c r="G1851">
        <v>-145</v>
      </c>
      <c r="H1851">
        <v>3441</v>
      </c>
      <c r="K1851" t="s">
        <v>1383</v>
      </c>
    </row>
    <row r="1852" spans="1:11" x14ac:dyDescent="0.25">
      <c r="A1852" s="40">
        <v>45870.567175925928</v>
      </c>
      <c r="B1852" t="s">
        <v>1738</v>
      </c>
      <c r="C1852" t="s">
        <v>27</v>
      </c>
      <c r="D1852" t="s">
        <v>381</v>
      </c>
      <c r="E1852" t="s">
        <v>1364</v>
      </c>
      <c r="F1852" t="s">
        <v>1372</v>
      </c>
      <c r="G1852">
        <v>-810</v>
      </c>
      <c r="H1852">
        <v>5374</v>
      </c>
      <c r="K1852" t="s">
        <v>1383</v>
      </c>
    </row>
    <row r="1853" spans="1:11" x14ac:dyDescent="0.25">
      <c r="A1853" s="40">
        <v>45870.567175925928</v>
      </c>
      <c r="B1853" t="s">
        <v>1738</v>
      </c>
      <c r="C1853" t="s">
        <v>31</v>
      </c>
      <c r="D1853" t="s">
        <v>493</v>
      </c>
      <c r="E1853" t="s">
        <v>1364</v>
      </c>
      <c r="F1853" t="s">
        <v>1372</v>
      </c>
      <c r="G1853">
        <v>-110</v>
      </c>
      <c r="H1853">
        <v>3213</v>
      </c>
      <c r="K1853" t="s">
        <v>1383</v>
      </c>
    </row>
    <row r="1854" spans="1:11" x14ac:dyDescent="0.25">
      <c r="A1854" s="40">
        <v>45870.567175925928</v>
      </c>
      <c r="B1854" t="s">
        <v>1738</v>
      </c>
      <c r="C1854" t="s">
        <v>92</v>
      </c>
      <c r="D1854" t="s">
        <v>403</v>
      </c>
      <c r="E1854" t="s">
        <v>1364</v>
      </c>
      <c r="F1854" t="s">
        <v>1372</v>
      </c>
      <c r="G1854">
        <v>-60</v>
      </c>
      <c r="H1854">
        <v>2889</v>
      </c>
      <c r="K1854" t="s">
        <v>1383</v>
      </c>
    </row>
    <row r="1855" spans="1:11" x14ac:dyDescent="0.25">
      <c r="A1855" s="40">
        <v>45870.567175925928</v>
      </c>
      <c r="B1855" t="s">
        <v>1738</v>
      </c>
      <c r="C1855" t="s">
        <v>14</v>
      </c>
      <c r="D1855" t="s">
        <v>483</v>
      </c>
      <c r="E1855" t="s">
        <v>1364</v>
      </c>
      <c r="F1855" t="s">
        <v>1372</v>
      </c>
      <c r="G1855">
        <v>-40</v>
      </c>
      <c r="H1855">
        <v>2085</v>
      </c>
      <c r="K1855" t="s">
        <v>1383</v>
      </c>
    </row>
    <row r="1856" spans="1:11" x14ac:dyDescent="0.25">
      <c r="A1856" s="40">
        <v>45870.567175925928</v>
      </c>
      <c r="B1856" t="s">
        <v>1738</v>
      </c>
      <c r="C1856" t="s">
        <v>20</v>
      </c>
      <c r="D1856" t="s">
        <v>498</v>
      </c>
      <c r="E1856" t="s">
        <v>1364</v>
      </c>
      <c r="F1856" t="s">
        <v>1372</v>
      </c>
      <c r="G1856">
        <v>-410</v>
      </c>
      <c r="H1856">
        <v>6862</v>
      </c>
      <c r="K1856" t="s">
        <v>1383</v>
      </c>
    </row>
    <row r="1857" spans="1:11" x14ac:dyDescent="0.25">
      <c r="A1857" s="40">
        <v>45870.567175925928</v>
      </c>
      <c r="B1857" t="s">
        <v>1738</v>
      </c>
      <c r="C1857" t="s">
        <v>1353</v>
      </c>
      <c r="E1857" t="s">
        <v>1365</v>
      </c>
      <c r="F1857" t="s">
        <v>1372</v>
      </c>
      <c r="G1857">
        <v>-85</v>
      </c>
      <c r="H1857">
        <v>1154</v>
      </c>
      <c r="K1857" t="s">
        <v>1383</v>
      </c>
    </row>
    <row r="1858" spans="1:11" x14ac:dyDescent="0.25">
      <c r="A1858" s="40">
        <v>45870.567175925928</v>
      </c>
      <c r="B1858" t="s">
        <v>1738</v>
      </c>
      <c r="C1858" t="s">
        <v>343</v>
      </c>
      <c r="D1858" t="s">
        <v>344</v>
      </c>
      <c r="E1858" t="s">
        <v>1364</v>
      </c>
      <c r="F1858" t="s">
        <v>1372</v>
      </c>
      <c r="G1858">
        <v>-30</v>
      </c>
      <c r="H1858">
        <v>2282</v>
      </c>
      <c r="K1858" t="s">
        <v>1383</v>
      </c>
    </row>
    <row r="1859" spans="1:11" x14ac:dyDescent="0.25">
      <c r="A1859" s="40">
        <v>45874.618969907409</v>
      </c>
      <c r="B1859" t="s">
        <v>1739</v>
      </c>
      <c r="C1859" t="s">
        <v>7</v>
      </c>
      <c r="D1859" t="s">
        <v>307</v>
      </c>
      <c r="E1859" t="s">
        <v>1364</v>
      </c>
      <c r="F1859" t="s">
        <v>1372</v>
      </c>
      <c r="G1859">
        <v>-290</v>
      </c>
      <c r="H1859">
        <v>15080</v>
      </c>
      <c r="K1859" t="s">
        <v>1383</v>
      </c>
    </row>
    <row r="1860" spans="1:11" x14ac:dyDescent="0.25">
      <c r="A1860" s="40">
        <v>45874.618969907409</v>
      </c>
      <c r="B1860" t="s">
        <v>1739</v>
      </c>
      <c r="C1860" t="s">
        <v>75</v>
      </c>
      <c r="D1860" t="s">
        <v>251</v>
      </c>
      <c r="E1860" t="s">
        <v>1364</v>
      </c>
      <c r="F1860" t="s">
        <v>1372</v>
      </c>
      <c r="G1860">
        <v>-60</v>
      </c>
      <c r="H1860">
        <v>2654</v>
      </c>
      <c r="K1860" t="s">
        <v>1383</v>
      </c>
    </row>
    <row r="1861" spans="1:11" x14ac:dyDescent="0.25">
      <c r="A1861" s="40">
        <v>45874.618969907409</v>
      </c>
      <c r="B1861" t="s">
        <v>1739</v>
      </c>
      <c r="C1861" t="s">
        <v>262</v>
      </c>
      <c r="D1861" t="s">
        <v>263</v>
      </c>
      <c r="E1861" t="s">
        <v>1364</v>
      </c>
      <c r="F1861" t="s">
        <v>1372</v>
      </c>
      <c r="G1861">
        <v>-90</v>
      </c>
      <c r="H1861">
        <v>30</v>
      </c>
      <c r="K1861" t="s">
        <v>1383</v>
      </c>
    </row>
    <row r="1862" spans="1:11" x14ac:dyDescent="0.25">
      <c r="A1862" s="40">
        <v>45874.618969907409</v>
      </c>
      <c r="B1862" t="s">
        <v>1739</v>
      </c>
      <c r="C1862" t="s">
        <v>76</v>
      </c>
      <c r="D1862" t="s">
        <v>252</v>
      </c>
      <c r="E1862" t="s">
        <v>1364</v>
      </c>
      <c r="F1862" t="s">
        <v>1372</v>
      </c>
      <c r="G1862">
        <v>-40</v>
      </c>
      <c r="H1862">
        <v>2460</v>
      </c>
      <c r="K1862" t="s">
        <v>1383</v>
      </c>
    </row>
    <row r="1863" spans="1:11" x14ac:dyDescent="0.25">
      <c r="A1863" s="40">
        <v>45874.618969907409</v>
      </c>
      <c r="B1863" t="s">
        <v>1739</v>
      </c>
      <c r="C1863" t="s">
        <v>229</v>
      </c>
      <c r="D1863" t="s">
        <v>321</v>
      </c>
      <c r="E1863" t="s">
        <v>1364</v>
      </c>
      <c r="F1863" t="s">
        <v>1372</v>
      </c>
      <c r="G1863">
        <v>-120</v>
      </c>
      <c r="H1863">
        <v>774</v>
      </c>
      <c r="K1863" t="s">
        <v>1383</v>
      </c>
    </row>
    <row r="1864" spans="1:11" x14ac:dyDescent="0.25">
      <c r="A1864" s="40">
        <v>45874.618969907409</v>
      </c>
      <c r="B1864" t="s">
        <v>1739</v>
      </c>
      <c r="C1864" t="s">
        <v>63</v>
      </c>
      <c r="D1864" t="s">
        <v>355</v>
      </c>
      <c r="E1864" t="s">
        <v>1364</v>
      </c>
      <c r="F1864" t="s">
        <v>1372</v>
      </c>
      <c r="G1864">
        <v>-90</v>
      </c>
      <c r="H1864">
        <v>3472</v>
      </c>
      <c r="K1864" t="s">
        <v>1383</v>
      </c>
    </row>
    <row r="1865" spans="1:11" x14ac:dyDescent="0.25">
      <c r="A1865" s="40">
        <v>45874.618969907409</v>
      </c>
      <c r="B1865" t="s">
        <v>1739</v>
      </c>
      <c r="C1865" t="s">
        <v>68</v>
      </c>
      <c r="D1865" t="s">
        <v>374</v>
      </c>
      <c r="E1865" t="s">
        <v>1364</v>
      </c>
      <c r="F1865" t="s">
        <v>1372</v>
      </c>
      <c r="G1865">
        <v>-165</v>
      </c>
      <c r="H1865">
        <v>1254</v>
      </c>
      <c r="K1865" t="s">
        <v>1383</v>
      </c>
    </row>
    <row r="1866" spans="1:11" x14ac:dyDescent="0.25">
      <c r="A1866" s="40">
        <v>45874.618969907409</v>
      </c>
      <c r="B1866" t="s">
        <v>1739</v>
      </c>
      <c r="C1866" t="s">
        <v>43</v>
      </c>
      <c r="D1866" t="s">
        <v>499</v>
      </c>
      <c r="E1866" t="s">
        <v>1364</v>
      </c>
      <c r="F1866" t="s">
        <v>1372</v>
      </c>
      <c r="G1866">
        <v>-110</v>
      </c>
      <c r="H1866">
        <v>2890</v>
      </c>
      <c r="K1866" t="s">
        <v>1383</v>
      </c>
    </row>
    <row r="1867" spans="1:11" x14ac:dyDescent="0.25">
      <c r="A1867" s="40">
        <v>45874.618969907409</v>
      </c>
      <c r="B1867" t="s">
        <v>1739</v>
      </c>
      <c r="C1867" t="s">
        <v>462</v>
      </c>
      <c r="D1867" t="s">
        <v>463</v>
      </c>
      <c r="E1867" t="s">
        <v>1364</v>
      </c>
      <c r="F1867" t="s">
        <v>1372</v>
      </c>
      <c r="G1867">
        <v>-40</v>
      </c>
      <c r="H1867">
        <v>2740</v>
      </c>
      <c r="K1867" t="s">
        <v>1383</v>
      </c>
    </row>
    <row r="1868" spans="1:11" x14ac:dyDescent="0.25">
      <c r="A1868" s="40">
        <v>45874.618969907409</v>
      </c>
      <c r="B1868" t="s">
        <v>1739</v>
      </c>
      <c r="C1868" t="s">
        <v>94</v>
      </c>
      <c r="D1868" t="s">
        <v>404</v>
      </c>
      <c r="E1868" t="s">
        <v>1364</v>
      </c>
      <c r="F1868" t="s">
        <v>1372</v>
      </c>
      <c r="G1868">
        <v>-195</v>
      </c>
      <c r="H1868">
        <v>5249</v>
      </c>
      <c r="K1868" t="s">
        <v>1383</v>
      </c>
    </row>
    <row r="1869" spans="1:11" x14ac:dyDescent="0.25">
      <c r="A1869" s="40">
        <v>45874.618969907409</v>
      </c>
      <c r="B1869" t="s">
        <v>1739</v>
      </c>
      <c r="C1869" t="s">
        <v>414</v>
      </c>
      <c r="D1869" t="s">
        <v>415</v>
      </c>
      <c r="E1869" t="s">
        <v>1364</v>
      </c>
      <c r="F1869" t="s">
        <v>1372</v>
      </c>
      <c r="G1869">
        <v>-60</v>
      </c>
      <c r="H1869">
        <v>3790</v>
      </c>
      <c r="K1869" t="s">
        <v>1383</v>
      </c>
    </row>
    <row r="1870" spans="1:11" x14ac:dyDescent="0.25">
      <c r="A1870" s="40">
        <v>45874.618969907409</v>
      </c>
      <c r="B1870" t="s">
        <v>1739</v>
      </c>
      <c r="C1870" t="s">
        <v>42</v>
      </c>
      <c r="D1870" t="s">
        <v>391</v>
      </c>
      <c r="E1870" t="s">
        <v>1364</v>
      </c>
      <c r="F1870" t="s">
        <v>1372</v>
      </c>
      <c r="G1870">
        <v>-70</v>
      </c>
      <c r="H1870">
        <v>2748</v>
      </c>
      <c r="K1870" t="s">
        <v>1383</v>
      </c>
    </row>
    <row r="1871" spans="1:11" x14ac:dyDescent="0.25">
      <c r="A1871" s="40">
        <v>45874.618969907409</v>
      </c>
      <c r="B1871" t="s">
        <v>1739</v>
      </c>
      <c r="C1871" t="s">
        <v>38</v>
      </c>
      <c r="D1871" t="s">
        <v>386</v>
      </c>
      <c r="E1871" t="s">
        <v>1364</v>
      </c>
      <c r="F1871" t="s">
        <v>1372</v>
      </c>
      <c r="G1871">
        <v>-460</v>
      </c>
      <c r="H1871">
        <v>28028</v>
      </c>
      <c r="K1871" t="s">
        <v>1383</v>
      </c>
    </row>
    <row r="1872" spans="1:11" x14ac:dyDescent="0.25">
      <c r="A1872" s="40">
        <v>45874.618969907409</v>
      </c>
      <c r="B1872" t="s">
        <v>1739</v>
      </c>
      <c r="C1872" t="s">
        <v>47</v>
      </c>
      <c r="D1872" t="s">
        <v>395</v>
      </c>
      <c r="E1872" t="s">
        <v>1364</v>
      </c>
      <c r="F1872" t="s">
        <v>1372</v>
      </c>
      <c r="G1872">
        <v>-280</v>
      </c>
      <c r="H1872">
        <v>24374</v>
      </c>
      <c r="K1872" t="s">
        <v>1383</v>
      </c>
    </row>
    <row r="1873" spans="1:11" x14ac:dyDescent="0.25">
      <c r="A1873" s="40">
        <v>45874.618969907409</v>
      </c>
      <c r="B1873" t="s">
        <v>1739</v>
      </c>
      <c r="C1873" t="s">
        <v>70</v>
      </c>
      <c r="D1873" t="s">
        <v>402</v>
      </c>
      <c r="E1873" t="s">
        <v>1364</v>
      </c>
      <c r="F1873" t="s">
        <v>1372</v>
      </c>
      <c r="G1873">
        <v>-420</v>
      </c>
      <c r="H1873">
        <v>21770</v>
      </c>
      <c r="K1873" t="s">
        <v>1383</v>
      </c>
    </row>
    <row r="1874" spans="1:11" x14ac:dyDescent="0.25">
      <c r="A1874" s="40">
        <v>45874.618969907409</v>
      </c>
      <c r="B1874" t="s">
        <v>1739</v>
      </c>
      <c r="C1874" t="s">
        <v>3</v>
      </c>
      <c r="D1874" t="s">
        <v>287</v>
      </c>
      <c r="E1874" t="s">
        <v>1364</v>
      </c>
      <c r="F1874" t="s">
        <v>1372</v>
      </c>
      <c r="G1874">
        <v>-155</v>
      </c>
      <c r="H1874">
        <v>15177</v>
      </c>
      <c r="K1874" t="s">
        <v>1383</v>
      </c>
    </row>
    <row r="1875" spans="1:11" x14ac:dyDescent="0.25">
      <c r="A1875" s="40">
        <v>45874.618969907409</v>
      </c>
      <c r="B1875" t="s">
        <v>1739</v>
      </c>
      <c r="C1875" t="s">
        <v>62</v>
      </c>
      <c r="D1875" t="s">
        <v>354</v>
      </c>
      <c r="E1875" t="s">
        <v>1364</v>
      </c>
      <c r="F1875" t="s">
        <v>1372</v>
      </c>
      <c r="G1875">
        <v>-50</v>
      </c>
      <c r="H1875">
        <v>3739</v>
      </c>
      <c r="K1875" t="s">
        <v>1383</v>
      </c>
    </row>
    <row r="1876" spans="1:11" x14ac:dyDescent="0.25">
      <c r="A1876" s="40">
        <v>45874.618969907409</v>
      </c>
      <c r="B1876" t="s">
        <v>1739</v>
      </c>
      <c r="C1876" t="s">
        <v>260</v>
      </c>
      <c r="D1876" t="s">
        <v>261</v>
      </c>
      <c r="E1876" t="s">
        <v>1364</v>
      </c>
      <c r="F1876" t="s">
        <v>1372</v>
      </c>
      <c r="G1876">
        <v>-100</v>
      </c>
      <c r="H1876">
        <v>38</v>
      </c>
      <c r="K1876" t="s">
        <v>1383</v>
      </c>
    </row>
    <row r="1877" spans="1:11" x14ac:dyDescent="0.25">
      <c r="A1877" s="40">
        <v>45874.618969907409</v>
      </c>
      <c r="B1877" t="s">
        <v>1739</v>
      </c>
      <c r="C1877" t="s">
        <v>298</v>
      </c>
      <c r="D1877" t="s">
        <v>299</v>
      </c>
      <c r="E1877" t="s">
        <v>1364</v>
      </c>
      <c r="F1877" t="s">
        <v>1372</v>
      </c>
      <c r="G1877">
        <v>-40</v>
      </c>
      <c r="H1877">
        <v>790</v>
      </c>
      <c r="K1877" t="s">
        <v>1383</v>
      </c>
    </row>
    <row r="1878" spans="1:11" x14ac:dyDescent="0.25">
      <c r="A1878" s="40">
        <v>45874.618969907409</v>
      </c>
      <c r="B1878" t="s">
        <v>1739</v>
      </c>
      <c r="C1878" t="s">
        <v>277</v>
      </c>
      <c r="D1878" t="s">
        <v>278</v>
      </c>
      <c r="E1878" t="s">
        <v>1364</v>
      </c>
      <c r="F1878" t="s">
        <v>1372</v>
      </c>
      <c r="G1878">
        <v>-60</v>
      </c>
      <c r="H1878">
        <v>2374</v>
      </c>
      <c r="K1878" t="s">
        <v>1383</v>
      </c>
    </row>
    <row r="1879" spans="1:11" x14ac:dyDescent="0.25">
      <c r="A1879" s="40">
        <v>45874.618969907409</v>
      </c>
      <c r="B1879" t="s">
        <v>1739</v>
      </c>
      <c r="C1879" t="s">
        <v>267</v>
      </c>
      <c r="D1879" t="s">
        <v>268</v>
      </c>
      <c r="E1879" t="s">
        <v>1364</v>
      </c>
      <c r="F1879" t="s">
        <v>1372</v>
      </c>
      <c r="G1879">
        <v>-40</v>
      </c>
      <c r="H1879">
        <v>575</v>
      </c>
      <c r="K1879" t="s">
        <v>1383</v>
      </c>
    </row>
    <row r="1880" spans="1:11" x14ac:dyDescent="0.25">
      <c r="A1880" s="40">
        <v>45874.618969907409</v>
      </c>
      <c r="B1880" t="s">
        <v>1739</v>
      </c>
      <c r="C1880" t="s">
        <v>55</v>
      </c>
      <c r="D1880" t="s">
        <v>312</v>
      </c>
      <c r="E1880" t="s">
        <v>1364</v>
      </c>
      <c r="F1880" t="s">
        <v>1372</v>
      </c>
      <c r="G1880">
        <v>-40</v>
      </c>
      <c r="H1880">
        <v>1520</v>
      </c>
      <c r="K1880" t="s">
        <v>1383</v>
      </c>
    </row>
    <row r="1881" spans="1:11" x14ac:dyDescent="0.25">
      <c r="A1881" s="40">
        <v>45874.618969907409</v>
      </c>
      <c r="B1881" t="s">
        <v>1739</v>
      </c>
      <c r="C1881" t="s">
        <v>58</v>
      </c>
      <c r="D1881" t="s">
        <v>315</v>
      </c>
      <c r="E1881" t="s">
        <v>1364</v>
      </c>
      <c r="F1881" t="s">
        <v>1372</v>
      </c>
      <c r="G1881">
        <v>-110</v>
      </c>
      <c r="H1881">
        <v>8293</v>
      </c>
      <c r="K1881" t="s">
        <v>1383</v>
      </c>
    </row>
    <row r="1882" spans="1:11" x14ac:dyDescent="0.25">
      <c r="A1882" s="40">
        <v>45874.618969907409</v>
      </c>
      <c r="B1882" t="s">
        <v>1739</v>
      </c>
      <c r="C1882" t="s">
        <v>230</v>
      </c>
      <c r="D1882" t="s">
        <v>255</v>
      </c>
      <c r="E1882" t="s">
        <v>1364</v>
      </c>
      <c r="F1882" t="s">
        <v>1372</v>
      </c>
      <c r="G1882">
        <v>-100</v>
      </c>
      <c r="H1882">
        <v>4795</v>
      </c>
      <c r="K1882" t="s">
        <v>1383</v>
      </c>
    </row>
    <row r="1883" spans="1:11" x14ac:dyDescent="0.25">
      <c r="A1883" s="40">
        <v>45874.618969907409</v>
      </c>
      <c r="B1883" t="s">
        <v>1739</v>
      </c>
      <c r="C1883" t="s">
        <v>56</v>
      </c>
      <c r="D1883" t="s">
        <v>313</v>
      </c>
      <c r="E1883" t="s">
        <v>1364</v>
      </c>
      <c r="F1883" t="s">
        <v>1372</v>
      </c>
      <c r="G1883">
        <v>-50</v>
      </c>
      <c r="H1883">
        <v>3767</v>
      </c>
      <c r="K1883" t="s">
        <v>1383</v>
      </c>
    </row>
    <row r="1884" spans="1:11" x14ac:dyDescent="0.25">
      <c r="A1884" s="40">
        <v>45874.618969907409</v>
      </c>
      <c r="B1884" t="s">
        <v>1739</v>
      </c>
      <c r="C1884" t="s">
        <v>302</v>
      </c>
      <c r="D1884" t="s">
        <v>303</v>
      </c>
      <c r="E1884" t="s">
        <v>1364</v>
      </c>
      <c r="F1884" t="s">
        <v>1372</v>
      </c>
      <c r="G1884">
        <v>-30</v>
      </c>
      <c r="H1884">
        <v>2625</v>
      </c>
      <c r="K1884" t="s">
        <v>1383</v>
      </c>
    </row>
    <row r="1885" spans="1:11" x14ac:dyDescent="0.25">
      <c r="A1885" s="40">
        <v>45874.618969907409</v>
      </c>
      <c r="B1885" t="s">
        <v>1739</v>
      </c>
      <c r="C1885" t="s">
        <v>258</v>
      </c>
      <c r="D1885" t="s">
        <v>259</v>
      </c>
      <c r="E1885" t="s">
        <v>1364</v>
      </c>
      <c r="F1885" t="s">
        <v>1372</v>
      </c>
      <c r="G1885">
        <v>-90</v>
      </c>
      <c r="H1885">
        <v>3790</v>
      </c>
      <c r="K1885" t="s">
        <v>1383</v>
      </c>
    </row>
    <row r="1886" spans="1:11" x14ac:dyDescent="0.25">
      <c r="A1886" s="40">
        <v>45874.618969907409</v>
      </c>
      <c r="B1886" t="s">
        <v>1739</v>
      </c>
      <c r="C1886" t="s">
        <v>275</v>
      </c>
      <c r="D1886" t="s">
        <v>276</v>
      </c>
      <c r="E1886" t="s">
        <v>1364</v>
      </c>
      <c r="F1886" t="s">
        <v>1372</v>
      </c>
      <c r="G1886">
        <v>-30</v>
      </c>
      <c r="H1886">
        <v>2625</v>
      </c>
      <c r="K1886" t="s">
        <v>1383</v>
      </c>
    </row>
    <row r="1887" spans="1:11" x14ac:dyDescent="0.25">
      <c r="A1887" s="40">
        <v>45874.618969907409</v>
      </c>
      <c r="B1887" t="s">
        <v>1739</v>
      </c>
      <c r="C1887" t="s">
        <v>9</v>
      </c>
      <c r="D1887" t="s">
        <v>316</v>
      </c>
      <c r="E1887" t="s">
        <v>1364</v>
      </c>
      <c r="F1887" t="s">
        <v>1372</v>
      </c>
      <c r="G1887">
        <v>-60</v>
      </c>
      <c r="H1887">
        <v>2446</v>
      </c>
      <c r="K1887" t="s">
        <v>1383</v>
      </c>
    </row>
    <row r="1888" spans="1:11" x14ac:dyDescent="0.25">
      <c r="A1888" s="40">
        <v>45874.618969907409</v>
      </c>
      <c r="B1888" t="s">
        <v>1739</v>
      </c>
      <c r="C1888" t="s">
        <v>324</v>
      </c>
      <c r="D1888" t="s">
        <v>325</v>
      </c>
      <c r="E1888" t="s">
        <v>1364</v>
      </c>
      <c r="F1888" t="s">
        <v>1372</v>
      </c>
      <c r="G1888">
        <v>-70</v>
      </c>
      <c r="H1888">
        <v>1685</v>
      </c>
      <c r="K1888" t="s">
        <v>1383</v>
      </c>
    </row>
    <row r="1889" spans="1:11" x14ac:dyDescent="0.25">
      <c r="A1889" s="40">
        <v>45874.618969907409</v>
      </c>
      <c r="B1889" t="s">
        <v>1739</v>
      </c>
      <c r="C1889" t="s">
        <v>65</v>
      </c>
      <c r="D1889" t="s">
        <v>347</v>
      </c>
      <c r="E1889" t="s">
        <v>1364</v>
      </c>
      <c r="F1889" t="s">
        <v>1372</v>
      </c>
      <c r="G1889">
        <v>-30</v>
      </c>
      <c r="H1889">
        <v>2470</v>
      </c>
      <c r="K1889" t="s">
        <v>1383</v>
      </c>
    </row>
    <row r="1890" spans="1:11" x14ac:dyDescent="0.25">
      <c r="A1890" s="40">
        <v>45874.618969907409</v>
      </c>
      <c r="B1890" t="s">
        <v>1739</v>
      </c>
      <c r="C1890" t="s">
        <v>64</v>
      </c>
      <c r="D1890" t="s">
        <v>356</v>
      </c>
      <c r="E1890" t="s">
        <v>1364</v>
      </c>
      <c r="F1890" t="s">
        <v>1372</v>
      </c>
      <c r="G1890">
        <v>-50</v>
      </c>
      <c r="H1890">
        <v>3812</v>
      </c>
      <c r="K1890" t="s">
        <v>1383</v>
      </c>
    </row>
    <row r="1891" spans="1:11" x14ac:dyDescent="0.25">
      <c r="A1891" s="40">
        <v>45874.618969907409</v>
      </c>
      <c r="B1891" t="s">
        <v>1739</v>
      </c>
      <c r="C1891" t="s">
        <v>328</v>
      </c>
      <c r="D1891" t="s">
        <v>329</v>
      </c>
      <c r="E1891" t="s">
        <v>1364</v>
      </c>
      <c r="F1891" t="s">
        <v>1372</v>
      </c>
      <c r="G1891">
        <v>-30</v>
      </c>
      <c r="H1891">
        <v>3302</v>
      </c>
      <c r="K1891" t="s">
        <v>1383</v>
      </c>
    </row>
    <row r="1892" spans="1:11" x14ac:dyDescent="0.25">
      <c r="A1892" s="40">
        <v>45874.618969907409</v>
      </c>
      <c r="B1892" t="s">
        <v>1739</v>
      </c>
      <c r="C1892" t="s">
        <v>1483</v>
      </c>
      <c r="E1892" t="s">
        <v>1365</v>
      </c>
      <c r="F1892" t="s">
        <v>1372</v>
      </c>
      <c r="G1892">
        <v>-11</v>
      </c>
      <c r="H1892">
        <v>22</v>
      </c>
      <c r="K1892" t="s">
        <v>1383</v>
      </c>
    </row>
    <row r="1893" spans="1:11" x14ac:dyDescent="0.25">
      <c r="A1893" s="40">
        <v>45874.618969907409</v>
      </c>
      <c r="B1893" t="s">
        <v>1739</v>
      </c>
      <c r="C1893" t="s">
        <v>366</v>
      </c>
      <c r="D1893" t="s">
        <v>367</v>
      </c>
      <c r="E1893" t="s">
        <v>1364</v>
      </c>
      <c r="F1893" t="s">
        <v>1372</v>
      </c>
      <c r="G1893">
        <v>-30</v>
      </c>
      <c r="H1893">
        <v>3560</v>
      </c>
      <c r="K1893" t="s">
        <v>1383</v>
      </c>
    </row>
    <row r="1894" spans="1:11" x14ac:dyDescent="0.25">
      <c r="A1894" s="40">
        <v>45874.618969907409</v>
      </c>
      <c r="B1894" t="s">
        <v>1739</v>
      </c>
      <c r="C1894" t="s">
        <v>54</v>
      </c>
      <c r="D1894" t="s">
        <v>399</v>
      </c>
      <c r="E1894" t="s">
        <v>1364</v>
      </c>
      <c r="F1894" t="s">
        <v>1372</v>
      </c>
      <c r="G1894">
        <v>-110</v>
      </c>
      <c r="H1894">
        <v>2224</v>
      </c>
      <c r="K1894" t="s">
        <v>1383</v>
      </c>
    </row>
    <row r="1895" spans="1:11" x14ac:dyDescent="0.25">
      <c r="A1895" s="40">
        <v>45874.618969907409</v>
      </c>
      <c r="B1895" t="s">
        <v>1739</v>
      </c>
      <c r="C1895" t="s">
        <v>69</v>
      </c>
      <c r="D1895" t="s">
        <v>375</v>
      </c>
      <c r="E1895" t="s">
        <v>1364</v>
      </c>
      <c r="F1895" t="s">
        <v>1372</v>
      </c>
      <c r="G1895">
        <v>-145</v>
      </c>
      <c r="H1895">
        <v>6432</v>
      </c>
      <c r="K1895" t="s">
        <v>1383</v>
      </c>
    </row>
    <row r="1896" spans="1:11" x14ac:dyDescent="0.25">
      <c r="A1896" s="40">
        <v>45874.618969907409</v>
      </c>
      <c r="B1896" t="s">
        <v>1739</v>
      </c>
      <c r="C1896" t="s">
        <v>412</v>
      </c>
      <c r="D1896" t="s">
        <v>413</v>
      </c>
      <c r="E1896" t="s">
        <v>1364</v>
      </c>
      <c r="F1896" t="s">
        <v>1372</v>
      </c>
      <c r="G1896">
        <v>-155</v>
      </c>
      <c r="H1896">
        <v>3233</v>
      </c>
      <c r="K1896" t="s">
        <v>1383</v>
      </c>
    </row>
    <row r="1897" spans="1:11" x14ac:dyDescent="0.25">
      <c r="A1897" s="40">
        <v>45874.618969907409</v>
      </c>
      <c r="B1897" t="s">
        <v>1739</v>
      </c>
      <c r="C1897" t="s">
        <v>37</v>
      </c>
      <c r="D1897" t="s">
        <v>497</v>
      </c>
      <c r="E1897" t="s">
        <v>1364</v>
      </c>
      <c r="F1897" t="s">
        <v>1372</v>
      </c>
      <c r="G1897">
        <v>-60</v>
      </c>
      <c r="H1897">
        <v>6634</v>
      </c>
      <c r="K1897" t="s">
        <v>1383</v>
      </c>
    </row>
    <row r="1898" spans="1:11" x14ac:dyDescent="0.25">
      <c r="A1898" s="40">
        <v>45874.618969907409</v>
      </c>
      <c r="B1898" t="s">
        <v>1739</v>
      </c>
      <c r="C1898" t="s">
        <v>456</v>
      </c>
      <c r="D1898" t="s">
        <v>457</v>
      </c>
      <c r="E1898" t="s">
        <v>1364</v>
      </c>
      <c r="F1898" t="s">
        <v>1372</v>
      </c>
      <c r="G1898">
        <v>-100</v>
      </c>
      <c r="H1898">
        <v>3507</v>
      </c>
      <c r="K1898" t="s">
        <v>1383</v>
      </c>
    </row>
    <row r="1899" spans="1:11" x14ac:dyDescent="0.25">
      <c r="A1899" s="40">
        <v>45874.618969907409</v>
      </c>
      <c r="B1899" t="s">
        <v>1739</v>
      </c>
      <c r="C1899" t="s">
        <v>45</v>
      </c>
      <c r="D1899" t="s">
        <v>393</v>
      </c>
      <c r="E1899" t="s">
        <v>1364</v>
      </c>
      <c r="F1899" t="s">
        <v>1372</v>
      </c>
      <c r="G1899">
        <v>-30</v>
      </c>
      <c r="H1899">
        <v>3232</v>
      </c>
      <c r="K1899" t="s">
        <v>1383</v>
      </c>
    </row>
    <row r="1900" spans="1:11" x14ac:dyDescent="0.25">
      <c r="A1900" s="40">
        <v>45874.618969907409</v>
      </c>
      <c r="B1900" t="s">
        <v>1739</v>
      </c>
      <c r="C1900" t="s">
        <v>6</v>
      </c>
      <c r="D1900" t="s">
        <v>400</v>
      </c>
      <c r="E1900" t="s">
        <v>1364</v>
      </c>
      <c r="F1900" t="s">
        <v>1372</v>
      </c>
      <c r="G1900">
        <v>-120</v>
      </c>
      <c r="H1900">
        <v>6377</v>
      </c>
      <c r="K1900" t="s">
        <v>1383</v>
      </c>
    </row>
    <row r="1901" spans="1:11" x14ac:dyDescent="0.25">
      <c r="A1901" s="40">
        <v>45874.618969907409</v>
      </c>
      <c r="B1901" t="s">
        <v>1739</v>
      </c>
      <c r="C1901" t="s">
        <v>435</v>
      </c>
      <c r="D1901" t="s">
        <v>436</v>
      </c>
      <c r="E1901" t="s">
        <v>1364</v>
      </c>
      <c r="F1901" t="s">
        <v>1372</v>
      </c>
      <c r="G1901">
        <v>-60</v>
      </c>
      <c r="H1901">
        <v>4556</v>
      </c>
      <c r="K1901" t="s">
        <v>1383</v>
      </c>
    </row>
    <row r="1902" spans="1:11" x14ac:dyDescent="0.25">
      <c r="A1902" s="40">
        <v>45874.618969907409</v>
      </c>
      <c r="B1902" t="s">
        <v>1739</v>
      </c>
      <c r="C1902" t="s">
        <v>44</v>
      </c>
      <c r="D1902" t="s">
        <v>392</v>
      </c>
      <c r="E1902" t="s">
        <v>1364</v>
      </c>
      <c r="F1902" t="s">
        <v>1372</v>
      </c>
      <c r="G1902">
        <v>-100</v>
      </c>
      <c r="H1902">
        <v>9599</v>
      </c>
      <c r="K1902" t="s">
        <v>1383</v>
      </c>
    </row>
    <row r="1903" spans="1:11" x14ac:dyDescent="0.25">
      <c r="A1903" s="40">
        <v>45874.618969907409</v>
      </c>
      <c r="B1903" t="s">
        <v>1739</v>
      </c>
      <c r="C1903" t="s">
        <v>41</v>
      </c>
      <c r="D1903" t="s">
        <v>390</v>
      </c>
      <c r="E1903" t="s">
        <v>1364</v>
      </c>
      <c r="F1903" t="s">
        <v>1372</v>
      </c>
      <c r="G1903">
        <v>-30</v>
      </c>
      <c r="H1903">
        <v>3345</v>
      </c>
      <c r="K1903" t="s">
        <v>1383</v>
      </c>
    </row>
    <row r="1904" spans="1:11" x14ac:dyDescent="0.25">
      <c r="A1904" s="40">
        <v>45874.618969907409</v>
      </c>
      <c r="B1904" t="s">
        <v>1739</v>
      </c>
      <c r="C1904" t="s">
        <v>26</v>
      </c>
      <c r="D1904" t="s">
        <v>380</v>
      </c>
      <c r="E1904" t="s">
        <v>1364</v>
      </c>
      <c r="F1904" t="s">
        <v>1372</v>
      </c>
      <c r="G1904">
        <v>-30</v>
      </c>
      <c r="H1904">
        <v>3502</v>
      </c>
      <c r="K1904" t="s">
        <v>1383</v>
      </c>
    </row>
    <row r="1905" spans="1:11" x14ac:dyDescent="0.25">
      <c r="A1905" s="40">
        <v>45874.618969907409</v>
      </c>
      <c r="B1905" t="s">
        <v>1739</v>
      </c>
      <c r="C1905" t="s">
        <v>46</v>
      </c>
      <c r="D1905" t="s">
        <v>394</v>
      </c>
      <c r="E1905" t="s">
        <v>1364</v>
      </c>
      <c r="F1905" t="s">
        <v>1372</v>
      </c>
      <c r="G1905">
        <v>-30</v>
      </c>
      <c r="H1905">
        <v>3560</v>
      </c>
      <c r="K1905" t="s">
        <v>1383</v>
      </c>
    </row>
    <row r="1906" spans="1:11" x14ac:dyDescent="0.25">
      <c r="A1906" s="40">
        <v>45874.618969907409</v>
      </c>
      <c r="B1906" t="s">
        <v>1739</v>
      </c>
      <c r="C1906" t="s">
        <v>437</v>
      </c>
      <c r="D1906" t="s">
        <v>438</v>
      </c>
      <c r="E1906" t="s">
        <v>1364</v>
      </c>
      <c r="F1906" t="s">
        <v>1372</v>
      </c>
      <c r="G1906">
        <v>-30</v>
      </c>
      <c r="H1906">
        <v>2790</v>
      </c>
      <c r="K1906" t="s">
        <v>1383</v>
      </c>
    </row>
    <row r="1907" spans="1:11" x14ac:dyDescent="0.25">
      <c r="A1907" s="40">
        <v>45874.618969907409</v>
      </c>
      <c r="B1907" t="s">
        <v>1739</v>
      </c>
      <c r="C1907" t="s">
        <v>35</v>
      </c>
      <c r="D1907" t="s">
        <v>496</v>
      </c>
      <c r="E1907" t="s">
        <v>1364</v>
      </c>
      <c r="F1907" t="s">
        <v>1372</v>
      </c>
      <c r="G1907">
        <v>-120</v>
      </c>
      <c r="H1907">
        <v>880</v>
      </c>
      <c r="K1907" t="s">
        <v>1383</v>
      </c>
    </row>
    <row r="1908" spans="1:11" x14ac:dyDescent="0.25">
      <c r="A1908" s="40">
        <v>45874.618969907409</v>
      </c>
      <c r="B1908" t="s">
        <v>1739</v>
      </c>
      <c r="C1908" t="s">
        <v>50</v>
      </c>
      <c r="D1908" t="s">
        <v>501</v>
      </c>
      <c r="E1908" t="s">
        <v>1364</v>
      </c>
      <c r="F1908" t="s">
        <v>1372</v>
      </c>
      <c r="G1908">
        <v>-60</v>
      </c>
      <c r="H1908">
        <v>2940</v>
      </c>
      <c r="K1908" t="s">
        <v>1383</v>
      </c>
    </row>
    <row r="1909" spans="1:11" x14ac:dyDescent="0.25">
      <c r="A1909" s="40">
        <v>45874.618969907409</v>
      </c>
      <c r="B1909" t="s">
        <v>1739</v>
      </c>
      <c r="C1909" t="s">
        <v>428</v>
      </c>
      <c r="D1909" t="s">
        <v>429</v>
      </c>
      <c r="E1909" t="s">
        <v>1364</v>
      </c>
      <c r="F1909" t="s">
        <v>1372</v>
      </c>
      <c r="G1909">
        <v>-195</v>
      </c>
      <c r="H1909">
        <v>1489</v>
      </c>
      <c r="K1909" t="s">
        <v>1383</v>
      </c>
    </row>
    <row r="1910" spans="1:11" x14ac:dyDescent="0.25">
      <c r="A1910" s="40">
        <v>45874.618969907409</v>
      </c>
      <c r="B1910" t="s">
        <v>1739</v>
      </c>
      <c r="C1910" t="s">
        <v>52</v>
      </c>
      <c r="D1910" t="s">
        <v>397</v>
      </c>
      <c r="E1910" t="s">
        <v>1364</v>
      </c>
      <c r="F1910" t="s">
        <v>1372</v>
      </c>
      <c r="G1910">
        <v>-30</v>
      </c>
      <c r="H1910">
        <v>8396</v>
      </c>
      <c r="K1910" t="s">
        <v>1383</v>
      </c>
    </row>
    <row r="1911" spans="1:11" x14ac:dyDescent="0.25">
      <c r="A1911" s="40">
        <v>45874.618969907409</v>
      </c>
      <c r="B1911" t="s">
        <v>1739</v>
      </c>
      <c r="C1911" t="s">
        <v>53</v>
      </c>
      <c r="D1911" t="s">
        <v>398</v>
      </c>
      <c r="E1911" t="s">
        <v>1364</v>
      </c>
      <c r="F1911" t="s">
        <v>1372</v>
      </c>
      <c r="G1911">
        <v>-110</v>
      </c>
      <c r="H1911">
        <v>1320</v>
      </c>
      <c r="K1911" t="s">
        <v>1383</v>
      </c>
    </row>
    <row r="1912" spans="1:11" x14ac:dyDescent="0.25">
      <c r="A1912" s="40">
        <v>45874.618969907409</v>
      </c>
      <c r="B1912" t="s">
        <v>1739</v>
      </c>
      <c r="C1912" t="s">
        <v>34</v>
      </c>
      <c r="D1912" t="s">
        <v>495</v>
      </c>
      <c r="E1912" t="s">
        <v>1364</v>
      </c>
      <c r="F1912" t="s">
        <v>1372</v>
      </c>
      <c r="G1912">
        <v>-50</v>
      </c>
      <c r="H1912">
        <v>2950</v>
      </c>
      <c r="K1912" t="s">
        <v>1383</v>
      </c>
    </row>
    <row r="1913" spans="1:11" x14ac:dyDescent="0.25">
      <c r="A1913" s="40">
        <v>45874.618969907409</v>
      </c>
      <c r="B1913" t="s">
        <v>1739</v>
      </c>
      <c r="C1913" t="s">
        <v>458</v>
      </c>
      <c r="D1913" t="s">
        <v>459</v>
      </c>
      <c r="E1913" t="s">
        <v>1364</v>
      </c>
      <c r="F1913" t="s">
        <v>1372</v>
      </c>
      <c r="G1913">
        <v>-90</v>
      </c>
      <c r="H1913">
        <v>3665</v>
      </c>
      <c r="K1913" t="s">
        <v>1383</v>
      </c>
    </row>
    <row r="1914" spans="1:11" x14ac:dyDescent="0.25">
      <c r="A1914" s="40">
        <v>45874.618969907409</v>
      </c>
      <c r="B1914" t="s">
        <v>1739</v>
      </c>
      <c r="C1914" t="s">
        <v>59</v>
      </c>
      <c r="D1914" t="s">
        <v>401</v>
      </c>
      <c r="E1914" t="s">
        <v>1364</v>
      </c>
      <c r="F1914" t="s">
        <v>1372</v>
      </c>
      <c r="G1914">
        <v>-30</v>
      </c>
      <c r="H1914">
        <v>3430</v>
      </c>
      <c r="K1914" t="s">
        <v>1383</v>
      </c>
    </row>
    <row r="1915" spans="1:11" x14ac:dyDescent="0.25">
      <c r="A1915" s="40">
        <v>45874.618969907409</v>
      </c>
      <c r="B1915" t="s">
        <v>1739</v>
      </c>
      <c r="C1915" t="s">
        <v>51</v>
      </c>
      <c r="D1915" t="s">
        <v>502</v>
      </c>
      <c r="E1915" t="s">
        <v>1364</v>
      </c>
      <c r="F1915" t="s">
        <v>1372</v>
      </c>
      <c r="G1915">
        <v>-90</v>
      </c>
      <c r="H1915">
        <v>2410</v>
      </c>
      <c r="K1915" t="s">
        <v>1383</v>
      </c>
    </row>
    <row r="1916" spans="1:11" x14ac:dyDescent="0.25">
      <c r="A1916" s="40">
        <v>45874.618969907409</v>
      </c>
      <c r="B1916" t="s">
        <v>1739</v>
      </c>
      <c r="C1916" t="s">
        <v>1352</v>
      </c>
      <c r="E1916" t="s">
        <v>1365</v>
      </c>
      <c r="F1916" t="s">
        <v>1372</v>
      </c>
      <c r="G1916">
        <v>-162</v>
      </c>
      <c r="H1916">
        <v>1542</v>
      </c>
      <c r="K1916" t="s">
        <v>1383</v>
      </c>
    </row>
    <row r="1917" spans="1:11" x14ac:dyDescent="0.25">
      <c r="A1917" s="40">
        <v>45874.618969907409</v>
      </c>
      <c r="B1917" t="s">
        <v>1739</v>
      </c>
      <c r="C1917" t="s">
        <v>693</v>
      </c>
      <c r="D1917" t="s">
        <v>701</v>
      </c>
      <c r="E1917" t="s">
        <v>1364</v>
      </c>
      <c r="F1917" t="s">
        <v>1372</v>
      </c>
      <c r="G1917">
        <v>-30</v>
      </c>
      <c r="H1917">
        <v>330</v>
      </c>
      <c r="K1917" t="s">
        <v>1383</v>
      </c>
    </row>
    <row r="1918" spans="1:11" x14ac:dyDescent="0.25">
      <c r="A1918" s="40">
        <v>45874.618969907409</v>
      </c>
      <c r="B1918" t="s">
        <v>1739</v>
      </c>
      <c r="C1918" t="s">
        <v>10</v>
      </c>
      <c r="D1918" t="s">
        <v>332</v>
      </c>
      <c r="E1918" t="s">
        <v>1364</v>
      </c>
      <c r="F1918" t="s">
        <v>1372</v>
      </c>
      <c r="G1918">
        <v>-420</v>
      </c>
      <c r="H1918">
        <v>7606</v>
      </c>
      <c r="K1918" t="s">
        <v>1383</v>
      </c>
    </row>
    <row r="1919" spans="1:11" x14ac:dyDescent="0.25">
      <c r="A1919" s="40">
        <v>45874.618969907409</v>
      </c>
      <c r="B1919" t="s">
        <v>1739</v>
      </c>
      <c r="C1919" t="s">
        <v>66</v>
      </c>
      <c r="D1919" t="s">
        <v>357</v>
      </c>
      <c r="E1919" t="s">
        <v>1364</v>
      </c>
      <c r="F1919" t="s">
        <v>1372</v>
      </c>
      <c r="G1919">
        <v>-135</v>
      </c>
      <c r="H1919">
        <v>5375</v>
      </c>
      <c r="K1919" t="s">
        <v>1383</v>
      </c>
    </row>
    <row r="1920" spans="1:11" x14ac:dyDescent="0.25">
      <c r="A1920" s="40">
        <v>45874.618969907409</v>
      </c>
      <c r="B1920" t="s">
        <v>1739</v>
      </c>
      <c r="C1920" t="s">
        <v>1</v>
      </c>
      <c r="D1920" t="s">
        <v>250</v>
      </c>
      <c r="E1920" t="s">
        <v>1364</v>
      </c>
      <c r="F1920" t="s">
        <v>1372</v>
      </c>
      <c r="G1920">
        <v>-1160</v>
      </c>
      <c r="H1920">
        <v>-1421</v>
      </c>
      <c r="K1920" t="s">
        <v>1383</v>
      </c>
    </row>
    <row r="1921" spans="1:11" x14ac:dyDescent="0.25">
      <c r="A1921" s="40">
        <v>45874.618969907409</v>
      </c>
      <c r="B1921" t="s">
        <v>1739</v>
      </c>
      <c r="C1921" t="s">
        <v>36</v>
      </c>
      <c r="D1921" t="s">
        <v>385</v>
      </c>
      <c r="E1921" t="s">
        <v>1364</v>
      </c>
      <c r="F1921" t="s">
        <v>1372</v>
      </c>
      <c r="G1921">
        <v>-530</v>
      </c>
      <c r="H1921">
        <v>4066</v>
      </c>
      <c r="K1921" t="s">
        <v>1383</v>
      </c>
    </row>
    <row r="1922" spans="1:11" x14ac:dyDescent="0.25">
      <c r="A1922" s="40">
        <v>45874.618969907409</v>
      </c>
      <c r="B1922" t="s">
        <v>1739</v>
      </c>
      <c r="C1922" t="s">
        <v>5</v>
      </c>
      <c r="D1922" t="s">
        <v>389</v>
      </c>
      <c r="E1922" t="s">
        <v>1364</v>
      </c>
      <c r="F1922" t="s">
        <v>1372</v>
      </c>
      <c r="G1922">
        <v>-40</v>
      </c>
      <c r="H1922">
        <v>2025</v>
      </c>
      <c r="K1922" t="s">
        <v>1383</v>
      </c>
    </row>
    <row r="1923" spans="1:11" x14ac:dyDescent="0.25">
      <c r="A1923" s="40">
        <v>45874.618969907409</v>
      </c>
      <c r="B1923" t="s">
        <v>1739</v>
      </c>
      <c r="C1923" t="s">
        <v>33</v>
      </c>
      <c r="D1923" t="s">
        <v>494</v>
      </c>
      <c r="E1923" t="s">
        <v>1364</v>
      </c>
      <c r="F1923" t="s">
        <v>1372</v>
      </c>
      <c r="G1923">
        <v>-30</v>
      </c>
      <c r="H1923">
        <v>3470</v>
      </c>
      <c r="K1923" t="s">
        <v>1383</v>
      </c>
    </row>
    <row r="1924" spans="1:11" x14ac:dyDescent="0.25">
      <c r="A1924" s="40">
        <v>45874.618969907409</v>
      </c>
      <c r="B1924" t="s">
        <v>1739</v>
      </c>
      <c r="C1924" t="s">
        <v>1353</v>
      </c>
      <c r="E1924" t="s">
        <v>1365</v>
      </c>
      <c r="F1924" t="s">
        <v>1372</v>
      </c>
      <c r="G1924">
        <v>-55</v>
      </c>
      <c r="H1924">
        <v>1099</v>
      </c>
      <c r="K1924" t="s">
        <v>1383</v>
      </c>
    </row>
    <row r="1925" spans="1:11" x14ac:dyDescent="0.25">
      <c r="A1925" s="40">
        <v>45874.618969907409</v>
      </c>
      <c r="B1925" t="s">
        <v>1739</v>
      </c>
      <c r="C1925" t="s">
        <v>2</v>
      </c>
      <c r="D1925" t="s">
        <v>266</v>
      </c>
      <c r="E1925" t="s">
        <v>1364</v>
      </c>
      <c r="F1925" t="s">
        <v>1372</v>
      </c>
      <c r="G1925">
        <v>-30</v>
      </c>
      <c r="H1925">
        <v>3601</v>
      </c>
      <c r="K1925" t="s">
        <v>1383</v>
      </c>
    </row>
    <row r="1926" spans="1:11" x14ac:dyDescent="0.25">
      <c r="A1926" s="40">
        <v>45874.618969907409</v>
      </c>
      <c r="B1926" t="s">
        <v>1739</v>
      </c>
      <c r="C1926" t="s">
        <v>322</v>
      </c>
      <c r="D1926" t="s">
        <v>323</v>
      </c>
      <c r="E1926" t="s">
        <v>1364</v>
      </c>
      <c r="F1926" t="s">
        <v>1372</v>
      </c>
      <c r="G1926">
        <v>-100</v>
      </c>
      <c r="H1926">
        <v>3084</v>
      </c>
      <c r="K1926" t="s">
        <v>1383</v>
      </c>
    </row>
    <row r="1927" spans="1:11" x14ac:dyDescent="0.25">
      <c r="A1927" s="40">
        <v>45874.618969907409</v>
      </c>
      <c r="B1927" t="s">
        <v>1739</v>
      </c>
      <c r="C1927" t="s">
        <v>339</v>
      </c>
      <c r="D1927" t="s">
        <v>340</v>
      </c>
      <c r="E1927" t="s">
        <v>1364</v>
      </c>
      <c r="F1927" t="s">
        <v>1372</v>
      </c>
      <c r="G1927">
        <v>-40</v>
      </c>
      <c r="H1927">
        <v>2235</v>
      </c>
      <c r="K1927" t="s">
        <v>1383</v>
      </c>
    </row>
    <row r="1928" spans="1:11" x14ac:dyDescent="0.25">
      <c r="A1928" s="40">
        <v>45874.618969907409</v>
      </c>
      <c r="B1928" t="s">
        <v>1739</v>
      </c>
      <c r="C1928" t="s">
        <v>61</v>
      </c>
      <c r="D1928" t="s">
        <v>353</v>
      </c>
      <c r="E1928" t="s">
        <v>1364</v>
      </c>
      <c r="F1928" t="s">
        <v>1372</v>
      </c>
      <c r="G1928">
        <v>-100</v>
      </c>
      <c r="H1928">
        <v>2596</v>
      </c>
      <c r="K1928" t="s">
        <v>1383</v>
      </c>
    </row>
    <row r="1929" spans="1:11" x14ac:dyDescent="0.25">
      <c r="A1929" s="40">
        <v>45874.618969907409</v>
      </c>
      <c r="B1929" t="s">
        <v>1739</v>
      </c>
      <c r="C1929" t="s">
        <v>60</v>
      </c>
      <c r="D1929" t="s">
        <v>350</v>
      </c>
      <c r="E1929" t="s">
        <v>1364</v>
      </c>
      <c r="F1929" t="s">
        <v>1372</v>
      </c>
      <c r="G1929">
        <v>-225</v>
      </c>
      <c r="H1929">
        <v>6437</v>
      </c>
      <c r="K1929" t="s">
        <v>1383</v>
      </c>
    </row>
    <row r="1930" spans="1:11" x14ac:dyDescent="0.25">
      <c r="A1930" s="40">
        <v>45874.618969907409</v>
      </c>
      <c r="B1930" t="s">
        <v>1739</v>
      </c>
      <c r="C1930" t="s">
        <v>20</v>
      </c>
      <c r="D1930" t="s">
        <v>498</v>
      </c>
      <c r="E1930" t="s">
        <v>1364</v>
      </c>
      <c r="F1930" t="s">
        <v>1372</v>
      </c>
      <c r="G1930">
        <v>-70</v>
      </c>
      <c r="H1930">
        <v>6792</v>
      </c>
      <c r="K1930" t="s">
        <v>1383</v>
      </c>
    </row>
    <row r="1931" spans="1:11" x14ac:dyDescent="0.25">
      <c r="A1931" s="40">
        <v>45874.618969907409</v>
      </c>
      <c r="B1931" t="s">
        <v>1739</v>
      </c>
      <c r="C1931" t="s">
        <v>27</v>
      </c>
      <c r="D1931" t="s">
        <v>381</v>
      </c>
      <c r="E1931" t="s">
        <v>1364</v>
      </c>
      <c r="F1931" t="s">
        <v>1372</v>
      </c>
      <c r="G1931">
        <v>-215</v>
      </c>
      <c r="H1931">
        <v>5159</v>
      </c>
      <c r="K1931" t="s">
        <v>1383</v>
      </c>
    </row>
    <row r="1932" spans="1:11" x14ac:dyDescent="0.25">
      <c r="A1932" s="40">
        <v>45874.618969907409</v>
      </c>
      <c r="B1932" t="s">
        <v>1739</v>
      </c>
      <c r="C1932" t="s">
        <v>102</v>
      </c>
      <c r="D1932" t="s">
        <v>508</v>
      </c>
      <c r="E1932" t="s">
        <v>1364</v>
      </c>
      <c r="F1932" t="s">
        <v>1372</v>
      </c>
      <c r="G1932">
        <v>-40</v>
      </c>
      <c r="H1932">
        <v>4569</v>
      </c>
      <c r="K1932" t="s">
        <v>1383</v>
      </c>
    </row>
    <row r="1933" spans="1:11" x14ac:dyDescent="0.25">
      <c r="A1933" s="40">
        <v>45880.941666666666</v>
      </c>
      <c r="B1933" t="s">
        <v>1738</v>
      </c>
      <c r="C1933" s="1" t="s">
        <v>82</v>
      </c>
      <c r="D1933" s="1" t="s">
        <v>318</v>
      </c>
      <c r="E1933" t="s">
        <v>1364</v>
      </c>
      <c r="F1933" t="s">
        <v>695</v>
      </c>
      <c r="G1933">
        <v>3000</v>
      </c>
      <c r="H1933">
        <v>4243</v>
      </c>
      <c r="J1933" t="s">
        <v>1740</v>
      </c>
      <c r="K1933" t="s">
        <v>1383</v>
      </c>
    </row>
    <row r="1934" spans="1:11" x14ac:dyDescent="0.25">
      <c r="A1934" s="40">
        <v>45884.506423611114</v>
      </c>
      <c r="B1934" t="s">
        <v>1741</v>
      </c>
      <c r="C1934" t="s">
        <v>443</v>
      </c>
      <c r="D1934" t="s">
        <v>444</v>
      </c>
      <c r="E1934" t="s">
        <v>1364</v>
      </c>
      <c r="F1934" t="s">
        <v>1372</v>
      </c>
      <c r="G1934">
        <v>-155</v>
      </c>
      <c r="H1934">
        <v>3035</v>
      </c>
      <c r="K1934" t="s">
        <v>1383</v>
      </c>
    </row>
    <row r="1935" spans="1:11" x14ac:dyDescent="0.25">
      <c r="A1935" s="40">
        <v>45884.506423611114</v>
      </c>
      <c r="B1935" t="s">
        <v>1741</v>
      </c>
      <c r="C1935" t="s">
        <v>479</v>
      </c>
      <c r="D1935" t="s">
        <v>480</v>
      </c>
      <c r="E1935" t="s">
        <v>1364</v>
      </c>
      <c r="F1935" t="s">
        <v>1372</v>
      </c>
      <c r="G1935">
        <v>-195</v>
      </c>
      <c r="H1935">
        <v>3205</v>
      </c>
      <c r="K1935" t="s">
        <v>1383</v>
      </c>
    </row>
    <row r="1936" spans="1:11" x14ac:dyDescent="0.25">
      <c r="A1936" s="40">
        <v>45884.506423611114</v>
      </c>
      <c r="B1936" t="s">
        <v>1741</v>
      </c>
      <c r="C1936" t="s">
        <v>18</v>
      </c>
      <c r="D1936" t="s">
        <v>487</v>
      </c>
      <c r="E1936" t="s">
        <v>1364</v>
      </c>
      <c r="F1936" t="s">
        <v>1372</v>
      </c>
      <c r="G1936">
        <v>-60</v>
      </c>
      <c r="H1936">
        <v>9312</v>
      </c>
      <c r="K1936" t="s">
        <v>1383</v>
      </c>
    </row>
    <row r="1937" spans="1:11" x14ac:dyDescent="0.25">
      <c r="A1937" s="40">
        <v>45884.506423611114</v>
      </c>
      <c r="B1937" t="s">
        <v>1741</v>
      </c>
      <c r="C1937" t="s">
        <v>326</v>
      </c>
      <c r="D1937" t="s">
        <v>327</v>
      </c>
      <c r="E1937" t="s">
        <v>1364</v>
      </c>
      <c r="F1937" t="s">
        <v>1372</v>
      </c>
      <c r="G1937">
        <v>-110</v>
      </c>
      <c r="H1937">
        <v>1810</v>
      </c>
      <c r="K1937" t="s">
        <v>1383</v>
      </c>
    </row>
    <row r="1938" spans="1:11" x14ac:dyDescent="0.25">
      <c r="A1938" s="40">
        <v>45884.506423611114</v>
      </c>
      <c r="B1938" t="s">
        <v>1741</v>
      </c>
      <c r="C1938" t="s">
        <v>68</v>
      </c>
      <c r="D1938" t="s">
        <v>374</v>
      </c>
      <c r="E1938" t="s">
        <v>1364</v>
      </c>
      <c r="F1938" t="s">
        <v>1372</v>
      </c>
      <c r="G1938">
        <v>-60</v>
      </c>
      <c r="H1938">
        <v>1194</v>
      </c>
      <c r="K1938" t="s">
        <v>1383</v>
      </c>
    </row>
    <row r="1939" spans="1:11" x14ac:dyDescent="0.25">
      <c r="A1939" s="40">
        <v>45884.506423611114</v>
      </c>
      <c r="B1939" t="s">
        <v>1741</v>
      </c>
      <c r="C1939" t="s">
        <v>30</v>
      </c>
      <c r="D1939" t="s">
        <v>492</v>
      </c>
      <c r="E1939" t="s">
        <v>1364</v>
      </c>
      <c r="F1939" t="s">
        <v>1372</v>
      </c>
      <c r="G1939">
        <v>-60</v>
      </c>
      <c r="H1939">
        <v>3640</v>
      </c>
      <c r="K1939" t="s">
        <v>1383</v>
      </c>
    </row>
    <row r="1940" spans="1:11" x14ac:dyDescent="0.25">
      <c r="A1940" s="40">
        <v>45884.506423611114</v>
      </c>
      <c r="B1940" t="s">
        <v>1741</v>
      </c>
      <c r="C1940" t="s">
        <v>324</v>
      </c>
      <c r="D1940" t="s">
        <v>325</v>
      </c>
      <c r="E1940" t="s">
        <v>1364</v>
      </c>
      <c r="F1940" t="s">
        <v>1372</v>
      </c>
      <c r="G1940">
        <v>-60</v>
      </c>
      <c r="H1940">
        <v>1625</v>
      </c>
      <c r="K1940" t="s">
        <v>1383</v>
      </c>
    </row>
    <row r="1941" spans="1:11" x14ac:dyDescent="0.25">
      <c r="A1941" s="40">
        <v>45884.506423611114</v>
      </c>
      <c r="B1941" t="s">
        <v>1741</v>
      </c>
      <c r="C1941" t="s">
        <v>281</v>
      </c>
      <c r="D1941" t="s">
        <v>282</v>
      </c>
      <c r="E1941" t="s">
        <v>1364</v>
      </c>
      <c r="F1941" t="s">
        <v>1372</v>
      </c>
      <c r="G1941">
        <v>-110</v>
      </c>
      <c r="H1941">
        <v>1790</v>
      </c>
      <c r="K1941" t="s">
        <v>1383</v>
      </c>
    </row>
    <row r="1942" spans="1:11" x14ac:dyDescent="0.25">
      <c r="A1942" s="40">
        <v>45884.506423611114</v>
      </c>
      <c r="B1942" t="s">
        <v>1741</v>
      </c>
      <c r="C1942" t="s">
        <v>370</v>
      </c>
      <c r="D1942" t="s">
        <v>371</v>
      </c>
      <c r="E1942" t="s">
        <v>1364</v>
      </c>
      <c r="F1942" t="s">
        <v>1372</v>
      </c>
      <c r="G1942">
        <v>-60</v>
      </c>
      <c r="H1942">
        <v>2885</v>
      </c>
      <c r="K1942" t="s">
        <v>1383</v>
      </c>
    </row>
    <row r="1943" spans="1:11" x14ac:dyDescent="0.25">
      <c r="A1943" s="40">
        <v>45884.506423611114</v>
      </c>
      <c r="B1943" t="s">
        <v>1741</v>
      </c>
      <c r="C1943" t="s">
        <v>14</v>
      </c>
      <c r="D1943" t="s">
        <v>483</v>
      </c>
      <c r="E1943" t="s">
        <v>1364</v>
      </c>
      <c r="F1943" t="s">
        <v>1372</v>
      </c>
      <c r="G1943">
        <v>-195</v>
      </c>
      <c r="H1943">
        <v>1890</v>
      </c>
      <c r="K1943" t="s">
        <v>1383</v>
      </c>
    </row>
    <row r="1944" spans="1:11" x14ac:dyDescent="0.25">
      <c r="A1944" s="40">
        <v>45884.506423611114</v>
      </c>
      <c r="B1944" t="s">
        <v>1741</v>
      </c>
      <c r="C1944" t="s">
        <v>15</v>
      </c>
      <c r="D1944" t="s">
        <v>474</v>
      </c>
      <c r="E1944" t="s">
        <v>1364</v>
      </c>
      <c r="F1944" t="s">
        <v>1372</v>
      </c>
      <c r="G1944">
        <v>-60</v>
      </c>
      <c r="H1944">
        <v>2282</v>
      </c>
      <c r="K1944" t="s">
        <v>1383</v>
      </c>
    </row>
    <row r="1945" spans="1:11" x14ac:dyDescent="0.25">
      <c r="A1945" s="40">
        <v>45884.506423611114</v>
      </c>
      <c r="B1945" t="s">
        <v>1741</v>
      </c>
      <c r="C1945" t="s">
        <v>63</v>
      </c>
      <c r="D1945" t="s">
        <v>355</v>
      </c>
      <c r="E1945" t="s">
        <v>1364</v>
      </c>
      <c r="F1945" t="s">
        <v>1372</v>
      </c>
      <c r="G1945">
        <v>-155</v>
      </c>
      <c r="H1945">
        <v>3317</v>
      </c>
      <c r="K1945" t="s">
        <v>1383</v>
      </c>
    </row>
    <row r="1946" spans="1:11" x14ac:dyDescent="0.25">
      <c r="A1946" s="40">
        <v>45884.506423611114</v>
      </c>
      <c r="B1946" t="s">
        <v>1741</v>
      </c>
      <c r="C1946" t="s">
        <v>7</v>
      </c>
      <c r="D1946" t="s">
        <v>307</v>
      </c>
      <c r="E1946" t="s">
        <v>1364</v>
      </c>
      <c r="F1946" t="s">
        <v>1372</v>
      </c>
      <c r="G1946">
        <v>-195</v>
      </c>
      <c r="H1946">
        <v>14885</v>
      </c>
      <c r="K1946" t="s">
        <v>1383</v>
      </c>
    </row>
    <row r="1947" spans="1:11" x14ac:dyDescent="0.25">
      <c r="A1947" s="40">
        <v>45884.506423611114</v>
      </c>
      <c r="B1947" t="s">
        <v>1741</v>
      </c>
      <c r="C1947" t="s">
        <v>24</v>
      </c>
      <c r="D1947" t="s">
        <v>378</v>
      </c>
      <c r="E1947" t="s">
        <v>1364</v>
      </c>
      <c r="F1947" t="s">
        <v>1372</v>
      </c>
      <c r="G1947">
        <v>-280</v>
      </c>
      <c r="H1947">
        <v>2238</v>
      </c>
      <c r="K1947" t="s">
        <v>1383</v>
      </c>
    </row>
    <row r="1948" spans="1:11" x14ac:dyDescent="0.25">
      <c r="A1948" s="40">
        <v>45884.506423611114</v>
      </c>
      <c r="B1948" t="s">
        <v>1741</v>
      </c>
      <c r="C1948" t="s">
        <v>25</v>
      </c>
      <c r="D1948" t="s">
        <v>491</v>
      </c>
      <c r="E1948" t="s">
        <v>1364</v>
      </c>
      <c r="F1948" t="s">
        <v>1372</v>
      </c>
      <c r="G1948">
        <v>-195</v>
      </c>
      <c r="H1948">
        <v>871</v>
      </c>
      <c r="K1948" t="s">
        <v>1383</v>
      </c>
    </row>
    <row r="1949" spans="1:11" x14ac:dyDescent="0.25">
      <c r="A1949" s="40">
        <v>45884.506423611114</v>
      </c>
      <c r="B1949" t="s">
        <v>1741</v>
      </c>
      <c r="C1949" t="s">
        <v>47</v>
      </c>
      <c r="D1949" t="s">
        <v>395</v>
      </c>
      <c r="E1949" t="s">
        <v>1364</v>
      </c>
      <c r="F1949" t="s">
        <v>1372</v>
      </c>
      <c r="G1949">
        <v>-280</v>
      </c>
      <c r="H1949">
        <v>24094</v>
      </c>
      <c r="K1949" t="s">
        <v>1383</v>
      </c>
    </row>
    <row r="1950" spans="1:11" x14ac:dyDescent="0.25">
      <c r="A1950" s="40">
        <v>45884.506423611114</v>
      </c>
      <c r="B1950" t="s">
        <v>1741</v>
      </c>
      <c r="C1950" t="s">
        <v>27</v>
      </c>
      <c r="D1950" t="s">
        <v>381</v>
      </c>
      <c r="E1950" t="s">
        <v>1364</v>
      </c>
      <c r="F1950" t="s">
        <v>1372</v>
      </c>
      <c r="G1950">
        <v>-490</v>
      </c>
      <c r="H1950">
        <v>4669</v>
      </c>
      <c r="K1950" t="s">
        <v>1383</v>
      </c>
    </row>
    <row r="1951" spans="1:11" x14ac:dyDescent="0.25">
      <c r="A1951" s="40">
        <v>45884.506423611114</v>
      </c>
      <c r="B1951" t="s">
        <v>1741</v>
      </c>
      <c r="C1951" t="s">
        <v>20</v>
      </c>
      <c r="D1951" t="s">
        <v>498</v>
      </c>
      <c r="E1951" t="s">
        <v>1364</v>
      </c>
      <c r="F1951" t="s">
        <v>1372</v>
      </c>
      <c r="G1951">
        <v>-280</v>
      </c>
      <c r="H1951">
        <v>6512</v>
      </c>
      <c r="K1951" t="s">
        <v>1383</v>
      </c>
    </row>
    <row r="1952" spans="1:11" x14ac:dyDescent="0.25">
      <c r="A1952" s="40">
        <v>45884.506423611114</v>
      </c>
      <c r="B1952" t="s">
        <v>1741</v>
      </c>
      <c r="C1952" t="s">
        <v>1</v>
      </c>
      <c r="D1952" t="s">
        <v>250</v>
      </c>
      <c r="E1952" t="s">
        <v>1364</v>
      </c>
      <c r="F1952" t="s">
        <v>1372</v>
      </c>
      <c r="G1952">
        <v>-1100</v>
      </c>
      <c r="H1952">
        <v>-2521</v>
      </c>
      <c r="K1952" t="s">
        <v>1383</v>
      </c>
    </row>
    <row r="1953" spans="1:12" x14ac:dyDescent="0.25">
      <c r="A1953" s="40">
        <v>45884.562754629631</v>
      </c>
      <c r="B1953" t="s">
        <v>1741</v>
      </c>
      <c r="C1953" t="s">
        <v>1</v>
      </c>
      <c r="D1953" t="s">
        <v>250</v>
      </c>
      <c r="E1953" t="s">
        <v>1364</v>
      </c>
      <c r="F1953" t="s">
        <v>695</v>
      </c>
      <c r="G1953">
        <v>8000</v>
      </c>
      <c r="H1953">
        <v>5479</v>
      </c>
      <c r="I1953" t="s">
        <v>696</v>
      </c>
      <c r="K1953" t="s">
        <v>1465</v>
      </c>
      <c r="L1953">
        <v>8.4</v>
      </c>
    </row>
    <row r="1954" spans="1:12" x14ac:dyDescent="0.25">
      <c r="A1954" s="40">
        <v>45896.35297453704</v>
      </c>
      <c r="B1954" t="s">
        <v>1744</v>
      </c>
      <c r="C1954" t="s">
        <v>1</v>
      </c>
      <c r="D1954" t="s">
        <v>250</v>
      </c>
      <c r="E1954" t="s">
        <v>1364</v>
      </c>
      <c r="F1954" t="s">
        <v>1372</v>
      </c>
      <c r="G1954">
        <v>-610</v>
      </c>
      <c r="H1954">
        <v>4869</v>
      </c>
      <c r="K1954" t="s">
        <v>1383</v>
      </c>
    </row>
    <row r="1955" spans="1:12" x14ac:dyDescent="0.25">
      <c r="A1955" s="40">
        <v>45896.35297453704</v>
      </c>
      <c r="B1955" t="s">
        <v>1744</v>
      </c>
      <c r="C1955" t="s">
        <v>20</v>
      </c>
      <c r="D1955" t="s">
        <v>498</v>
      </c>
      <c r="E1955" t="s">
        <v>1364</v>
      </c>
      <c r="F1955" t="s">
        <v>1372</v>
      </c>
      <c r="G1955">
        <v>-120</v>
      </c>
      <c r="H1955">
        <v>6392</v>
      </c>
      <c r="K1955" t="s">
        <v>1383</v>
      </c>
    </row>
    <row r="1956" spans="1:12" x14ac:dyDescent="0.25">
      <c r="A1956" s="40">
        <v>45896.35297453704</v>
      </c>
      <c r="B1956" t="s">
        <v>1744</v>
      </c>
      <c r="C1956" t="s">
        <v>57</v>
      </c>
      <c r="D1956" t="s">
        <v>314</v>
      </c>
      <c r="E1956" t="s">
        <v>1364</v>
      </c>
      <c r="F1956" t="s">
        <v>1372</v>
      </c>
      <c r="G1956">
        <v>-40</v>
      </c>
      <c r="H1956">
        <v>5071</v>
      </c>
      <c r="K1956" t="s">
        <v>1383</v>
      </c>
    </row>
    <row r="1957" spans="1:12" x14ac:dyDescent="0.25">
      <c r="A1957" s="40">
        <v>45896.35297453704</v>
      </c>
      <c r="B1957" t="s">
        <v>1744</v>
      </c>
      <c r="C1957" t="s">
        <v>27</v>
      </c>
      <c r="D1957" t="s">
        <v>381</v>
      </c>
      <c r="E1957" t="s">
        <v>1364</v>
      </c>
      <c r="F1957" t="s">
        <v>1372</v>
      </c>
      <c r="G1957">
        <v>-490</v>
      </c>
      <c r="H1957">
        <v>4179</v>
      </c>
      <c r="K1957" t="s">
        <v>1383</v>
      </c>
    </row>
    <row r="1958" spans="1:12" x14ac:dyDescent="0.25">
      <c r="A1958" s="40">
        <v>45896.35297453704</v>
      </c>
      <c r="B1958" t="s">
        <v>1744</v>
      </c>
      <c r="C1958" t="s">
        <v>21</v>
      </c>
      <c r="D1958" t="s">
        <v>488</v>
      </c>
      <c r="E1958" t="s">
        <v>1364</v>
      </c>
      <c r="F1958" t="s">
        <v>1372</v>
      </c>
      <c r="G1958">
        <v>-30</v>
      </c>
      <c r="H1958">
        <v>3440</v>
      </c>
      <c r="K1958" t="s">
        <v>1383</v>
      </c>
    </row>
    <row r="1959" spans="1:12" x14ac:dyDescent="0.25">
      <c r="A1959" s="40">
        <v>45896.35297453704</v>
      </c>
      <c r="B1959" t="s">
        <v>1744</v>
      </c>
      <c r="C1959" t="s">
        <v>29</v>
      </c>
      <c r="D1959" t="s">
        <v>383</v>
      </c>
      <c r="E1959" t="s">
        <v>1364</v>
      </c>
      <c r="F1959" t="s">
        <v>1372</v>
      </c>
      <c r="G1959">
        <v>-360</v>
      </c>
      <c r="H1959">
        <v>548</v>
      </c>
      <c r="K1959" t="s">
        <v>1383</v>
      </c>
    </row>
    <row r="1960" spans="1:12" x14ac:dyDescent="0.25">
      <c r="A1960" s="40">
        <v>45896.35297453704</v>
      </c>
      <c r="B1960" t="s">
        <v>1744</v>
      </c>
      <c r="C1960" t="s">
        <v>31</v>
      </c>
      <c r="D1960" t="s">
        <v>493</v>
      </c>
      <c r="E1960" t="s">
        <v>1364</v>
      </c>
      <c r="F1960" t="s">
        <v>1372</v>
      </c>
      <c r="G1960">
        <v>-30</v>
      </c>
      <c r="H1960">
        <v>3183</v>
      </c>
      <c r="K1960" t="s">
        <v>1383</v>
      </c>
    </row>
    <row r="1961" spans="1:12" x14ac:dyDescent="0.25">
      <c r="A1961" s="40">
        <v>45896.35297453704</v>
      </c>
      <c r="B1961" t="s">
        <v>1744</v>
      </c>
      <c r="C1961" t="s">
        <v>229</v>
      </c>
      <c r="D1961" t="s">
        <v>321</v>
      </c>
      <c r="E1961" t="s">
        <v>1364</v>
      </c>
      <c r="F1961" t="s">
        <v>1372</v>
      </c>
      <c r="G1961">
        <v>-40</v>
      </c>
      <c r="H1961">
        <v>734</v>
      </c>
      <c r="K1961" t="s">
        <v>1383</v>
      </c>
    </row>
    <row r="1962" spans="1:12" x14ac:dyDescent="0.25">
      <c r="A1962" s="40">
        <v>45896.35297453704</v>
      </c>
      <c r="B1962" t="s">
        <v>1744</v>
      </c>
      <c r="C1962" t="s">
        <v>47</v>
      </c>
      <c r="D1962" t="s">
        <v>395</v>
      </c>
      <c r="E1962" t="s">
        <v>1364</v>
      </c>
      <c r="F1962" t="s">
        <v>1372</v>
      </c>
      <c r="G1962">
        <v>-60</v>
      </c>
      <c r="H1962">
        <v>24034</v>
      </c>
      <c r="K1962" t="s">
        <v>1383</v>
      </c>
    </row>
    <row r="1963" spans="1:12" x14ac:dyDescent="0.25">
      <c r="A1963" s="40">
        <v>45896.35297453704</v>
      </c>
      <c r="B1963" t="s">
        <v>1744</v>
      </c>
      <c r="C1963" t="s">
        <v>7</v>
      </c>
      <c r="D1963" t="s">
        <v>307</v>
      </c>
      <c r="E1963" t="s">
        <v>1364</v>
      </c>
      <c r="F1963" t="s">
        <v>1372</v>
      </c>
      <c r="G1963">
        <v>-145</v>
      </c>
      <c r="H1963">
        <v>14740</v>
      </c>
      <c r="K1963" t="s">
        <v>1383</v>
      </c>
    </row>
    <row r="1964" spans="1:12" x14ac:dyDescent="0.25">
      <c r="A1964" s="40">
        <v>45896.35297453704</v>
      </c>
      <c r="B1964" t="s">
        <v>1744</v>
      </c>
      <c r="C1964" t="s">
        <v>56</v>
      </c>
      <c r="D1964" t="s">
        <v>313</v>
      </c>
      <c r="E1964" t="s">
        <v>1364</v>
      </c>
      <c r="F1964" t="s">
        <v>1372</v>
      </c>
      <c r="G1964">
        <v>-60</v>
      </c>
      <c r="H1964">
        <v>3707</v>
      </c>
      <c r="K1964" t="s">
        <v>1383</v>
      </c>
    </row>
    <row r="1965" spans="1:12" x14ac:dyDescent="0.25">
      <c r="A1965" s="40">
        <v>45896.35297453704</v>
      </c>
      <c r="B1965" t="s">
        <v>1744</v>
      </c>
      <c r="C1965" t="s">
        <v>82</v>
      </c>
      <c r="D1965" t="s">
        <v>318</v>
      </c>
      <c r="E1965" t="s">
        <v>1364</v>
      </c>
      <c r="F1965" t="s">
        <v>1372</v>
      </c>
      <c r="G1965">
        <v>-240</v>
      </c>
      <c r="H1965">
        <v>4003</v>
      </c>
      <c r="K1965" t="s">
        <v>1383</v>
      </c>
    </row>
    <row r="1966" spans="1:12" x14ac:dyDescent="0.25">
      <c r="A1966" s="40">
        <v>45896.35297453704</v>
      </c>
      <c r="B1966" t="s">
        <v>1744</v>
      </c>
      <c r="C1966" t="s">
        <v>69</v>
      </c>
      <c r="D1966" t="s">
        <v>375</v>
      </c>
      <c r="E1966" t="s">
        <v>1364</v>
      </c>
      <c r="F1966" t="s">
        <v>1372</v>
      </c>
      <c r="G1966">
        <v>-135</v>
      </c>
      <c r="H1966">
        <v>6297</v>
      </c>
      <c r="K1966" t="s">
        <v>1383</v>
      </c>
    </row>
    <row r="1967" spans="1:12" x14ac:dyDescent="0.25">
      <c r="A1967" s="40">
        <v>45896.35297453704</v>
      </c>
      <c r="B1967" t="s">
        <v>1744</v>
      </c>
      <c r="C1967" t="s">
        <v>63</v>
      </c>
      <c r="D1967" t="s">
        <v>355</v>
      </c>
      <c r="E1967" t="s">
        <v>1364</v>
      </c>
      <c r="F1967" t="s">
        <v>1372</v>
      </c>
      <c r="G1967">
        <v>-40</v>
      </c>
      <c r="H1967">
        <v>3277</v>
      </c>
      <c r="K1967" t="s">
        <v>1383</v>
      </c>
    </row>
    <row r="1968" spans="1:12" x14ac:dyDescent="0.25">
      <c r="A1968" s="40">
        <v>45896.35297453704</v>
      </c>
      <c r="B1968" t="s">
        <v>1744</v>
      </c>
      <c r="C1968" t="s">
        <v>60</v>
      </c>
      <c r="D1968" t="s">
        <v>350</v>
      </c>
      <c r="E1968" t="s">
        <v>1364</v>
      </c>
      <c r="F1968" t="s">
        <v>1372</v>
      </c>
      <c r="G1968">
        <v>-120</v>
      </c>
      <c r="H1968">
        <v>6317</v>
      </c>
      <c r="K1968" t="s">
        <v>1383</v>
      </c>
    </row>
    <row r="1969" spans="1:11" x14ac:dyDescent="0.25">
      <c r="A1969" s="40">
        <v>45896.35297453704</v>
      </c>
      <c r="B1969" t="s">
        <v>1744</v>
      </c>
      <c r="C1969" t="s">
        <v>24</v>
      </c>
      <c r="D1969" t="s">
        <v>378</v>
      </c>
      <c r="E1969" t="s">
        <v>1364</v>
      </c>
      <c r="F1969" t="s">
        <v>1372</v>
      </c>
      <c r="G1969">
        <v>-135</v>
      </c>
      <c r="H1969">
        <v>2103</v>
      </c>
      <c r="K1969" t="s">
        <v>1383</v>
      </c>
    </row>
    <row r="1970" spans="1:11" x14ac:dyDescent="0.25">
      <c r="A1970" s="40">
        <v>45896.35297453704</v>
      </c>
      <c r="B1970" t="s">
        <v>1744</v>
      </c>
      <c r="C1970" t="s">
        <v>11</v>
      </c>
      <c r="D1970" t="s">
        <v>411</v>
      </c>
      <c r="E1970" t="s">
        <v>1364</v>
      </c>
      <c r="F1970" t="s">
        <v>1372</v>
      </c>
      <c r="G1970">
        <v>-145</v>
      </c>
      <c r="H1970">
        <v>3296</v>
      </c>
      <c r="K1970" t="s">
        <v>1383</v>
      </c>
    </row>
    <row r="1971" spans="1:11" x14ac:dyDescent="0.25">
      <c r="A1971" s="40">
        <v>45896.35297453704</v>
      </c>
      <c r="B1971" t="s">
        <v>1744</v>
      </c>
      <c r="C1971" t="s">
        <v>68</v>
      </c>
      <c r="D1971" t="s">
        <v>374</v>
      </c>
      <c r="E1971" t="s">
        <v>1364</v>
      </c>
      <c r="F1971" t="s">
        <v>1372</v>
      </c>
      <c r="G1971">
        <v>-145</v>
      </c>
      <c r="H1971">
        <v>1049</v>
      </c>
      <c r="K1971" t="s">
        <v>1383</v>
      </c>
    </row>
    <row r="1972" spans="1:11" x14ac:dyDescent="0.25">
      <c r="A1972" s="40">
        <v>45896.35297453704</v>
      </c>
      <c r="B1972" t="s">
        <v>1744</v>
      </c>
      <c r="C1972" t="s">
        <v>28</v>
      </c>
      <c r="D1972" t="s">
        <v>382</v>
      </c>
      <c r="E1972" t="s">
        <v>1364</v>
      </c>
      <c r="F1972" t="s">
        <v>1372</v>
      </c>
      <c r="G1972">
        <v>-30</v>
      </c>
      <c r="H1972">
        <v>3195</v>
      </c>
      <c r="K1972" t="s">
        <v>1383</v>
      </c>
    </row>
    <row r="1973" spans="1:11" x14ac:dyDescent="0.25">
      <c r="A1973" s="40">
        <v>45896.35297453704</v>
      </c>
      <c r="B1973" t="s">
        <v>1744</v>
      </c>
      <c r="C1973" t="s">
        <v>14</v>
      </c>
      <c r="D1973" t="s">
        <v>483</v>
      </c>
      <c r="E1973" t="s">
        <v>1364</v>
      </c>
      <c r="F1973" t="s">
        <v>1372</v>
      </c>
      <c r="G1973">
        <v>-40</v>
      </c>
      <c r="H1973">
        <v>1850</v>
      </c>
      <c r="K1973" t="s">
        <v>1383</v>
      </c>
    </row>
    <row r="1974" spans="1:11" x14ac:dyDescent="0.25">
      <c r="A1974" s="40">
        <v>45896.35297453704</v>
      </c>
      <c r="B1974" t="s">
        <v>1744</v>
      </c>
      <c r="C1974" t="s">
        <v>279</v>
      </c>
      <c r="D1974" t="s">
        <v>280</v>
      </c>
      <c r="E1974" t="s">
        <v>1364</v>
      </c>
      <c r="F1974" t="s">
        <v>1372</v>
      </c>
      <c r="G1974">
        <v>-90</v>
      </c>
      <c r="H1974">
        <v>2901</v>
      </c>
      <c r="K1974" t="s">
        <v>1383</v>
      </c>
    </row>
    <row r="1975" spans="1:11" x14ac:dyDescent="0.25">
      <c r="A1975" s="40">
        <v>45896.35297453704</v>
      </c>
      <c r="B1975" t="s">
        <v>1744</v>
      </c>
      <c r="C1975" t="s">
        <v>15</v>
      </c>
      <c r="D1975" t="s">
        <v>474</v>
      </c>
      <c r="E1975" t="s">
        <v>1364</v>
      </c>
      <c r="F1975" t="s">
        <v>1372</v>
      </c>
      <c r="G1975">
        <v>-205</v>
      </c>
      <c r="H1975">
        <v>2077</v>
      </c>
      <c r="K1975" t="s">
        <v>1383</v>
      </c>
    </row>
    <row r="1976" spans="1:11" x14ac:dyDescent="0.25">
      <c r="A1976" s="40">
        <v>45896.35297453704</v>
      </c>
      <c r="B1976" t="s">
        <v>1744</v>
      </c>
      <c r="C1976" t="s">
        <v>370</v>
      </c>
      <c r="D1976" t="s">
        <v>371</v>
      </c>
      <c r="E1976" t="s">
        <v>1364</v>
      </c>
      <c r="F1976" t="s">
        <v>1372</v>
      </c>
      <c r="G1976">
        <v>-30</v>
      </c>
      <c r="H1976">
        <v>2855</v>
      </c>
      <c r="K1976" t="s">
        <v>1383</v>
      </c>
    </row>
    <row r="1977" spans="1:11" x14ac:dyDescent="0.25">
      <c r="A1977" s="40">
        <v>45896.35297453704</v>
      </c>
      <c r="B1977" t="s">
        <v>1744</v>
      </c>
      <c r="C1977" t="s">
        <v>13</v>
      </c>
      <c r="D1977" t="s">
        <v>453</v>
      </c>
      <c r="E1977" t="s">
        <v>1364</v>
      </c>
      <c r="F1977" t="s">
        <v>1372</v>
      </c>
      <c r="G1977">
        <v>-60</v>
      </c>
      <c r="H1977">
        <v>2545</v>
      </c>
      <c r="K1977" t="s">
        <v>1383</v>
      </c>
    </row>
    <row r="1978" spans="1:11" x14ac:dyDescent="0.25">
      <c r="A1978" s="40">
        <v>45896.35297453704</v>
      </c>
      <c r="B1978" t="s">
        <v>1744</v>
      </c>
      <c r="C1978" t="s">
        <v>89</v>
      </c>
      <c r="D1978" t="s">
        <v>359</v>
      </c>
      <c r="E1978" t="s">
        <v>1364</v>
      </c>
      <c r="F1978" t="s">
        <v>1372</v>
      </c>
      <c r="G1978">
        <v>-90</v>
      </c>
      <c r="H1978">
        <v>2643</v>
      </c>
      <c r="K1978" t="s">
        <v>1383</v>
      </c>
    </row>
    <row r="1979" spans="1:11" x14ac:dyDescent="0.25">
      <c r="A1979" s="40">
        <v>45896.35297453704</v>
      </c>
      <c r="B1979" t="s">
        <v>1744</v>
      </c>
      <c r="C1979" t="s">
        <v>26</v>
      </c>
      <c r="D1979" t="s">
        <v>380</v>
      </c>
      <c r="E1979" t="s">
        <v>1364</v>
      </c>
      <c r="F1979" t="s">
        <v>1372</v>
      </c>
      <c r="G1979">
        <v>-30</v>
      </c>
      <c r="H1979">
        <v>3472</v>
      </c>
      <c r="K1979" t="s">
        <v>1383</v>
      </c>
    </row>
    <row r="1980" spans="1:11" x14ac:dyDescent="0.25">
      <c r="A1980" s="40">
        <v>45896.35297453704</v>
      </c>
      <c r="B1980" t="s">
        <v>1744</v>
      </c>
      <c r="C1980" t="s">
        <v>32</v>
      </c>
      <c r="D1980" t="s">
        <v>384</v>
      </c>
      <c r="E1980" t="s">
        <v>1364</v>
      </c>
      <c r="F1980" t="s">
        <v>1372</v>
      </c>
      <c r="G1980">
        <v>-110</v>
      </c>
      <c r="H1980">
        <v>3206</v>
      </c>
      <c r="K1980" t="s">
        <v>1383</v>
      </c>
    </row>
    <row r="1981" spans="1:11" x14ac:dyDescent="0.25">
      <c r="A1981" s="40">
        <v>45896.35297453704</v>
      </c>
      <c r="B1981" t="s">
        <v>1744</v>
      </c>
      <c r="C1981" t="s">
        <v>296</v>
      </c>
      <c r="D1981" t="s">
        <v>297</v>
      </c>
      <c r="E1981" t="s">
        <v>1364</v>
      </c>
      <c r="F1981" t="s">
        <v>1372</v>
      </c>
      <c r="G1981">
        <v>-90</v>
      </c>
      <c r="H1981">
        <v>1042</v>
      </c>
      <c r="K1981" t="s">
        <v>1383</v>
      </c>
    </row>
    <row r="1982" spans="1:11" x14ac:dyDescent="0.25">
      <c r="A1982" s="40">
        <v>45896.35297453704</v>
      </c>
      <c r="B1982" t="s">
        <v>1744</v>
      </c>
      <c r="C1982" t="s">
        <v>8</v>
      </c>
      <c r="D1982" t="s">
        <v>311</v>
      </c>
      <c r="E1982" t="s">
        <v>1364</v>
      </c>
      <c r="F1982" t="s">
        <v>1372</v>
      </c>
      <c r="G1982">
        <v>-120</v>
      </c>
      <c r="H1982">
        <v>1901</v>
      </c>
      <c r="K1982" t="s">
        <v>1383</v>
      </c>
    </row>
    <row r="1983" spans="1:11" x14ac:dyDescent="0.25">
      <c r="A1983" s="40">
        <v>45896.35297453704</v>
      </c>
      <c r="B1983" t="s">
        <v>1744</v>
      </c>
      <c r="C1983" t="s">
        <v>326</v>
      </c>
      <c r="D1983" t="s">
        <v>327</v>
      </c>
      <c r="E1983" t="s">
        <v>1364</v>
      </c>
      <c r="F1983" t="s">
        <v>1372</v>
      </c>
      <c r="G1983">
        <v>-30</v>
      </c>
      <c r="H1983">
        <v>1780</v>
      </c>
      <c r="K1983" t="s">
        <v>1383</v>
      </c>
    </row>
    <row r="1984" spans="1:11" x14ac:dyDescent="0.25">
      <c r="A1984" s="40">
        <v>45896.35297453704</v>
      </c>
      <c r="B1984" t="s">
        <v>1744</v>
      </c>
      <c r="C1984" t="s">
        <v>230</v>
      </c>
      <c r="D1984" t="s">
        <v>255</v>
      </c>
      <c r="E1984" t="s">
        <v>1364</v>
      </c>
      <c r="F1984" t="s">
        <v>1372</v>
      </c>
      <c r="G1984">
        <v>-40</v>
      </c>
      <c r="H1984">
        <v>4755</v>
      </c>
      <c r="K1984" t="s">
        <v>1383</v>
      </c>
    </row>
    <row r="1985" spans="1:11" x14ac:dyDescent="0.25">
      <c r="A1985" s="40">
        <v>45896.35297453704</v>
      </c>
      <c r="B1985" t="s">
        <v>1744</v>
      </c>
      <c r="C1985" t="s">
        <v>335</v>
      </c>
      <c r="D1985" t="s">
        <v>336</v>
      </c>
      <c r="E1985" t="s">
        <v>1364</v>
      </c>
      <c r="F1985" t="s">
        <v>1372</v>
      </c>
      <c r="G1985">
        <v>-30</v>
      </c>
      <c r="H1985">
        <v>5431</v>
      </c>
      <c r="K1985" t="s">
        <v>1383</v>
      </c>
    </row>
    <row r="1986" spans="1:11" x14ac:dyDescent="0.25">
      <c r="A1986" s="40">
        <v>45896.35297453704</v>
      </c>
      <c r="B1986" t="s">
        <v>1744</v>
      </c>
      <c r="C1986" t="s">
        <v>1353</v>
      </c>
      <c r="E1986" t="s">
        <v>1365</v>
      </c>
      <c r="F1986" t="s">
        <v>1372</v>
      </c>
      <c r="G1986">
        <v>-42</v>
      </c>
      <c r="H1986">
        <v>1057</v>
      </c>
      <c r="K1986" t="s">
        <v>1383</v>
      </c>
    </row>
    <row r="1987" spans="1:11" x14ac:dyDescent="0.25">
      <c r="A1987" s="40">
        <v>45896.35297453704</v>
      </c>
      <c r="B1987" t="s">
        <v>1744</v>
      </c>
      <c r="C1987" t="s">
        <v>339</v>
      </c>
      <c r="D1987" t="s">
        <v>340</v>
      </c>
      <c r="E1987" t="s">
        <v>1364</v>
      </c>
      <c r="F1987" t="s">
        <v>1372</v>
      </c>
      <c r="G1987">
        <v>-40</v>
      </c>
      <c r="H1987">
        <v>2195</v>
      </c>
      <c r="K1987" t="s">
        <v>1383</v>
      </c>
    </row>
    <row r="1988" spans="1:11" x14ac:dyDescent="0.25">
      <c r="A1988" s="40">
        <v>45896.35297453704</v>
      </c>
      <c r="B1988" t="s">
        <v>1744</v>
      </c>
      <c r="C1988" t="s">
        <v>101</v>
      </c>
      <c r="D1988" t="s">
        <v>507</v>
      </c>
      <c r="E1988" t="s">
        <v>1364</v>
      </c>
      <c r="F1988" t="s">
        <v>1372</v>
      </c>
      <c r="G1988">
        <v>-30</v>
      </c>
      <c r="H1988">
        <v>4838</v>
      </c>
      <c r="K1988" t="s">
        <v>1383</v>
      </c>
    </row>
    <row r="1989" spans="1:11" x14ac:dyDescent="0.25">
      <c r="A1989" s="40">
        <v>45896.35297453704</v>
      </c>
      <c r="B1989" t="s">
        <v>1744</v>
      </c>
      <c r="C1989" t="s">
        <v>18</v>
      </c>
      <c r="D1989" t="s">
        <v>487</v>
      </c>
      <c r="E1989" t="s">
        <v>1364</v>
      </c>
      <c r="F1989" t="s">
        <v>1372</v>
      </c>
      <c r="G1989">
        <v>-290</v>
      </c>
      <c r="H1989">
        <v>9022</v>
      </c>
      <c r="K1989" t="s">
        <v>1383</v>
      </c>
    </row>
    <row r="1990" spans="1:11" x14ac:dyDescent="0.25">
      <c r="A1990" s="40">
        <v>45896.35297453704</v>
      </c>
      <c r="B1990" t="s">
        <v>1744</v>
      </c>
      <c r="C1990" t="s">
        <v>330</v>
      </c>
      <c r="D1990" t="s">
        <v>331</v>
      </c>
      <c r="E1990" t="s">
        <v>1364</v>
      </c>
      <c r="F1990" t="s">
        <v>1372</v>
      </c>
      <c r="G1990">
        <v>-50</v>
      </c>
      <c r="H1990">
        <v>3433</v>
      </c>
      <c r="K1990" t="s">
        <v>1383</v>
      </c>
    </row>
    <row r="1991" spans="1:11" x14ac:dyDescent="0.25">
      <c r="A1991" s="40">
        <v>45896.35297453704</v>
      </c>
      <c r="B1991" t="s">
        <v>1744</v>
      </c>
      <c r="C1991" t="s">
        <v>75</v>
      </c>
      <c r="D1991" t="s">
        <v>251</v>
      </c>
      <c r="E1991" t="s">
        <v>1364</v>
      </c>
      <c r="F1991" t="s">
        <v>1372</v>
      </c>
      <c r="G1991">
        <v>-70</v>
      </c>
      <c r="H1991">
        <v>2584</v>
      </c>
      <c r="K1991" t="s">
        <v>1383</v>
      </c>
    </row>
    <row r="1992" spans="1:11" x14ac:dyDescent="0.25">
      <c r="A1992" s="40">
        <v>45896.35297453704</v>
      </c>
      <c r="B1992" t="s">
        <v>1744</v>
      </c>
      <c r="C1992" t="s">
        <v>92</v>
      </c>
      <c r="D1992" t="s">
        <v>403</v>
      </c>
      <c r="E1992" t="s">
        <v>1364</v>
      </c>
      <c r="F1992" t="s">
        <v>1372</v>
      </c>
      <c r="G1992">
        <v>-60</v>
      </c>
      <c r="H1992">
        <v>2829</v>
      </c>
      <c r="K1992" t="s">
        <v>1383</v>
      </c>
    </row>
    <row r="1993" spans="1:11" x14ac:dyDescent="0.25">
      <c r="A1993" s="40">
        <v>45896.35297453704</v>
      </c>
      <c r="B1993" t="s">
        <v>1744</v>
      </c>
      <c r="C1993" t="s">
        <v>462</v>
      </c>
      <c r="D1993" t="s">
        <v>463</v>
      </c>
      <c r="E1993" t="s">
        <v>1364</v>
      </c>
      <c r="F1993" t="s">
        <v>1372</v>
      </c>
      <c r="G1993">
        <v>-30</v>
      </c>
      <c r="H1993">
        <v>2710</v>
      </c>
      <c r="K1993" t="s">
        <v>1383</v>
      </c>
    </row>
    <row r="1994" spans="1:11" x14ac:dyDescent="0.25">
      <c r="A1994" s="40">
        <v>45896.35297453704</v>
      </c>
      <c r="B1994" t="s">
        <v>1744</v>
      </c>
      <c r="C1994" t="s">
        <v>62</v>
      </c>
      <c r="D1994" t="s">
        <v>354</v>
      </c>
      <c r="E1994" t="s">
        <v>1364</v>
      </c>
      <c r="F1994" t="s">
        <v>1372</v>
      </c>
      <c r="G1994">
        <v>-30</v>
      </c>
      <c r="H1994">
        <v>3709</v>
      </c>
      <c r="K1994" t="s">
        <v>1383</v>
      </c>
    </row>
    <row r="1995" spans="1:11" x14ac:dyDescent="0.25">
      <c r="A1995" s="40">
        <v>45896.35297453704</v>
      </c>
      <c r="B1995" t="s">
        <v>1744</v>
      </c>
      <c r="C1995" t="s">
        <v>435</v>
      </c>
      <c r="D1995" t="s">
        <v>436</v>
      </c>
      <c r="E1995" t="s">
        <v>1364</v>
      </c>
      <c r="F1995" t="s">
        <v>1372</v>
      </c>
      <c r="G1995">
        <v>-60</v>
      </c>
      <c r="H1995">
        <v>4496</v>
      </c>
      <c r="K1995" t="s">
        <v>1383</v>
      </c>
    </row>
    <row r="1996" spans="1:11" x14ac:dyDescent="0.25">
      <c r="A1996" s="40">
        <v>45896.35297453704</v>
      </c>
      <c r="B1996" t="s">
        <v>1744</v>
      </c>
      <c r="C1996" t="s">
        <v>1351</v>
      </c>
      <c r="E1996" t="s">
        <v>1365</v>
      </c>
      <c r="F1996" t="s">
        <v>1372</v>
      </c>
      <c r="G1996">
        <v>-11</v>
      </c>
      <c r="H1996">
        <v>0</v>
      </c>
      <c r="K1996" t="s">
        <v>1383</v>
      </c>
    </row>
    <row r="1997" spans="1:11" x14ac:dyDescent="0.25">
      <c r="A1997" s="40">
        <v>45896.35297453704</v>
      </c>
      <c r="B1997" t="s">
        <v>1744</v>
      </c>
      <c r="C1997" t="s">
        <v>90</v>
      </c>
      <c r="D1997" t="s">
        <v>503</v>
      </c>
      <c r="E1997" t="s">
        <v>1364</v>
      </c>
      <c r="F1997" t="s">
        <v>1372</v>
      </c>
      <c r="G1997">
        <v>-50</v>
      </c>
      <c r="H1997">
        <v>4164</v>
      </c>
      <c r="K1997" t="s">
        <v>1383</v>
      </c>
    </row>
    <row r="1998" spans="1:11" x14ac:dyDescent="0.25">
      <c r="A1998" s="40">
        <v>45898.494340277779</v>
      </c>
      <c r="B1998" t="s">
        <v>1745</v>
      </c>
      <c r="C1998" t="s">
        <v>57</v>
      </c>
      <c r="D1998" t="s">
        <v>314</v>
      </c>
      <c r="E1998" t="s">
        <v>1364</v>
      </c>
      <c r="F1998" t="s">
        <v>1372</v>
      </c>
      <c r="G1998">
        <v>-34</v>
      </c>
      <c r="H1998">
        <v>5037</v>
      </c>
      <c r="K1998" t="s">
        <v>1383</v>
      </c>
    </row>
    <row r="1999" spans="1:11" x14ac:dyDescent="0.25">
      <c r="A1999" s="40">
        <v>45898.494340277779</v>
      </c>
      <c r="B1999" t="s">
        <v>1745</v>
      </c>
      <c r="C1999" t="s">
        <v>230</v>
      </c>
      <c r="D1999" t="s">
        <v>255</v>
      </c>
      <c r="E1999" t="s">
        <v>1364</v>
      </c>
      <c r="F1999" t="s">
        <v>1372</v>
      </c>
      <c r="G1999">
        <v>-34</v>
      </c>
      <c r="H1999">
        <v>4721</v>
      </c>
      <c r="K1999" t="s">
        <v>1383</v>
      </c>
    </row>
    <row r="2000" spans="1:11" x14ac:dyDescent="0.25">
      <c r="A2000" s="40">
        <v>45898.494340277779</v>
      </c>
      <c r="B2000" t="s">
        <v>1745</v>
      </c>
      <c r="C2000" t="s">
        <v>7</v>
      </c>
      <c r="D2000" t="s">
        <v>307</v>
      </c>
      <c r="E2000" t="s">
        <v>1364</v>
      </c>
      <c r="F2000" t="s">
        <v>1372</v>
      </c>
      <c r="G2000">
        <v>-76</v>
      </c>
      <c r="H2000">
        <v>14664</v>
      </c>
      <c r="K2000" t="s">
        <v>1383</v>
      </c>
    </row>
    <row r="2001" spans="1:12" x14ac:dyDescent="0.25">
      <c r="A2001" s="40">
        <v>45898.494340277779</v>
      </c>
      <c r="B2001" t="s">
        <v>1745</v>
      </c>
      <c r="C2001" t="s">
        <v>39</v>
      </c>
      <c r="D2001" t="s">
        <v>387</v>
      </c>
      <c r="E2001" t="s">
        <v>1364</v>
      </c>
      <c r="F2001" t="s">
        <v>1372</v>
      </c>
      <c r="G2001">
        <v>-34</v>
      </c>
      <c r="H2001">
        <v>6530</v>
      </c>
      <c r="K2001" t="s">
        <v>1383</v>
      </c>
    </row>
    <row r="2002" spans="1:12" x14ac:dyDescent="0.25">
      <c r="A2002" s="40">
        <v>45898.494340277779</v>
      </c>
      <c r="B2002" t="s">
        <v>1745</v>
      </c>
      <c r="C2002" t="s">
        <v>37</v>
      </c>
      <c r="D2002" t="s">
        <v>497</v>
      </c>
      <c r="E2002" t="s">
        <v>1364</v>
      </c>
      <c r="F2002" t="s">
        <v>1372</v>
      </c>
      <c r="G2002">
        <v>-62</v>
      </c>
      <c r="H2002">
        <v>6572</v>
      </c>
      <c r="K2002" t="s">
        <v>1383</v>
      </c>
    </row>
    <row r="2003" spans="1:12" x14ac:dyDescent="0.25">
      <c r="A2003" s="40">
        <v>45898.494340277779</v>
      </c>
      <c r="B2003" t="s">
        <v>1745</v>
      </c>
      <c r="C2003" t="s">
        <v>94</v>
      </c>
      <c r="D2003" t="s">
        <v>404</v>
      </c>
      <c r="E2003" t="s">
        <v>1364</v>
      </c>
      <c r="F2003" t="s">
        <v>1372</v>
      </c>
      <c r="G2003">
        <v>-76</v>
      </c>
      <c r="H2003">
        <v>5173</v>
      </c>
      <c r="K2003" t="s">
        <v>1383</v>
      </c>
    </row>
    <row r="2004" spans="1:12" x14ac:dyDescent="0.25">
      <c r="A2004" s="40">
        <v>45898.494340277779</v>
      </c>
      <c r="B2004" t="s">
        <v>1745</v>
      </c>
      <c r="C2004" t="s">
        <v>416</v>
      </c>
      <c r="D2004" t="s">
        <v>417</v>
      </c>
      <c r="E2004" t="s">
        <v>1364</v>
      </c>
      <c r="F2004" t="s">
        <v>1372</v>
      </c>
      <c r="G2004">
        <v>-34</v>
      </c>
      <c r="H2004">
        <v>1570</v>
      </c>
      <c r="K2004" t="s">
        <v>1383</v>
      </c>
    </row>
    <row r="2005" spans="1:12" x14ac:dyDescent="0.25">
      <c r="A2005" s="40">
        <v>45898.494340277779</v>
      </c>
      <c r="B2005" t="s">
        <v>1745</v>
      </c>
      <c r="C2005" t="s">
        <v>59</v>
      </c>
      <c r="D2005" t="s">
        <v>401</v>
      </c>
      <c r="E2005" t="s">
        <v>1364</v>
      </c>
      <c r="F2005" t="s">
        <v>1372</v>
      </c>
      <c r="G2005">
        <v>-231</v>
      </c>
      <c r="H2005">
        <v>3199</v>
      </c>
      <c r="K2005" t="s">
        <v>1383</v>
      </c>
    </row>
    <row r="2006" spans="1:12" x14ac:dyDescent="0.25">
      <c r="A2006" s="40">
        <v>45898.494340277779</v>
      </c>
      <c r="B2006" t="s">
        <v>1745</v>
      </c>
      <c r="C2006" t="s">
        <v>1</v>
      </c>
      <c r="D2006" t="s">
        <v>250</v>
      </c>
      <c r="E2006" t="s">
        <v>1364</v>
      </c>
      <c r="F2006" t="s">
        <v>1372</v>
      </c>
      <c r="G2006">
        <v>-114</v>
      </c>
      <c r="H2006">
        <v>4755</v>
      </c>
      <c r="K2006" t="s">
        <v>1383</v>
      </c>
    </row>
    <row r="2007" spans="1:12" x14ac:dyDescent="0.25">
      <c r="A2007" s="40">
        <v>45898.494340277779</v>
      </c>
      <c r="B2007" t="s">
        <v>1745</v>
      </c>
      <c r="C2007" t="s">
        <v>341</v>
      </c>
      <c r="D2007" t="s">
        <v>342</v>
      </c>
      <c r="E2007" t="s">
        <v>1364</v>
      </c>
      <c r="F2007" t="s">
        <v>1372</v>
      </c>
      <c r="G2007">
        <v>-564</v>
      </c>
      <c r="H2007">
        <v>-1389</v>
      </c>
      <c r="K2007" t="s">
        <v>1383</v>
      </c>
    </row>
    <row r="2008" spans="1:12" x14ac:dyDescent="0.25">
      <c r="A2008" s="40">
        <v>45898.494340277779</v>
      </c>
      <c r="B2008" t="s">
        <v>1745</v>
      </c>
      <c r="C2008" t="s">
        <v>36</v>
      </c>
      <c r="D2008" t="s">
        <v>385</v>
      </c>
      <c r="E2008" t="s">
        <v>1364</v>
      </c>
      <c r="F2008" t="s">
        <v>1372</v>
      </c>
      <c r="G2008">
        <v>-147</v>
      </c>
      <c r="H2008">
        <v>3919</v>
      </c>
      <c r="K2008" t="s">
        <v>1383</v>
      </c>
    </row>
    <row r="2009" spans="1:12" x14ac:dyDescent="0.25">
      <c r="A2009" s="40">
        <v>45898.494340277779</v>
      </c>
      <c r="B2009" t="s">
        <v>1745</v>
      </c>
      <c r="C2009" t="s">
        <v>38</v>
      </c>
      <c r="D2009" t="s">
        <v>386</v>
      </c>
      <c r="E2009" t="s">
        <v>1364</v>
      </c>
      <c r="F2009" t="s">
        <v>1372</v>
      </c>
      <c r="G2009">
        <v>-34</v>
      </c>
      <c r="H2009">
        <v>27994</v>
      </c>
      <c r="K2009" t="s">
        <v>1383</v>
      </c>
    </row>
    <row r="2010" spans="1:12" x14ac:dyDescent="0.25">
      <c r="A2010" s="40">
        <v>45898.494340277779</v>
      </c>
      <c r="B2010" t="s">
        <v>1745</v>
      </c>
      <c r="C2010" t="s">
        <v>54</v>
      </c>
      <c r="D2010" t="s">
        <v>399</v>
      </c>
      <c r="E2010" t="s">
        <v>1364</v>
      </c>
      <c r="F2010" t="s">
        <v>1372</v>
      </c>
      <c r="G2010">
        <v>-114</v>
      </c>
      <c r="H2010">
        <v>2110</v>
      </c>
      <c r="K2010" t="s">
        <v>1383</v>
      </c>
    </row>
    <row r="2011" spans="1:12" x14ac:dyDescent="0.25">
      <c r="A2011" s="40">
        <v>45898.529756944445</v>
      </c>
      <c r="B2011" t="s">
        <v>1745</v>
      </c>
      <c r="C2011" t="s">
        <v>341</v>
      </c>
      <c r="D2011" t="s">
        <v>342</v>
      </c>
      <c r="E2011" t="s">
        <v>1364</v>
      </c>
      <c r="F2011" t="s">
        <v>695</v>
      </c>
      <c r="G2011">
        <v>3000</v>
      </c>
      <c r="H2011">
        <v>1611</v>
      </c>
      <c r="I2011" t="s">
        <v>1316</v>
      </c>
      <c r="K2011" t="s">
        <v>1465</v>
      </c>
      <c r="L2011">
        <v>186</v>
      </c>
    </row>
    <row r="2012" spans="1:12" x14ac:dyDescent="0.25">
      <c r="A2012" s="40">
        <v>45901.253055555557</v>
      </c>
      <c r="B2012" t="s">
        <v>1749</v>
      </c>
      <c r="C2012" t="s">
        <v>1351</v>
      </c>
      <c r="E2012" t="s">
        <v>1365</v>
      </c>
      <c r="F2012" t="s">
        <v>1372</v>
      </c>
      <c r="G2012">
        <v>-205</v>
      </c>
      <c r="H2012">
        <v>-205</v>
      </c>
      <c r="K2012" t="s">
        <v>1383</v>
      </c>
    </row>
    <row r="2013" spans="1:12" x14ac:dyDescent="0.25">
      <c r="A2013" s="40">
        <v>45901.253055555557</v>
      </c>
      <c r="B2013" t="s">
        <v>1749</v>
      </c>
      <c r="C2013" t="s">
        <v>66</v>
      </c>
      <c r="D2013" t="s">
        <v>357</v>
      </c>
      <c r="E2013" t="s">
        <v>1364</v>
      </c>
      <c r="F2013" t="s">
        <v>1372</v>
      </c>
      <c r="G2013">
        <v>-880</v>
      </c>
      <c r="H2013">
        <v>4495</v>
      </c>
      <c r="K2013" t="s">
        <v>1383</v>
      </c>
    </row>
    <row r="2014" spans="1:12" x14ac:dyDescent="0.25">
      <c r="A2014" s="40">
        <v>45901.253055555557</v>
      </c>
      <c r="B2014" t="s">
        <v>1749</v>
      </c>
      <c r="C2014" t="s">
        <v>445</v>
      </c>
      <c r="D2014" t="s">
        <v>446</v>
      </c>
      <c r="E2014" t="s">
        <v>1364</v>
      </c>
      <c r="F2014" t="s">
        <v>1372</v>
      </c>
      <c r="G2014">
        <v>-450</v>
      </c>
      <c r="H2014">
        <v>2980</v>
      </c>
      <c r="K2014" t="s">
        <v>1383</v>
      </c>
    </row>
    <row r="2015" spans="1:12" x14ac:dyDescent="0.25">
      <c r="A2015" s="40">
        <v>45901.253055555557</v>
      </c>
      <c r="B2015" t="s">
        <v>1749</v>
      </c>
      <c r="C2015" t="s">
        <v>458</v>
      </c>
      <c r="D2015" t="s">
        <v>459</v>
      </c>
      <c r="E2015" t="s">
        <v>1364</v>
      </c>
      <c r="F2015" t="s">
        <v>1372</v>
      </c>
      <c r="G2015">
        <v>-880</v>
      </c>
      <c r="H2015">
        <v>2785</v>
      </c>
      <c r="K2015" t="s">
        <v>1383</v>
      </c>
    </row>
    <row r="2016" spans="1:12" x14ac:dyDescent="0.25">
      <c r="A2016" s="40">
        <v>45901.253055555557</v>
      </c>
      <c r="B2016" t="s">
        <v>1749</v>
      </c>
      <c r="C2016" t="s">
        <v>275</v>
      </c>
      <c r="D2016" t="s">
        <v>276</v>
      </c>
      <c r="E2016" t="s">
        <v>1364</v>
      </c>
      <c r="F2016" t="s">
        <v>1372</v>
      </c>
      <c r="G2016">
        <v>-450</v>
      </c>
      <c r="H2016">
        <v>2175</v>
      </c>
      <c r="K2016" t="s">
        <v>1383</v>
      </c>
    </row>
    <row r="2017" spans="1:11" x14ac:dyDescent="0.25">
      <c r="A2017" s="40">
        <v>45901.253055555557</v>
      </c>
      <c r="B2017" t="s">
        <v>1749</v>
      </c>
      <c r="C2017" t="s">
        <v>330</v>
      </c>
      <c r="D2017" t="s">
        <v>331</v>
      </c>
      <c r="E2017" t="s">
        <v>1364</v>
      </c>
      <c r="F2017" t="s">
        <v>1372</v>
      </c>
      <c r="G2017">
        <v>-1900</v>
      </c>
      <c r="H2017">
        <v>1533</v>
      </c>
      <c r="K2017" t="s">
        <v>1383</v>
      </c>
    </row>
    <row r="2018" spans="1:11" x14ac:dyDescent="0.25">
      <c r="A2018" s="40">
        <v>45901.253055555557</v>
      </c>
      <c r="B2018" t="s">
        <v>1749</v>
      </c>
      <c r="C2018" t="s">
        <v>230</v>
      </c>
      <c r="D2018" t="s">
        <v>255</v>
      </c>
      <c r="E2018" t="s">
        <v>1364</v>
      </c>
      <c r="F2018" t="s">
        <v>1372</v>
      </c>
      <c r="G2018">
        <v>-880</v>
      </c>
      <c r="H2018">
        <v>3841</v>
      </c>
      <c r="K2018" t="s">
        <v>1383</v>
      </c>
    </row>
    <row r="2019" spans="1:11" x14ac:dyDescent="0.25">
      <c r="A2019" s="40">
        <v>45901.253055555557</v>
      </c>
      <c r="B2019" t="s">
        <v>1749</v>
      </c>
      <c r="C2019" t="s">
        <v>326</v>
      </c>
      <c r="D2019" t="s">
        <v>327</v>
      </c>
      <c r="E2019" t="s">
        <v>1364</v>
      </c>
      <c r="F2019" t="s">
        <v>1372</v>
      </c>
      <c r="G2019">
        <v>-240</v>
      </c>
      <c r="H2019">
        <v>1540</v>
      </c>
      <c r="K2019" t="s">
        <v>1383</v>
      </c>
    </row>
    <row r="2020" spans="1:11" x14ac:dyDescent="0.25">
      <c r="A2020" s="40">
        <v>45901.253055555557</v>
      </c>
      <c r="B2020" t="s">
        <v>1749</v>
      </c>
      <c r="C2020" t="s">
        <v>10</v>
      </c>
      <c r="D2020" t="s">
        <v>332</v>
      </c>
      <c r="E2020" t="s">
        <v>1364</v>
      </c>
      <c r="F2020" t="s">
        <v>1372</v>
      </c>
      <c r="G2020">
        <v>-450</v>
      </c>
      <c r="H2020">
        <v>7156</v>
      </c>
      <c r="K2020" t="s">
        <v>1383</v>
      </c>
    </row>
    <row r="2021" spans="1:11" x14ac:dyDescent="0.25">
      <c r="A2021" s="40">
        <v>45901.253055555557</v>
      </c>
      <c r="B2021" t="s">
        <v>1749</v>
      </c>
      <c r="C2021" t="s">
        <v>370</v>
      </c>
      <c r="D2021" t="s">
        <v>371</v>
      </c>
      <c r="E2021" t="s">
        <v>1364</v>
      </c>
      <c r="F2021" t="s">
        <v>1372</v>
      </c>
      <c r="G2021">
        <v>-240</v>
      </c>
      <c r="H2021">
        <v>2615</v>
      </c>
      <c r="K2021" t="s">
        <v>1383</v>
      </c>
    </row>
    <row r="2022" spans="1:11" x14ac:dyDescent="0.25">
      <c r="A2022" s="40">
        <v>45901.253055555557</v>
      </c>
      <c r="B2022" t="s">
        <v>1749</v>
      </c>
      <c r="C2022" t="s">
        <v>8</v>
      </c>
      <c r="D2022" t="s">
        <v>311</v>
      </c>
      <c r="E2022" t="s">
        <v>1364</v>
      </c>
      <c r="F2022" t="s">
        <v>1372</v>
      </c>
      <c r="G2022">
        <v>-450</v>
      </c>
      <c r="H2022">
        <v>1451</v>
      </c>
      <c r="K2022" t="s">
        <v>1383</v>
      </c>
    </row>
    <row r="2023" spans="1:11" x14ac:dyDescent="0.25">
      <c r="A2023" s="40">
        <v>45901.253055555557</v>
      </c>
      <c r="B2023" t="s">
        <v>1749</v>
      </c>
      <c r="C2023" t="s">
        <v>296</v>
      </c>
      <c r="D2023" t="s">
        <v>297</v>
      </c>
      <c r="E2023" t="s">
        <v>1364</v>
      </c>
      <c r="F2023" t="s">
        <v>1372</v>
      </c>
      <c r="G2023">
        <v>-450</v>
      </c>
      <c r="H2023">
        <v>592</v>
      </c>
      <c r="K2023" t="s">
        <v>1383</v>
      </c>
    </row>
    <row r="2024" spans="1:11" x14ac:dyDescent="0.25">
      <c r="A2024" s="40">
        <v>45901.253055555557</v>
      </c>
      <c r="B2024" t="s">
        <v>1749</v>
      </c>
      <c r="C2024" t="s">
        <v>430</v>
      </c>
      <c r="D2024" t="s">
        <v>431</v>
      </c>
      <c r="E2024" t="s">
        <v>1364</v>
      </c>
      <c r="F2024" t="s">
        <v>1372</v>
      </c>
      <c r="G2024">
        <v>-240</v>
      </c>
      <c r="H2024">
        <v>4760</v>
      </c>
      <c r="K2024" t="s">
        <v>1383</v>
      </c>
    </row>
    <row r="2025" spans="1:11" x14ac:dyDescent="0.25">
      <c r="A2025" s="40">
        <v>45901.253055555557</v>
      </c>
      <c r="B2025" t="s">
        <v>1749</v>
      </c>
      <c r="C2025" t="s">
        <v>1352</v>
      </c>
      <c r="E2025" t="s">
        <v>1365</v>
      </c>
      <c r="F2025" t="s">
        <v>1372</v>
      </c>
      <c r="G2025">
        <v>-435</v>
      </c>
      <c r="H2025">
        <v>1107</v>
      </c>
      <c r="K2025" t="s">
        <v>1383</v>
      </c>
    </row>
    <row r="2026" spans="1:11" x14ac:dyDescent="0.25">
      <c r="A2026" s="40">
        <v>45901.253055555557</v>
      </c>
      <c r="B2026" t="s">
        <v>1749</v>
      </c>
      <c r="C2026" t="s">
        <v>15</v>
      </c>
      <c r="D2026" t="s">
        <v>474</v>
      </c>
      <c r="E2026" t="s">
        <v>1364</v>
      </c>
      <c r="F2026" t="s">
        <v>1372</v>
      </c>
      <c r="G2026">
        <v>-4800</v>
      </c>
      <c r="H2026">
        <v>-2723</v>
      </c>
      <c r="K2026" t="s">
        <v>1383</v>
      </c>
    </row>
    <row r="2027" spans="1:11" x14ac:dyDescent="0.25">
      <c r="A2027" s="40">
        <v>45901.253055555557</v>
      </c>
      <c r="B2027" t="s">
        <v>1749</v>
      </c>
      <c r="C2027" t="s">
        <v>279</v>
      </c>
      <c r="D2027" t="s">
        <v>280</v>
      </c>
      <c r="E2027" t="s">
        <v>1364</v>
      </c>
      <c r="F2027" t="s">
        <v>1372</v>
      </c>
      <c r="G2027">
        <v>-2200</v>
      </c>
      <c r="H2027">
        <v>701</v>
      </c>
      <c r="K2027" t="s">
        <v>1383</v>
      </c>
    </row>
    <row r="2028" spans="1:11" x14ac:dyDescent="0.25">
      <c r="A2028" s="40">
        <v>45901.253055555557</v>
      </c>
      <c r="B2028" t="s">
        <v>1749</v>
      </c>
      <c r="C2028" t="s">
        <v>281</v>
      </c>
      <c r="D2028" t="s">
        <v>282</v>
      </c>
      <c r="E2028" t="s">
        <v>1364</v>
      </c>
      <c r="F2028" t="s">
        <v>1372</v>
      </c>
      <c r="G2028">
        <v>-450</v>
      </c>
      <c r="H2028">
        <v>1340</v>
      </c>
      <c r="K2028" t="s">
        <v>1383</v>
      </c>
    </row>
    <row r="2029" spans="1:11" x14ac:dyDescent="0.25">
      <c r="A2029" s="40">
        <v>45901.253055555557</v>
      </c>
      <c r="B2029" t="s">
        <v>1749</v>
      </c>
      <c r="C2029" t="s">
        <v>28</v>
      </c>
      <c r="D2029" t="s">
        <v>382</v>
      </c>
      <c r="E2029" t="s">
        <v>1364</v>
      </c>
      <c r="F2029" t="s">
        <v>1372</v>
      </c>
      <c r="G2029">
        <v>-240</v>
      </c>
      <c r="H2029">
        <v>2955</v>
      </c>
      <c r="K2029" t="s">
        <v>1383</v>
      </c>
    </row>
    <row r="2030" spans="1:11" x14ac:dyDescent="0.25">
      <c r="A2030" s="40">
        <v>45901.253055555557</v>
      </c>
      <c r="B2030" t="s">
        <v>1749</v>
      </c>
      <c r="C2030" t="s">
        <v>68</v>
      </c>
      <c r="D2030" t="s">
        <v>374</v>
      </c>
      <c r="E2030" t="s">
        <v>1364</v>
      </c>
      <c r="F2030" t="s">
        <v>1372</v>
      </c>
      <c r="G2030">
        <v>-1900</v>
      </c>
      <c r="H2030">
        <v>-851</v>
      </c>
      <c r="K2030" t="s">
        <v>1383</v>
      </c>
    </row>
    <row r="2031" spans="1:11" x14ac:dyDescent="0.25">
      <c r="A2031" s="40">
        <v>45901.253055555557</v>
      </c>
      <c r="B2031" t="s">
        <v>1749</v>
      </c>
      <c r="C2031" t="s">
        <v>24</v>
      </c>
      <c r="D2031" t="s">
        <v>378</v>
      </c>
      <c r="E2031" t="s">
        <v>1364</v>
      </c>
      <c r="F2031" t="s">
        <v>1372</v>
      </c>
      <c r="G2031">
        <v>-1300</v>
      </c>
      <c r="H2031">
        <v>803</v>
      </c>
      <c r="K2031" t="s">
        <v>1383</v>
      </c>
    </row>
    <row r="2032" spans="1:11" x14ac:dyDescent="0.25">
      <c r="A2032" s="40">
        <v>45901.253055555557</v>
      </c>
      <c r="B2032" t="s">
        <v>1749</v>
      </c>
      <c r="C2032" t="s">
        <v>333</v>
      </c>
      <c r="D2032" t="s">
        <v>334</v>
      </c>
      <c r="E2032" t="s">
        <v>1364</v>
      </c>
      <c r="F2032" t="s">
        <v>1372</v>
      </c>
      <c r="G2032">
        <v>-4100</v>
      </c>
      <c r="H2032">
        <v>-2077</v>
      </c>
      <c r="K2032" t="s">
        <v>1383</v>
      </c>
    </row>
    <row r="2033" spans="1:12" x14ac:dyDescent="0.25">
      <c r="A2033" s="40">
        <v>45901.253055555557</v>
      </c>
      <c r="B2033" t="s">
        <v>1749</v>
      </c>
      <c r="C2033" t="s">
        <v>69</v>
      </c>
      <c r="D2033" t="s">
        <v>375</v>
      </c>
      <c r="E2033" t="s">
        <v>1364</v>
      </c>
      <c r="F2033" t="s">
        <v>1372</v>
      </c>
      <c r="G2033">
        <v>-1900</v>
      </c>
      <c r="H2033">
        <v>4397</v>
      </c>
      <c r="K2033" t="s">
        <v>1383</v>
      </c>
    </row>
    <row r="2034" spans="1:12" x14ac:dyDescent="0.25">
      <c r="A2034" s="40">
        <v>45901.253055555557</v>
      </c>
      <c r="B2034" t="s">
        <v>1749</v>
      </c>
      <c r="C2034" t="s">
        <v>47</v>
      </c>
      <c r="D2034" t="s">
        <v>395</v>
      </c>
      <c r="E2034" t="s">
        <v>1364</v>
      </c>
      <c r="F2034" t="s">
        <v>1372</v>
      </c>
      <c r="G2034">
        <v>-2600</v>
      </c>
      <c r="H2034">
        <v>21434</v>
      </c>
      <c r="K2034" t="s">
        <v>1383</v>
      </c>
    </row>
    <row r="2035" spans="1:12" x14ac:dyDescent="0.25">
      <c r="A2035" s="40">
        <v>45901.253055555557</v>
      </c>
      <c r="B2035" t="s">
        <v>1749</v>
      </c>
      <c r="C2035" t="s">
        <v>56</v>
      </c>
      <c r="D2035" t="s">
        <v>313</v>
      </c>
      <c r="E2035" t="s">
        <v>1364</v>
      </c>
      <c r="F2035" t="s">
        <v>1372</v>
      </c>
      <c r="G2035">
        <v>-240</v>
      </c>
      <c r="H2035">
        <v>3467</v>
      </c>
      <c r="K2035" t="s">
        <v>1383</v>
      </c>
    </row>
    <row r="2036" spans="1:12" x14ac:dyDescent="0.25">
      <c r="A2036" s="40">
        <v>45901.253055555557</v>
      </c>
      <c r="B2036" t="s">
        <v>1749</v>
      </c>
      <c r="C2036" t="s">
        <v>7</v>
      </c>
      <c r="D2036" t="s">
        <v>307</v>
      </c>
      <c r="E2036" t="s">
        <v>1364</v>
      </c>
      <c r="F2036" t="s">
        <v>1372</v>
      </c>
      <c r="G2036">
        <v>-3500</v>
      </c>
      <c r="H2036">
        <v>11164</v>
      </c>
      <c r="K2036" t="s">
        <v>1383</v>
      </c>
    </row>
    <row r="2037" spans="1:12" x14ac:dyDescent="0.25">
      <c r="A2037" s="40">
        <v>45901.253055555557</v>
      </c>
      <c r="B2037" t="s">
        <v>1749</v>
      </c>
      <c r="C2037" t="s">
        <v>229</v>
      </c>
      <c r="D2037" t="s">
        <v>321</v>
      </c>
      <c r="E2037" t="s">
        <v>1364</v>
      </c>
      <c r="F2037" t="s">
        <v>1372</v>
      </c>
      <c r="G2037">
        <v>-3000</v>
      </c>
      <c r="H2037">
        <v>-2266</v>
      </c>
      <c r="K2037" t="s">
        <v>1383</v>
      </c>
    </row>
    <row r="2038" spans="1:12" x14ac:dyDescent="0.25">
      <c r="A2038" s="40">
        <v>45901.253055555557</v>
      </c>
      <c r="B2038" t="s">
        <v>1749</v>
      </c>
      <c r="C2038" t="s">
        <v>12</v>
      </c>
      <c r="D2038" t="s">
        <v>432</v>
      </c>
      <c r="E2038" t="s">
        <v>1364</v>
      </c>
      <c r="F2038" t="s">
        <v>1372</v>
      </c>
      <c r="G2038">
        <v>-1100</v>
      </c>
      <c r="H2038">
        <v>635</v>
      </c>
      <c r="K2038" t="s">
        <v>1383</v>
      </c>
    </row>
    <row r="2039" spans="1:12" x14ac:dyDescent="0.25">
      <c r="A2039" s="40">
        <v>45901.253055555557</v>
      </c>
      <c r="B2039" t="s">
        <v>1749</v>
      </c>
      <c r="C2039" t="s">
        <v>48</v>
      </c>
      <c r="D2039" t="s">
        <v>396</v>
      </c>
      <c r="E2039" t="s">
        <v>1364</v>
      </c>
      <c r="F2039" t="s">
        <v>1372</v>
      </c>
      <c r="G2039">
        <v>-4100</v>
      </c>
      <c r="H2039">
        <v>-315</v>
      </c>
      <c r="K2039" t="s">
        <v>1383</v>
      </c>
    </row>
    <row r="2040" spans="1:12" x14ac:dyDescent="0.25">
      <c r="A2040" s="40">
        <v>45901.253055555557</v>
      </c>
      <c r="B2040" t="s">
        <v>1749</v>
      </c>
      <c r="C2040" t="s">
        <v>58</v>
      </c>
      <c r="D2040" t="s">
        <v>315</v>
      </c>
      <c r="E2040" t="s">
        <v>1364</v>
      </c>
      <c r="F2040" t="s">
        <v>1372</v>
      </c>
      <c r="G2040">
        <v>-3700</v>
      </c>
      <c r="H2040">
        <v>4593</v>
      </c>
      <c r="K2040" t="s">
        <v>1383</v>
      </c>
    </row>
    <row r="2041" spans="1:12" x14ac:dyDescent="0.25">
      <c r="A2041" s="40">
        <v>45901.253055555557</v>
      </c>
      <c r="B2041" t="s">
        <v>1749</v>
      </c>
      <c r="C2041" t="s">
        <v>21</v>
      </c>
      <c r="D2041" t="s">
        <v>488</v>
      </c>
      <c r="E2041" t="s">
        <v>1364</v>
      </c>
      <c r="F2041" t="s">
        <v>1372</v>
      </c>
      <c r="G2041">
        <v>-6100</v>
      </c>
      <c r="H2041">
        <v>-2660</v>
      </c>
      <c r="K2041" t="s">
        <v>1383</v>
      </c>
    </row>
    <row r="2042" spans="1:12" x14ac:dyDescent="0.25">
      <c r="A2042" s="40">
        <v>45901.253055555557</v>
      </c>
      <c r="B2042" t="s">
        <v>1749</v>
      </c>
      <c r="C2042" t="s">
        <v>27</v>
      </c>
      <c r="D2042" t="s">
        <v>381</v>
      </c>
      <c r="E2042" t="s">
        <v>1364</v>
      </c>
      <c r="F2042" t="s">
        <v>1372</v>
      </c>
      <c r="G2042">
        <v>-7200</v>
      </c>
      <c r="H2042">
        <v>-3021</v>
      </c>
      <c r="K2042" t="s">
        <v>1383</v>
      </c>
    </row>
    <row r="2043" spans="1:12" x14ac:dyDescent="0.25">
      <c r="A2043" s="40">
        <v>45901.253055555557</v>
      </c>
      <c r="B2043" t="s">
        <v>1749</v>
      </c>
      <c r="C2043" t="s">
        <v>20</v>
      </c>
      <c r="D2043" t="s">
        <v>498</v>
      </c>
      <c r="E2043" t="s">
        <v>1364</v>
      </c>
      <c r="F2043" t="s">
        <v>1372</v>
      </c>
      <c r="G2043">
        <v>-4600</v>
      </c>
      <c r="H2043">
        <v>1792</v>
      </c>
      <c r="K2043" t="s">
        <v>1383</v>
      </c>
    </row>
    <row r="2044" spans="1:12" x14ac:dyDescent="0.25">
      <c r="A2044" s="40">
        <v>45901.253055555557</v>
      </c>
      <c r="B2044" t="s">
        <v>1749</v>
      </c>
      <c r="C2044" t="s">
        <v>5</v>
      </c>
      <c r="D2044" t="s">
        <v>389</v>
      </c>
      <c r="E2044" t="s">
        <v>1364</v>
      </c>
      <c r="F2044" t="s">
        <v>1372</v>
      </c>
      <c r="G2044">
        <v>-2600</v>
      </c>
      <c r="H2044">
        <v>-575</v>
      </c>
      <c r="K2044" t="s">
        <v>1383</v>
      </c>
    </row>
    <row r="2045" spans="1:12" x14ac:dyDescent="0.25">
      <c r="A2045" s="40">
        <v>45901.253055555557</v>
      </c>
      <c r="B2045" t="s">
        <v>1749</v>
      </c>
      <c r="C2045" t="s">
        <v>1</v>
      </c>
      <c r="D2045" t="s">
        <v>250</v>
      </c>
      <c r="E2045" t="s">
        <v>1364</v>
      </c>
      <c r="F2045" t="s">
        <v>1372</v>
      </c>
      <c r="G2045">
        <v>-10500</v>
      </c>
      <c r="H2045">
        <v>-5745</v>
      </c>
      <c r="K2045" t="s">
        <v>1383</v>
      </c>
    </row>
    <row r="2046" spans="1:12" x14ac:dyDescent="0.25">
      <c r="A2046" s="40">
        <v>45904.257337962961</v>
      </c>
      <c r="B2046" t="s">
        <v>1749</v>
      </c>
      <c r="C2046" t="s">
        <v>1351</v>
      </c>
      <c r="E2046" t="s">
        <v>1365</v>
      </c>
      <c r="F2046" t="s">
        <v>695</v>
      </c>
      <c r="G2046">
        <v>200</v>
      </c>
      <c r="H2046">
        <v>-5</v>
      </c>
      <c r="I2046" t="s">
        <v>1410</v>
      </c>
      <c r="K2046" t="s">
        <v>1465</v>
      </c>
      <c r="L2046">
        <v>2880</v>
      </c>
    </row>
    <row r="2047" spans="1:12" x14ac:dyDescent="0.25">
      <c r="A2047" s="40">
        <v>45904.257337962961</v>
      </c>
      <c r="B2047" t="s">
        <v>1749</v>
      </c>
      <c r="C2047" t="s">
        <v>1750</v>
      </c>
      <c r="E2047" t="s">
        <v>1365</v>
      </c>
      <c r="F2047" t="s">
        <v>695</v>
      </c>
      <c r="G2047">
        <v>5000</v>
      </c>
      <c r="H2047">
        <v>5000</v>
      </c>
      <c r="I2047" t="s">
        <v>699</v>
      </c>
      <c r="J2047" t="s">
        <v>1494</v>
      </c>
      <c r="K2047" t="s">
        <v>1465</v>
      </c>
      <c r="L2047">
        <v>543.58500000000004</v>
      </c>
    </row>
    <row r="2048" spans="1:12" x14ac:dyDescent="0.25">
      <c r="A2048" s="40">
        <v>45904.257337962961</v>
      </c>
      <c r="B2048" t="s">
        <v>1749</v>
      </c>
      <c r="C2048" t="s">
        <v>1750</v>
      </c>
      <c r="E2048" t="s">
        <v>1365</v>
      </c>
      <c r="F2048" t="s">
        <v>1372</v>
      </c>
      <c r="G2048">
        <v>-4175</v>
      </c>
      <c r="H2048">
        <v>825</v>
      </c>
      <c r="K2048" t="s">
        <v>1465</v>
      </c>
    </row>
    <row r="2049" spans="1:12" x14ac:dyDescent="0.25">
      <c r="A2049" s="40">
        <v>45904.257337962961</v>
      </c>
      <c r="B2049" t="s">
        <v>1749</v>
      </c>
      <c r="C2049" t="s">
        <v>1751</v>
      </c>
      <c r="E2049" t="s">
        <v>1364</v>
      </c>
      <c r="F2049" t="s">
        <v>695</v>
      </c>
      <c r="G2049">
        <v>900</v>
      </c>
      <c r="H2049">
        <v>900</v>
      </c>
      <c r="I2049" t="s">
        <v>1505</v>
      </c>
      <c r="J2049" t="s">
        <v>1752</v>
      </c>
      <c r="K2049" t="s">
        <v>1465</v>
      </c>
      <c r="L2049">
        <v>825.93</v>
      </c>
    </row>
    <row r="2050" spans="1:12" x14ac:dyDescent="0.25">
      <c r="A2050" s="40">
        <v>45904.257337962961</v>
      </c>
      <c r="B2050" t="s">
        <v>1749</v>
      </c>
      <c r="C2050" t="s">
        <v>1751</v>
      </c>
      <c r="E2050" t="s">
        <v>1364</v>
      </c>
      <c r="F2050" t="s">
        <v>1372</v>
      </c>
      <c r="G2050">
        <v>-215</v>
      </c>
      <c r="H2050">
        <v>685</v>
      </c>
      <c r="K2050" t="s">
        <v>1465</v>
      </c>
    </row>
    <row r="2051" spans="1:12" x14ac:dyDescent="0.25">
      <c r="A2051" s="40">
        <v>45904.257337962961</v>
      </c>
      <c r="B2051" t="s">
        <v>1749</v>
      </c>
      <c r="C2051" t="s">
        <v>1753</v>
      </c>
      <c r="E2051" t="s">
        <v>1365</v>
      </c>
      <c r="F2051" t="s">
        <v>695</v>
      </c>
      <c r="G2051">
        <v>1000</v>
      </c>
      <c r="H2051">
        <v>1000</v>
      </c>
      <c r="I2051" t="s">
        <v>511</v>
      </c>
      <c r="J2051" t="s">
        <v>1494</v>
      </c>
      <c r="K2051" t="s">
        <v>1465</v>
      </c>
      <c r="L2051">
        <v>857</v>
      </c>
    </row>
    <row r="2052" spans="1:12" x14ac:dyDescent="0.25">
      <c r="A2052" s="40">
        <v>45904.257337962961</v>
      </c>
      <c r="B2052" t="s">
        <v>1749</v>
      </c>
      <c r="C2052" t="s">
        <v>1753</v>
      </c>
      <c r="E2052" t="s">
        <v>1365</v>
      </c>
      <c r="F2052" t="s">
        <v>1372</v>
      </c>
      <c r="G2052">
        <v>-825</v>
      </c>
      <c r="H2052">
        <v>175</v>
      </c>
      <c r="K2052" t="s">
        <v>1465</v>
      </c>
    </row>
    <row r="2053" spans="1:12" x14ac:dyDescent="0.25">
      <c r="A2053" s="40">
        <v>45904.257337962961</v>
      </c>
      <c r="B2053" t="s">
        <v>1749</v>
      </c>
      <c r="C2053" t="s">
        <v>1754</v>
      </c>
      <c r="E2053" t="s">
        <v>1365</v>
      </c>
      <c r="F2053" t="s">
        <v>695</v>
      </c>
      <c r="G2053">
        <v>6700</v>
      </c>
      <c r="H2053">
        <v>6700</v>
      </c>
      <c r="I2053" t="s">
        <v>1755</v>
      </c>
      <c r="J2053" t="s">
        <v>1494</v>
      </c>
      <c r="K2053" t="s">
        <v>1465</v>
      </c>
      <c r="L2053">
        <v>690.18</v>
      </c>
    </row>
    <row r="2054" spans="1:12" x14ac:dyDescent="0.25">
      <c r="A2054" s="40">
        <v>45904.257337962961</v>
      </c>
      <c r="B2054" t="s">
        <v>1749</v>
      </c>
      <c r="C2054" t="s">
        <v>1754</v>
      </c>
      <c r="E2054" t="s">
        <v>1365</v>
      </c>
      <c r="F2054" t="s">
        <v>1372</v>
      </c>
      <c r="G2054">
        <v>-5700</v>
      </c>
      <c r="H2054">
        <v>1000</v>
      </c>
      <c r="K2054" t="s">
        <v>1465</v>
      </c>
    </row>
    <row r="2055" spans="1:12" x14ac:dyDescent="0.25">
      <c r="A2055" s="40">
        <v>45904.257337962961</v>
      </c>
      <c r="B2055" t="s">
        <v>1749</v>
      </c>
      <c r="C2055" t="s">
        <v>1756</v>
      </c>
      <c r="E2055" t="s">
        <v>1365</v>
      </c>
      <c r="F2055" t="s">
        <v>695</v>
      </c>
      <c r="G2055">
        <v>500</v>
      </c>
      <c r="H2055">
        <v>500</v>
      </c>
      <c r="I2055" t="s">
        <v>511</v>
      </c>
      <c r="J2055" t="s">
        <v>1494</v>
      </c>
      <c r="K2055" t="s">
        <v>1465</v>
      </c>
      <c r="L2055">
        <v>728.5</v>
      </c>
    </row>
    <row r="2056" spans="1:12" x14ac:dyDescent="0.25">
      <c r="A2056" s="40">
        <v>45904.257337962961</v>
      </c>
      <c r="B2056" t="s">
        <v>1749</v>
      </c>
      <c r="C2056" t="s">
        <v>1756</v>
      </c>
      <c r="E2056" t="s">
        <v>1365</v>
      </c>
      <c r="F2056" t="s">
        <v>1372</v>
      </c>
      <c r="G2056">
        <v>-420</v>
      </c>
      <c r="H2056">
        <v>80</v>
      </c>
      <c r="K2056" t="s">
        <v>1465</v>
      </c>
    </row>
    <row r="2057" spans="1:12" x14ac:dyDescent="0.25">
      <c r="A2057" s="40">
        <v>45904.257337962961</v>
      </c>
      <c r="B2057" t="s">
        <v>1749</v>
      </c>
      <c r="C2057" t="s">
        <v>1757</v>
      </c>
      <c r="E2057" t="s">
        <v>1365</v>
      </c>
      <c r="F2057" t="s">
        <v>695</v>
      </c>
      <c r="G2057">
        <v>1000</v>
      </c>
      <c r="H2057">
        <v>1000</v>
      </c>
      <c r="I2057" t="s">
        <v>511</v>
      </c>
      <c r="J2057" t="s">
        <v>1494</v>
      </c>
      <c r="K2057" t="s">
        <v>1465</v>
      </c>
      <c r="L2057">
        <v>409.72</v>
      </c>
    </row>
    <row r="2058" spans="1:12" x14ac:dyDescent="0.25">
      <c r="A2058" s="40">
        <v>45904.257337962961</v>
      </c>
      <c r="B2058" t="s">
        <v>1749</v>
      </c>
      <c r="C2058" t="s">
        <v>1757</v>
      </c>
      <c r="E2058" t="s">
        <v>1365</v>
      </c>
      <c r="F2058" t="s">
        <v>1372</v>
      </c>
      <c r="G2058">
        <v>-875</v>
      </c>
      <c r="H2058">
        <v>125</v>
      </c>
      <c r="K2058" t="s">
        <v>1465</v>
      </c>
    </row>
    <row r="2059" spans="1:12" x14ac:dyDescent="0.25">
      <c r="A2059" s="40">
        <v>45904.257337962961</v>
      </c>
      <c r="B2059" t="s">
        <v>1749</v>
      </c>
      <c r="C2059" t="s">
        <v>1758</v>
      </c>
      <c r="E2059" t="s">
        <v>1365</v>
      </c>
      <c r="F2059" t="s">
        <v>695</v>
      </c>
      <c r="G2059">
        <v>700</v>
      </c>
      <c r="H2059">
        <v>700</v>
      </c>
      <c r="I2059" t="s">
        <v>511</v>
      </c>
      <c r="J2059" t="s">
        <v>1494</v>
      </c>
      <c r="K2059" t="s">
        <v>1465</v>
      </c>
      <c r="L2059">
        <v>581</v>
      </c>
    </row>
    <row r="2060" spans="1:12" x14ac:dyDescent="0.25">
      <c r="A2060" s="40">
        <v>45904.257337962961</v>
      </c>
      <c r="B2060" t="s">
        <v>1749</v>
      </c>
      <c r="C2060" t="s">
        <v>1758</v>
      </c>
      <c r="E2060" t="s">
        <v>1365</v>
      </c>
      <c r="F2060" t="s">
        <v>1372</v>
      </c>
      <c r="G2060">
        <v>-420</v>
      </c>
      <c r="H2060">
        <v>280</v>
      </c>
      <c r="K2060" t="s">
        <v>1465</v>
      </c>
    </row>
    <row r="2061" spans="1:12" x14ac:dyDescent="0.25">
      <c r="A2061" s="40">
        <v>45904.257337962961</v>
      </c>
      <c r="B2061" t="s">
        <v>1749</v>
      </c>
      <c r="C2061" t="s">
        <v>1759</v>
      </c>
      <c r="E2061" t="s">
        <v>1365</v>
      </c>
      <c r="F2061" t="s">
        <v>695</v>
      </c>
      <c r="G2061">
        <v>250</v>
      </c>
      <c r="H2061">
        <v>250</v>
      </c>
      <c r="I2061" t="s">
        <v>511</v>
      </c>
      <c r="J2061" t="s">
        <v>1494</v>
      </c>
      <c r="K2061" t="s">
        <v>1465</v>
      </c>
      <c r="L2061">
        <v>330.35</v>
      </c>
    </row>
    <row r="2062" spans="1:12" x14ac:dyDescent="0.25">
      <c r="A2062" s="40">
        <v>45904.257337962961</v>
      </c>
      <c r="B2062" t="s">
        <v>1749</v>
      </c>
      <c r="C2062" t="s">
        <v>1759</v>
      </c>
      <c r="E2062" t="s">
        <v>1365</v>
      </c>
      <c r="F2062" t="s">
        <v>1372</v>
      </c>
      <c r="G2062">
        <v>-210</v>
      </c>
      <c r="H2062">
        <v>40</v>
      </c>
      <c r="K2062" t="s">
        <v>1465</v>
      </c>
    </row>
    <row r="2063" spans="1:12" x14ac:dyDescent="0.25">
      <c r="A2063" s="40">
        <v>45904.257337962961</v>
      </c>
      <c r="B2063" t="s">
        <v>1749</v>
      </c>
      <c r="C2063" t="s">
        <v>1760</v>
      </c>
      <c r="E2063" t="s">
        <v>1365</v>
      </c>
      <c r="F2063" t="s">
        <v>695</v>
      </c>
      <c r="G2063">
        <v>250</v>
      </c>
      <c r="H2063">
        <v>250</v>
      </c>
      <c r="I2063" t="s">
        <v>511</v>
      </c>
      <c r="J2063" t="s">
        <v>1494</v>
      </c>
      <c r="K2063" t="s">
        <v>1465</v>
      </c>
      <c r="L2063">
        <v>266.25</v>
      </c>
    </row>
    <row r="2064" spans="1:12" x14ac:dyDescent="0.25">
      <c r="A2064" s="40">
        <v>45904.257337962961</v>
      </c>
      <c r="B2064" t="s">
        <v>1749</v>
      </c>
      <c r="C2064" t="s">
        <v>1760</v>
      </c>
      <c r="E2064" t="s">
        <v>1365</v>
      </c>
      <c r="F2064" t="s">
        <v>1372</v>
      </c>
      <c r="G2064">
        <v>-210</v>
      </c>
      <c r="H2064">
        <v>40</v>
      </c>
      <c r="K2064" t="s">
        <v>1465</v>
      </c>
    </row>
    <row r="2065" spans="1:12" x14ac:dyDescent="0.25">
      <c r="A2065" s="40">
        <v>45904.257337962961</v>
      </c>
      <c r="B2065" t="s">
        <v>1749</v>
      </c>
      <c r="C2065" t="s">
        <v>1761</v>
      </c>
      <c r="E2065" t="s">
        <v>1365</v>
      </c>
      <c r="F2065" t="s">
        <v>695</v>
      </c>
      <c r="G2065">
        <v>600</v>
      </c>
      <c r="H2065">
        <v>600</v>
      </c>
      <c r="I2065" t="s">
        <v>698</v>
      </c>
      <c r="J2065" t="s">
        <v>1494</v>
      </c>
      <c r="K2065" t="s">
        <v>1465</v>
      </c>
      <c r="L2065">
        <v>260.39999999999998</v>
      </c>
    </row>
    <row r="2066" spans="1:12" x14ac:dyDescent="0.25">
      <c r="A2066" s="40">
        <v>45904.257337962961</v>
      </c>
      <c r="B2066" t="s">
        <v>1749</v>
      </c>
      <c r="C2066" t="s">
        <v>1761</v>
      </c>
      <c r="E2066" t="s">
        <v>1365</v>
      </c>
      <c r="F2066" t="s">
        <v>1372</v>
      </c>
      <c r="G2066">
        <v>-210</v>
      </c>
      <c r="H2066">
        <v>390</v>
      </c>
      <c r="K2066" t="s">
        <v>1465</v>
      </c>
    </row>
    <row r="2067" spans="1:12" x14ac:dyDescent="0.25">
      <c r="A2067" s="40">
        <v>45904.257337962961</v>
      </c>
      <c r="B2067" t="s">
        <v>1749</v>
      </c>
      <c r="C2067" t="s">
        <v>333</v>
      </c>
      <c r="D2067" t="s">
        <v>334</v>
      </c>
      <c r="E2067" t="s">
        <v>1364</v>
      </c>
      <c r="F2067" t="s">
        <v>695</v>
      </c>
      <c r="G2067">
        <v>9000</v>
      </c>
      <c r="H2067">
        <v>6923</v>
      </c>
      <c r="I2067" t="s">
        <v>698</v>
      </c>
      <c r="K2067" t="s">
        <v>1465</v>
      </c>
      <c r="L2067">
        <v>138.6</v>
      </c>
    </row>
    <row r="2068" spans="1:12" x14ac:dyDescent="0.25">
      <c r="A2068" s="40">
        <v>45904.257337962961</v>
      </c>
      <c r="B2068" t="s">
        <v>1749</v>
      </c>
      <c r="C2068" t="s">
        <v>229</v>
      </c>
      <c r="D2068" t="s">
        <v>321</v>
      </c>
      <c r="E2068" t="s">
        <v>1364</v>
      </c>
      <c r="F2068" t="s">
        <v>695</v>
      </c>
      <c r="G2068">
        <v>10000</v>
      </c>
      <c r="H2068">
        <v>7734</v>
      </c>
      <c r="I2068" t="s">
        <v>698</v>
      </c>
      <c r="K2068" t="s">
        <v>1465</v>
      </c>
      <c r="L2068">
        <v>165.06</v>
      </c>
    </row>
    <row r="2069" spans="1:12" x14ac:dyDescent="0.25">
      <c r="A2069" s="40">
        <v>45904.257337962961</v>
      </c>
      <c r="B2069" t="s">
        <v>1749</v>
      </c>
      <c r="C2069" t="s">
        <v>1762</v>
      </c>
      <c r="E2069" t="s">
        <v>1364</v>
      </c>
      <c r="F2069" t="s">
        <v>695</v>
      </c>
      <c r="G2069">
        <v>1000</v>
      </c>
      <c r="H2069">
        <v>1000</v>
      </c>
      <c r="I2069" t="s">
        <v>698</v>
      </c>
      <c r="J2069" t="s">
        <v>1752</v>
      </c>
      <c r="K2069" t="s">
        <v>1465</v>
      </c>
      <c r="L2069">
        <v>252</v>
      </c>
    </row>
    <row r="2070" spans="1:12" x14ac:dyDescent="0.25">
      <c r="A2070" s="40">
        <v>45904.257337962961</v>
      </c>
      <c r="B2070" t="s">
        <v>1749</v>
      </c>
      <c r="C2070" t="s">
        <v>1762</v>
      </c>
      <c r="E2070" t="s">
        <v>1364</v>
      </c>
      <c r="F2070" t="s">
        <v>1372</v>
      </c>
      <c r="G2070">
        <v>-240</v>
      </c>
      <c r="H2070">
        <v>760</v>
      </c>
      <c r="K2070" t="s">
        <v>1465</v>
      </c>
    </row>
    <row r="2071" spans="1:12" x14ac:dyDescent="0.25">
      <c r="A2071" s="40">
        <v>45904.257337962961</v>
      </c>
      <c r="B2071" t="s">
        <v>1749</v>
      </c>
      <c r="C2071" t="s">
        <v>68</v>
      </c>
      <c r="D2071" t="s">
        <v>374</v>
      </c>
      <c r="E2071" t="s">
        <v>1364</v>
      </c>
      <c r="F2071" t="s">
        <v>695</v>
      </c>
      <c r="G2071">
        <v>9000</v>
      </c>
      <c r="H2071">
        <v>8149</v>
      </c>
      <c r="I2071" t="s">
        <v>698</v>
      </c>
      <c r="K2071" t="s">
        <v>1465</v>
      </c>
      <c r="L2071">
        <v>138.6</v>
      </c>
    </row>
    <row r="2072" spans="1:12" x14ac:dyDescent="0.25">
      <c r="A2072" s="40">
        <v>45904.257337962961</v>
      </c>
      <c r="B2072" t="s">
        <v>1749</v>
      </c>
      <c r="C2072" t="s">
        <v>1</v>
      </c>
      <c r="D2072" t="s">
        <v>250</v>
      </c>
      <c r="E2072" t="s">
        <v>1364</v>
      </c>
      <c r="F2072" t="s">
        <v>695</v>
      </c>
      <c r="G2072">
        <v>16000</v>
      </c>
      <c r="H2072">
        <v>10255</v>
      </c>
      <c r="I2072" t="s">
        <v>696</v>
      </c>
      <c r="K2072" t="s">
        <v>1465</v>
      </c>
      <c r="L2072">
        <v>29.12</v>
      </c>
    </row>
    <row r="2073" spans="1:12" x14ac:dyDescent="0.25">
      <c r="A2073" s="40">
        <v>45904.257337962961</v>
      </c>
      <c r="B2073" t="s">
        <v>1749</v>
      </c>
      <c r="C2073" t="s">
        <v>1763</v>
      </c>
      <c r="E2073" t="s">
        <v>1364</v>
      </c>
      <c r="F2073" t="s">
        <v>695</v>
      </c>
      <c r="G2073">
        <v>3000</v>
      </c>
      <c r="H2073">
        <v>3000</v>
      </c>
      <c r="I2073" t="s">
        <v>1316</v>
      </c>
      <c r="J2073" t="s">
        <v>1752</v>
      </c>
      <c r="K2073" t="s">
        <v>1465</v>
      </c>
      <c r="L2073">
        <v>369</v>
      </c>
    </row>
    <row r="2074" spans="1:12" x14ac:dyDescent="0.25">
      <c r="A2074" s="40">
        <v>45904.257337962961</v>
      </c>
      <c r="B2074" t="s">
        <v>1749</v>
      </c>
      <c r="C2074" t="s">
        <v>1763</v>
      </c>
      <c r="E2074" t="s">
        <v>1364</v>
      </c>
      <c r="F2074" t="s">
        <v>1372</v>
      </c>
      <c r="G2074">
        <v>-240</v>
      </c>
      <c r="H2074">
        <v>2760</v>
      </c>
      <c r="K2074" t="s">
        <v>1465</v>
      </c>
    </row>
    <row r="2075" spans="1:12" x14ac:dyDescent="0.25">
      <c r="A2075" s="40">
        <v>45904.257337962961</v>
      </c>
      <c r="B2075" t="s">
        <v>1749</v>
      </c>
      <c r="C2075" t="s">
        <v>48</v>
      </c>
      <c r="D2075" t="s">
        <v>396</v>
      </c>
      <c r="E2075" t="s">
        <v>1364</v>
      </c>
      <c r="F2075" t="s">
        <v>695</v>
      </c>
      <c r="G2075">
        <v>15000</v>
      </c>
      <c r="H2075">
        <v>14685</v>
      </c>
      <c r="I2075" t="s">
        <v>696</v>
      </c>
      <c r="K2075" t="s">
        <v>1465</v>
      </c>
      <c r="L2075">
        <v>21</v>
      </c>
    </row>
    <row r="2076" spans="1:12" x14ac:dyDescent="0.25">
      <c r="A2076" s="40">
        <v>45904.257337962961</v>
      </c>
      <c r="B2076" t="s">
        <v>1749</v>
      </c>
      <c r="C2076" t="s">
        <v>21</v>
      </c>
      <c r="D2076" t="s">
        <v>488</v>
      </c>
      <c r="E2076" t="s">
        <v>1364</v>
      </c>
      <c r="F2076" t="s">
        <v>695</v>
      </c>
      <c r="G2076">
        <v>15000</v>
      </c>
      <c r="H2076">
        <v>12340</v>
      </c>
      <c r="I2076" t="s">
        <v>696</v>
      </c>
      <c r="K2076" t="s">
        <v>1465</v>
      </c>
      <c r="L2076">
        <v>14.7</v>
      </c>
    </row>
    <row r="2077" spans="1:12" x14ac:dyDescent="0.25">
      <c r="A2077" s="40">
        <v>45904.257337962961</v>
      </c>
      <c r="B2077" t="s">
        <v>1749</v>
      </c>
      <c r="C2077" t="s">
        <v>15</v>
      </c>
      <c r="D2077" t="s">
        <v>474</v>
      </c>
      <c r="E2077" t="s">
        <v>1364</v>
      </c>
      <c r="F2077" t="s">
        <v>695</v>
      </c>
      <c r="G2077">
        <v>15000</v>
      </c>
      <c r="H2077">
        <v>12277</v>
      </c>
      <c r="I2077" t="s">
        <v>696</v>
      </c>
      <c r="K2077" t="s">
        <v>1465</v>
      </c>
      <c r="L2077">
        <v>12.6</v>
      </c>
    </row>
    <row r="2078" spans="1:12" x14ac:dyDescent="0.25">
      <c r="A2078" s="40">
        <v>45904.257337962961</v>
      </c>
      <c r="B2078" t="s">
        <v>1749</v>
      </c>
      <c r="C2078" t="s">
        <v>5</v>
      </c>
      <c r="D2078" t="s">
        <v>389</v>
      </c>
      <c r="E2078" t="s">
        <v>1364</v>
      </c>
      <c r="F2078" t="s">
        <v>695</v>
      </c>
      <c r="G2078">
        <v>15000</v>
      </c>
      <c r="H2078">
        <v>14425</v>
      </c>
      <c r="I2078" t="s">
        <v>696</v>
      </c>
      <c r="K2078" t="s">
        <v>1465</v>
      </c>
      <c r="L2078">
        <v>12.6</v>
      </c>
    </row>
    <row r="2079" spans="1:12" x14ac:dyDescent="0.25">
      <c r="A2079" s="40">
        <v>45904.257337962961</v>
      </c>
      <c r="B2079" t="s">
        <v>1749</v>
      </c>
      <c r="C2079" t="s">
        <v>27</v>
      </c>
      <c r="D2079" t="s">
        <v>381</v>
      </c>
      <c r="E2079" t="s">
        <v>1364</v>
      </c>
      <c r="F2079" t="s">
        <v>695</v>
      </c>
      <c r="G2079">
        <v>15000</v>
      </c>
      <c r="H2079">
        <v>11979</v>
      </c>
      <c r="I2079" t="s">
        <v>696</v>
      </c>
      <c r="K2079" t="s">
        <v>1465</v>
      </c>
      <c r="L2079">
        <v>12.6</v>
      </c>
    </row>
    <row r="2080" spans="1:12" x14ac:dyDescent="0.25">
      <c r="A2080" s="40">
        <v>45904.495023148149</v>
      </c>
      <c r="B2080" t="s">
        <v>1764</v>
      </c>
      <c r="C2080" t="s">
        <v>1746</v>
      </c>
      <c r="E2080" t="s">
        <v>1365</v>
      </c>
      <c r="F2080" t="s">
        <v>1372</v>
      </c>
      <c r="G2080">
        <v>-10</v>
      </c>
      <c r="H2080">
        <v>8</v>
      </c>
      <c r="K2080" t="s">
        <v>1383</v>
      </c>
    </row>
    <row r="2081" spans="1:11" x14ac:dyDescent="0.25">
      <c r="A2081" s="40">
        <v>45904.495023148149</v>
      </c>
      <c r="B2081" t="s">
        <v>1764</v>
      </c>
      <c r="C2081" t="s">
        <v>1748</v>
      </c>
      <c r="E2081" t="s">
        <v>1365</v>
      </c>
      <c r="F2081" t="s">
        <v>1372</v>
      </c>
      <c r="G2081">
        <v>-10</v>
      </c>
      <c r="H2081">
        <v>4</v>
      </c>
      <c r="K2081" t="s">
        <v>1383</v>
      </c>
    </row>
    <row r="2082" spans="1:11" x14ac:dyDescent="0.25">
      <c r="A2082" s="40">
        <v>45904.495023148149</v>
      </c>
      <c r="B2082" t="s">
        <v>1764</v>
      </c>
      <c r="C2082" t="s">
        <v>104</v>
      </c>
      <c r="D2082" t="s">
        <v>410</v>
      </c>
      <c r="E2082" t="s">
        <v>1364</v>
      </c>
      <c r="F2082" t="s">
        <v>1372</v>
      </c>
      <c r="G2082">
        <v>-30</v>
      </c>
      <c r="H2082">
        <v>4501</v>
      </c>
      <c r="K2082" t="s">
        <v>1383</v>
      </c>
    </row>
    <row r="2083" spans="1:11" x14ac:dyDescent="0.25">
      <c r="A2083" s="40">
        <v>45904.495023148149</v>
      </c>
      <c r="B2083" t="s">
        <v>1764</v>
      </c>
      <c r="C2083" t="s">
        <v>1472</v>
      </c>
      <c r="E2083" t="s">
        <v>1365</v>
      </c>
      <c r="F2083" t="s">
        <v>1372</v>
      </c>
      <c r="G2083">
        <v>-11</v>
      </c>
      <c r="H2083">
        <v>8</v>
      </c>
      <c r="K2083" t="s">
        <v>1383</v>
      </c>
    </row>
    <row r="2084" spans="1:11" x14ac:dyDescent="0.25">
      <c r="A2084" s="40">
        <v>45904.495023148149</v>
      </c>
      <c r="B2084" t="s">
        <v>1764</v>
      </c>
      <c r="C2084" t="s">
        <v>32</v>
      </c>
      <c r="D2084" t="s">
        <v>384</v>
      </c>
      <c r="E2084" t="s">
        <v>1364</v>
      </c>
      <c r="F2084" t="s">
        <v>1372</v>
      </c>
      <c r="G2084">
        <v>-70</v>
      </c>
      <c r="H2084">
        <v>3136</v>
      </c>
      <c r="K2084" t="s">
        <v>1383</v>
      </c>
    </row>
    <row r="2085" spans="1:11" x14ac:dyDescent="0.25">
      <c r="A2085" s="40">
        <v>45904.495023148149</v>
      </c>
      <c r="B2085" t="s">
        <v>1764</v>
      </c>
      <c r="C2085" t="s">
        <v>1351</v>
      </c>
      <c r="E2085" t="s">
        <v>1365</v>
      </c>
      <c r="F2085" t="s">
        <v>1372</v>
      </c>
      <c r="G2085">
        <v>-22</v>
      </c>
      <c r="H2085">
        <v>-27</v>
      </c>
      <c r="K2085" t="s">
        <v>1383</v>
      </c>
    </row>
    <row r="2086" spans="1:11" x14ac:dyDescent="0.25">
      <c r="A2086" s="40">
        <v>45904.495023148149</v>
      </c>
      <c r="B2086" t="s">
        <v>1764</v>
      </c>
      <c r="C2086" t="s">
        <v>1751</v>
      </c>
      <c r="E2086" t="s">
        <v>1364</v>
      </c>
      <c r="F2086" t="s">
        <v>1372</v>
      </c>
      <c r="G2086">
        <v>-13</v>
      </c>
      <c r="H2086">
        <v>672</v>
      </c>
      <c r="K2086" t="s">
        <v>1383</v>
      </c>
    </row>
    <row r="2087" spans="1:11" x14ac:dyDescent="0.25">
      <c r="A2087" s="40">
        <v>45904.495023148149</v>
      </c>
      <c r="B2087" t="s">
        <v>1764</v>
      </c>
      <c r="C2087" t="s">
        <v>435</v>
      </c>
      <c r="D2087" t="s">
        <v>436</v>
      </c>
      <c r="E2087" t="s">
        <v>1364</v>
      </c>
      <c r="F2087" t="s">
        <v>1372</v>
      </c>
      <c r="G2087">
        <v>-60</v>
      </c>
      <c r="H2087">
        <v>4436</v>
      </c>
      <c r="K2087" t="s">
        <v>1383</v>
      </c>
    </row>
    <row r="2088" spans="1:11" x14ac:dyDescent="0.25">
      <c r="A2088" s="40">
        <v>45904.495023148149</v>
      </c>
      <c r="B2088" t="s">
        <v>1764</v>
      </c>
      <c r="C2088" t="s">
        <v>62</v>
      </c>
      <c r="D2088" t="s">
        <v>354</v>
      </c>
      <c r="E2088" t="s">
        <v>1364</v>
      </c>
      <c r="F2088" t="s">
        <v>1372</v>
      </c>
      <c r="G2088">
        <v>-30</v>
      </c>
      <c r="H2088">
        <v>3679</v>
      </c>
      <c r="K2088" t="s">
        <v>1383</v>
      </c>
    </row>
    <row r="2089" spans="1:11" x14ac:dyDescent="0.25">
      <c r="A2089" s="40">
        <v>45904.495023148149</v>
      </c>
      <c r="B2089" t="s">
        <v>1764</v>
      </c>
      <c r="C2089" t="s">
        <v>412</v>
      </c>
      <c r="D2089" t="s">
        <v>413</v>
      </c>
      <c r="E2089" t="s">
        <v>1364</v>
      </c>
      <c r="F2089" t="s">
        <v>1372</v>
      </c>
      <c r="G2089">
        <v>-30</v>
      </c>
      <c r="H2089">
        <v>3203</v>
      </c>
      <c r="K2089" t="s">
        <v>1383</v>
      </c>
    </row>
    <row r="2090" spans="1:11" x14ac:dyDescent="0.25">
      <c r="A2090" s="40">
        <v>45904.495023148149</v>
      </c>
      <c r="B2090" t="s">
        <v>1764</v>
      </c>
      <c r="C2090" t="s">
        <v>75</v>
      </c>
      <c r="D2090" t="s">
        <v>251</v>
      </c>
      <c r="E2090" t="s">
        <v>1364</v>
      </c>
      <c r="F2090" t="s">
        <v>1372</v>
      </c>
      <c r="G2090">
        <v>-40</v>
      </c>
      <c r="H2090">
        <v>2544</v>
      </c>
      <c r="K2090" t="s">
        <v>1383</v>
      </c>
    </row>
    <row r="2091" spans="1:11" x14ac:dyDescent="0.25">
      <c r="A2091" s="40">
        <v>45904.495023148149</v>
      </c>
      <c r="B2091" t="s">
        <v>1764</v>
      </c>
      <c r="C2091" t="s">
        <v>258</v>
      </c>
      <c r="D2091" t="s">
        <v>259</v>
      </c>
      <c r="E2091" t="s">
        <v>1364</v>
      </c>
      <c r="F2091" t="s">
        <v>1372</v>
      </c>
      <c r="G2091">
        <v>-40</v>
      </c>
      <c r="H2091">
        <v>3750</v>
      </c>
      <c r="K2091" t="s">
        <v>1383</v>
      </c>
    </row>
    <row r="2092" spans="1:11" x14ac:dyDescent="0.25">
      <c r="A2092" s="40">
        <v>45904.495023148149</v>
      </c>
      <c r="B2092" t="s">
        <v>1764</v>
      </c>
      <c r="C2092" t="s">
        <v>418</v>
      </c>
      <c r="D2092" t="s">
        <v>419</v>
      </c>
      <c r="E2092" t="s">
        <v>1364</v>
      </c>
      <c r="F2092" t="s">
        <v>1372</v>
      </c>
      <c r="G2092">
        <v>-240</v>
      </c>
      <c r="H2092">
        <v>522</v>
      </c>
      <c r="K2092" t="s">
        <v>1383</v>
      </c>
    </row>
    <row r="2093" spans="1:11" x14ac:dyDescent="0.25">
      <c r="A2093" s="40">
        <v>45904.495023148149</v>
      </c>
      <c r="B2093" t="s">
        <v>1764</v>
      </c>
      <c r="C2093" t="s">
        <v>330</v>
      </c>
      <c r="D2093" t="s">
        <v>331</v>
      </c>
      <c r="E2093" t="s">
        <v>1364</v>
      </c>
      <c r="F2093" t="s">
        <v>1372</v>
      </c>
      <c r="G2093">
        <v>-250</v>
      </c>
      <c r="H2093">
        <v>1283</v>
      </c>
      <c r="K2093" t="s">
        <v>1383</v>
      </c>
    </row>
    <row r="2094" spans="1:11" x14ac:dyDescent="0.25">
      <c r="A2094" s="40">
        <v>45904.495023148149</v>
      </c>
      <c r="B2094" t="s">
        <v>1764</v>
      </c>
      <c r="C2094" t="s">
        <v>18</v>
      </c>
      <c r="D2094" t="s">
        <v>487</v>
      </c>
      <c r="E2094" t="s">
        <v>1364</v>
      </c>
      <c r="F2094" t="s">
        <v>1372</v>
      </c>
      <c r="G2094">
        <v>-155</v>
      </c>
      <c r="H2094">
        <v>8867</v>
      </c>
      <c r="K2094" t="s">
        <v>1383</v>
      </c>
    </row>
    <row r="2095" spans="1:11" x14ac:dyDescent="0.25">
      <c r="A2095" s="40">
        <v>45904.495023148149</v>
      </c>
      <c r="B2095" t="s">
        <v>1764</v>
      </c>
      <c r="C2095" t="s">
        <v>101</v>
      </c>
      <c r="D2095" t="s">
        <v>507</v>
      </c>
      <c r="E2095" t="s">
        <v>1364</v>
      </c>
      <c r="F2095" t="s">
        <v>1372</v>
      </c>
      <c r="G2095">
        <v>-30</v>
      </c>
      <c r="H2095">
        <v>4808</v>
      </c>
      <c r="K2095" t="s">
        <v>1383</v>
      </c>
    </row>
    <row r="2096" spans="1:11" x14ac:dyDescent="0.25">
      <c r="A2096" s="40">
        <v>45904.495023148149</v>
      </c>
      <c r="B2096" t="s">
        <v>1764</v>
      </c>
      <c r="C2096" t="s">
        <v>339</v>
      </c>
      <c r="D2096" t="s">
        <v>340</v>
      </c>
      <c r="E2096" t="s">
        <v>1364</v>
      </c>
      <c r="F2096" t="s">
        <v>1372</v>
      </c>
      <c r="G2096">
        <v>-40</v>
      </c>
      <c r="H2096">
        <v>2155</v>
      </c>
      <c r="K2096" t="s">
        <v>1383</v>
      </c>
    </row>
    <row r="2097" spans="1:11" x14ac:dyDescent="0.25">
      <c r="A2097" s="40">
        <v>45904.495023148149</v>
      </c>
      <c r="B2097" t="s">
        <v>1764</v>
      </c>
      <c r="C2097" t="s">
        <v>326</v>
      </c>
      <c r="D2097" t="s">
        <v>327</v>
      </c>
      <c r="E2097" t="s">
        <v>1364</v>
      </c>
      <c r="F2097" t="s">
        <v>1372</v>
      </c>
      <c r="G2097">
        <v>-40</v>
      </c>
      <c r="H2097">
        <v>1500</v>
      </c>
      <c r="K2097" t="s">
        <v>1383</v>
      </c>
    </row>
    <row r="2098" spans="1:11" x14ac:dyDescent="0.25">
      <c r="A2098" s="40">
        <v>45904.495023148149</v>
      </c>
      <c r="B2098" t="s">
        <v>1764</v>
      </c>
      <c r="C2098" t="s">
        <v>8</v>
      </c>
      <c r="D2098" t="s">
        <v>311</v>
      </c>
      <c r="E2098" t="s">
        <v>1364</v>
      </c>
      <c r="F2098" t="s">
        <v>1372</v>
      </c>
      <c r="G2098">
        <v>-510</v>
      </c>
      <c r="H2098">
        <v>941</v>
      </c>
      <c r="K2098" t="s">
        <v>1383</v>
      </c>
    </row>
    <row r="2099" spans="1:11" x14ac:dyDescent="0.25">
      <c r="A2099" s="40">
        <v>45904.495023148149</v>
      </c>
      <c r="B2099" t="s">
        <v>1764</v>
      </c>
      <c r="C2099" t="s">
        <v>296</v>
      </c>
      <c r="D2099" t="s">
        <v>297</v>
      </c>
      <c r="E2099" t="s">
        <v>1364</v>
      </c>
      <c r="F2099" t="s">
        <v>1372</v>
      </c>
      <c r="G2099">
        <v>-120</v>
      </c>
      <c r="H2099">
        <v>472</v>
      </c>
      <c r="K2099" t="s">
        <v>1383</v>
      </c>
    </row>
    <row r="2100" spans="1:11" x14ac:dyDescent="0.25">
      <c r="A2100" s="40">
        <v>45904.495023148149</v>
      </c>
      <c r="B2100" t="s">
        <v>1764</v>
      </c>
      <c r="C2100" t="s">
        <v>26</v>
      </c>
      <c r="D2100" t="s">
        <v>380</v>
      </c>
      <c r="E2100" t="s">
        <v>1364</v>
      </c>
      <c r="F2100" t="s">
        <v>1372</v>
      </c>
      <c r="G2100">
        <v>-30</v>
      </c>
      <c r="H2100">
        <v>3442</v>
      </c>
      <c r="K2100" t="s">
        <v>1383</v>
      </c>
    </row>
    <row r="2101" spans="1:11" x14ac:dyDescent="0.25">
      <c r="A2101" s="40">
        <v>45904.495023148149</v>
      </c>
      <c r="B2101" t="s">
        <v>1764</v>
      </c>
      <c r="C2101" t="s">
        <v>1762</v>
      </c>
      <c r="E2101" t="s">
        <v>1364</v>
      </c>
      <c r="F2101" t="s">
        <v>1372</v>
      </c>
      <c r="G2101">
        <v>-60</v>
      </c>
      <c r="H2101">
        <v>700</v>
      </c>
      <c r="K2101" t="s">
        <v>1383</v>
      </c>
    </row>
    <row r="2102" spans="1:11" x14ac:dyDescent="0.25">
      <c r="A2102" s="40">
        <v>45904.495023148149</v>
      </c>
      <c r="B2102" t="s">
        <v>1764</v>
      </c>
      <c r="C2102" t="s">
        <v>324</v>
      </c>
      <c r="D2102" t="s">
        <v>325</v>
      </c>
      <c r="E2102" t="s">
        <v>1364</v>
      </c>
      <c r="F2102" t="s">
        <v>1372</v>
      </c>
      <c r="G2102">
        <v>-60</v>
      </c>
      <c r="H2102">
        <v>1565</v>
      </c>
      <c r="K2102" t="s">
        <v>1383</v>
      </c>
    </row>
    <row r="2103" spans="1:11" x14ac:dyDescent="0.25">
      <c r="A2103" s="40">
        <v>45904.495023148149</v>
      </c>
      <c r="B2103" t="s">
        <v>1764</v>
      </c>
      <c r="C2103" t="s">
        <v>343</v>
      </c>
      <c r="D2103" t="s">
        <v>344</v>
      </c>
      <c r="E2103" t="s">
        <v>1364</v>
      </c>
      <c r="F2103" t="s">
        <v>1372</v>
      </c>
      <c r="G2103">
        <v>-660</v>
      </c>
      <c r="H2103">
        <v>1622</v>
      </c>
      <c r="K2103" t="s">
        <v>1383</v>
      </c>
    </row>
    <row r="2104" spans="1:11" x14ac:dyDescent="0.25">
      <c r="A2104" s="40">
        <v>45904.495023148149</v>
      </c>
      <c r="B2104" t="s">
        <v>1764</v>
      </c>
      <c r="C2104" t="s">
        <v>1750</v>
      </c>
      <c r="E2104" t="s">
        <v>1365</v>
      </c>
      <c r="F2104" t="s">
        <v>1372</v>
      </c>
      <c r="G2104">
        <v>-510</v>
      </c>
      <c r="H2104">
        <v>315</v>
      </c>
      <c r="K2104" t="s">
        <v>1383</v>
      </c>
    </row>
    <row r="2105" spans="1:11" x14ac:dyDescent="0.25">
      <c r="A2105" s="40">
        <v>45904.495023148149</v>
      </c>
      <c r="B2105" t="s">
        <v>1764</v>
      </c>
      <c r="C2105" t="s">
        <v>14</v>
      </c>
      <c r="D2105" t="s">
        <v>483</v>
      </c>
      <c r="E2105" t="s">
        <v>1364</v>
      </c>
      <c r="F2105" t="s">
        <v>1372</v>
      </c>
      <c r="G2105">
        <v>-60</v>
      </c>
      <c r="H2105">
        <v>1790</v>
      </c>
      <c r="K2105" t="s">
        <v>1383</v>
      </c>
    </row>
    <row r="2106" spans="1:11" x14ac:dyDescent="0.25">
      <c r="A2106" s="40">
        <v>45904.495023148149</v>
      </c>
      <c r="B2106" t="s">
        <v>1764</v>
      </c>
      <c r="C2106" t="s">
        <v>279</v>
      </c>
      <c r="D2106" t="s">
        <v>280</v>
      </c>
      <c r="E2106" t="s">
        <v>1364</v>
      </c>
      <c r="F2106" t="s">
        <v>1372</v>
      </c>
      <c r="G2106">
        <v>-50</v>
      </c>
      <c r="H2106">
        <v>651</v>
      </c>
      <c r="K2106" t="s">
        <v>1383</v>
      </c>
    </row>
    <row r="2107" spans="1:11" x14ac:dyDescent="0.25">
      <c r="A2107" s="40">
        <v>45904.495023148149</v>
      </c>
      <c r="B2107" t="s">
        <v>1764</v>
      </c>
      <c r="C2107" t="s">
        <v>337</v>
      </c>
      <c r="D2107" t="s">
        <v>338</v>
      </c>
      <c r="E2107" t="s">
        <v>1364</v>
      </c>
      <c r="F2107" t="s">
        <v>1372</v>
      </c>
      <c r="G2107">
        <v>-30</v>
      </c>
      <c r="H2107">
        <v>3214</v>
      </c>
      <c r="K2107" t="s">
        <v>1383</v>
      </c>
    </row>
    <row r="2108" spans="1:11" x14ac:dyDescent="0.25">
      <c r="A2108" s="40">
        <v>45904.495023148149</v>
      </c>
      <c r="B2108" t="s">
        <v>1764</v>
      </c>
      <c r="C2108" t="s">
        <v>281</v>
      </c>
      <c r="D2108" t="s">
        <v>282</v>
      </c>
      <c r="E2108" t="s">
        <v>1364</v>
      </c>
      <c r="F2108" t="s">
        <v>1372</v>
      </c>
      <c r="G2108">
        <v>-30</v>
      </c>
      <c r="H2108">
        <v>1310</v>
      </c>
      <c r="K2108" t="s">
        <v>1383</v>
      </c>
    </row>
    <row r="2109" spans="1:11" x14ac:dyDescent="0.25">
      <c r="A2109" s="40">
        <v>45904.495023148149</v>
      </c>
      <c r="B2109" t="s">
        <v>1764</v>
      </c>
      <c r="C2109" t="s">
        <v>370</v>
      </c>
      <c r="D2109" t="s">
        <v>371</v>
      </c>
      <c r="E2109" t="s">
        <v>1364</v>
      </c>
      <c r="F2109" t="s">
        <v>1372</v>
      </c>
      <c r="G2109">
        <v>-30</v>
      </c>
      <c r="H2109">
        <v>2585</v>
      </c>
      <c r="K2109" t="s">
        <v>1383</v>
      </c>
    </row>
    <row r="2110" spans="1:11" x14ac:dyDescent="0.25">
      <c r="A2110" s="40">
        <v>45904.495023148149</v>
      </c>
      <c r="B2110" t="s">
        <v>1764</v>
      </c>
      <c r="C2110" t="s">
        <v>24</v>
      </c>
      <c r="D2110" t="s">
        <v>378</v>
      </c>
      <c r="E2110" t="s">
        <v>1364</v>
      </c>
      <c r="F2110" t="s">
        <v>1372</v>
      </c>
      <c r="G2110">
        <v>-60</v>
      </c>
      <c r="H2110">
        <v>743</v>
      </c>
      <c r="K2110" t="s">
        <v>1383</v>
      </c>
    </row>
    <row r="2111" spans="1:11" x14ac:dyDescent="0.25">
      <c r="A2111" s="40">
        <v>45904.495023148149</v>
      </c>
      <c r="B2111" t="s">
        <v>1764</v>
      </c>
      <c r="C2111" t="s">
        <v>68</v>
      </c>
      <c r="D2111" t="s">
        <v>374</v>
      </c>
      <c r="E2111" t="s">
        <v>1364</v>
      </c>
      <c r="F2111" t="s">
        <v>1372</v>
      </c>
      <c r="G2111">
        <v>-760</v>
      </c>
      <c r="H2111">
        <v>7389</v>
      </c>
      <c r="K2111" t="s">
        <v>1383</v>
      </c>
    </row>
    <row r="2112" spans="1:11" x14ac:dyDescent="0.25">
      <c r="A2112" s="40">
        <v>45904.495023148149</v>
      </c>
      <c r="B2112" t="s">
        <v>1764</v>
      </c>
      <c r="C2112" t="s">
        <v>11</v>
      </c>
      <c r="D2112" t="s">
        <v>411</v>
      </c>
      <c r="E2112" t="s">
        <v>1364</v>
      </c>
      <c r="F2112" t="s">
        <v>1372</v>
      </c>
      <c r="G2112">
        <v>-40</v>
      </c>
      <c r="H2112">
        <v>3256</v>
      </c>
      <c r="K2112" t="s">
        <v>1383</v>
      </c>
    </row>
    <row r="2113" spans="1:11" x14ac:dyDescent="0.25">
      <c r="A2113" s="40">
        <v>45904.495023148149</v>
      </c>
      <c r="B2113" t="s">
        <v>1764</v>
      </c>
      <c r="C2113" t="s">
        <v>63</v>
      </c>
      <c r="D2113" t="s">
        <v>355</v>
      </c>
      <c r="E2113" t="s">
        <v>1364</v>
      </c>
      <c r="F2113" t="s">
        <v>1372</v>
      </c>
      <c r="G2113">
        <v>-40</v>
      </c>
      <c r="H2113">
        <v>3237</v>
      </c>
      <c r="K2113" t="s">
        <v>1383</v>
      </c>
    </row>
    <row r="2114" spans="1:11" x14ac:dyDescent="0.25">
      <c r="A2114" s="40">
        <v>45904.495023148149</v>
      </c>
      <c r="B2114" t="s">
        <v>1764</v>
      </c>
      <c r="C2114" t="s">
        <v>60</v>
      </c>
      <c r="D2114" t="s">
        <v>350</v>
      </c>
      <c r="E2114" t="s">
        <v>1364</v>
      </c>
      <c r="F2114" t="s">
        <v>1372</v>
      </c>
      <c r="G2114">
        <v>-215</v>
      </c>
      <c r="H2114">
        <v>6102</v>
      </c>
      <c r="K2114" t="s">
        <v>1383</v>
      </c>
    </row>
    <row r="2115" spans="1:11" x14ac:dyDescent="0.25">
      <c r="A2115" s="40">
        <v>45904.495023148149</v>
      </c>
      <c r="B2115" t="s">
        <v>1764</v>
      </c>
      <c r="C2115" t="s">
        <v>47</v>
      </c>
      <c r="D2115" t="s">
        <v>395</v>
      </c>
      <c r="E2115" t="s">
        <v>1364</v>
      </c>
      <c r="F2115" t="s">
        <v>1372</v>
      </c>
      <c r="G2115">
        <v>-60</v>
      </c>
      <c r="H2115">
        <v>21374</v>
      </c>
      <c r="K2115" t="s">
        <v>1383</v>
      </c>
    </row>
    <row r="2116" spans="1:11" x14ac:dyDescent="0.25">
      <c r="A2116" s="40">
        <v>45904.495023148149</v>
      </c>
      <c r="B2116" t="s">
        <v>1764</v>
      </c>
      <c r="C2116" t="s">
        <v>69</v>
      </c>
      <c r="D2116" t="s">
        <v>375</v>
      </c>
      <c r="E2116" t="s">
        <v>1364</v>
      </c>
      <c r="F2116" t="s">
        <v>1372</v>
      </c>
      <c r="G2116">
        <v>-310</v>
      </c>
      <c r="H2116">
        <v>4087</v>
      </c>
      <c r="K2116" t="s">
        <v>1383</v>
      </c>
    </row>
    <row r="2117" spans="1:11" x14ac:dyDescent="0.25">
      <c r="A2117" s="40">
        <v>45904.495023148149</v>
      </c>
      <c r="B2117" t="s">
        <v>1764</v>
      </c>
      <c r="C2117" t="s">
        <v>15</v>
      </c>
      <c r="D2117" t="s">
        <v>474</v>
      </c>
      <c r="E2117" t="s">
        <v>1364</v>
      </c>
      <c r="F2117" t="s">
        <v>1372</v>
      </c>
      <c r="G2117">
        <v>-145</v>
      </c>
      <c r="H2117">
        <v>12132</v>
      </c>
      <c r="K2117" t="s">
        <v>1383</v>
      </c>
    </row>
    <row r="2118" spans="1:11" x14ac:dyDescent="0.25">
      <c r="A2118" s="40">
        <v>45904.495023148149</v>
      </c>
      <c r="B2118" t="s">
        <v>1764</v>
      </c>
      <c r="C2118" t="s">
        <v>79</v>
      </c>
      <c r="D2118" t="s">
        <v>358</v>
      </c>
      <c r="E2118" t="s">
        <v>1364</v>
      </c>
      <c r="F2118" t="s">
        <v>1372</v>
      </c>
      <c r="G2118">
        <v>-60</v>
      </c>
      <c r="H2118">
        <v>1903</v>
      </c>
      <c r="K2118" t="s">
        <v>1383</v>
      </c>
    </row>
    <row r="2119" spans="1:11" x14ac:dyDescent="0.25">
      <c r="A2119" s="40">
        <v>45904.495023148149</v>
      </c>
      <c r="B2119" t="s">
        <v>1764</v>
      </c>
      <c r="C2119" t="s">
        <v>7</v>
      </c>
      <c r="D2119" t="s">
        <v>307</v>
      </c>
      <c r="E2119" t="s">
        <v>1364</v>
      </c>
      <c r="F2119" t="s">
        <v>1372</v>
      </c>
      <c r="G2119">
        <v>-100</v>
      </c>
      <c r="H2119">
        <v>11064</v>
      </c>
      <c r="K2119" t="s">
        <v>1383</v>
      </c>
    </row>
    <row r="2120" spans="1:11" x14ac:dyDescent="0.25">
      <c r="A2120" s="40">
        <v>45904.495023148149</v>
      </c>
      <c r="B2120" t="s">
        <v>1764</v>
      </c>
      <c r="C2120" t="s">
        <v>56</v>
      </c>
      <c r="D2120" t="s">
        <v>313</v>
      </c>
      <c r="E2120" t="s">
        <v>1364</v>
      </c>
      <c r="F2120" t="s">
        <v>1372</v>
      </c>
      <c r="G2120">
        <v>-50</v>
      </c>
      <c r="H2120">
        <v>3417</v>
      </c>
      <c r="K2120" t="s">
        <v>1383</v>
      </c>
    </row>
    <row r="2121" spans="1:11" x14ac:dyDescent="0.25">
      <c r="A2121" s="40">
        <v>45904.495023148149</v>
      </c>
      <c r="B2121" t="s">
        <v>1764</v>
      </c>
      <c r="C2121" t="s">
        <v>25</v>
      </c>
      <c r="D2121" t="s">
        <v>491</v>
      </c>
      <c r="E2121" t="s">
        <v>1364</v>
      </c>
      <c r="F2121" t="s">
        <v>1372</v>
      </c>
      <c r="G2121">
        <v>-60</v>
      </c>
      <c r="H2121">
        <v>811</v>
      </c>
      <c r="K2121" t="s">
        <v>1383</v>
      </c>
    </row>
    <row r="2122" spans="1:11" x14ac:dyDescent="0.25">
      <c r="A2122" s="40">
        <v>45904.495023148149</v>
      </c>
      <c r="B2122" t="s">
        <v>1764</v>
      </c>
      <c r="C2122" t="s">
        <v>31</v>
      </c>
      <c r="D2122" t="s">
        <v>493</v>
      </c>
      <c r="E2122" t="s">
        <v>1364</v>
      </c>
      <c r="F2122" t="s">
        <v>1372</v>
      </c>
      <c r="G2122">
        <v>-40</v>
      </c>
      <c r="H2122">
        <v>3143</v>
      </c>
      <c r="K2122" t="s">
        <v>1383</v>
      </c>
    </row>
    <row r="2123" spans="1:11" x14ac:dyDescent="0.25">
      <c r="A2123" s="40">
        <v>45904.495023148149</v>
      </c>
      <c r="B2123" t="s">
        <v>1764</v>
      </c>
      <c r="C2123" t="s">
        <v>29</v>
      </c>
      <c r="D2123" t="s">
        <v>383</v>
      </c>
      <c r="E2123" t="s">
        <v>1364</v>
      </c>
      <c r="F2123" t="s">
        <v>1372</v>
      </c>
      <c r="G2123">
        <v>-1570</v>
      </c>
      <c r="H2123">
        <v>-1022</v>
      </c>
      <c r="K2123" t="s">
        <v>1383</v>
      </c>
    </row>
    <row r="2124" spans="1:11" x14ac:dyDescent="0.25">
      <c r="A2124" s="40">
        <v>45904.495023148149</v>
      </c>
      <c r="B2124" t="s">
        <v>1764</v>
      </c>
      <c r="C2124" t="s">
        <v>27</v>
      </c>
      <c r="D2124" t="s">
        <v>381</v>
      </c>
      <c r="E2124" t="s">
        <v>1364</v>
      </c>
      <c r="F2124" t="s">
        <v>1372</v>
      </c>
      <c r="G2124">
        <v>-270</v>
      </c>
      <c r="H2124">
        <v>11709</v>
      </c>
      <c r="K2124" t="s">
        <v>1383</v>
      </c>
    </row>
    <row r="2125" spans="1:11" x14ac:dyDescent="0.25">
      <c r="A2125" s="40">
        <v>45904.495023148149</v>
      </c>
      <c r="B2125" t="s">
        <v>1764</v>
      </c>
      <c r="C2125" t="s">
        <v>57</v>
      </c>
      <c r="D2125" t="s">
        <v>314</v>
      </c>
      <c r="E2125" t="s">
        <v>1364</v>
      </c>
      <c r="F2125" t="s">
        <v>1372</v>
      </c>
      <c r="G2125">
        <v>-40</v>
      </c>
      <c r="H2125">
        <v>4997</v>
      </c>
      <c r="K2125" t="s">
        <v>1383</v>
      </c>
    </row>
    <row r="2126" spans="1:11" x14ac:dyDescent="0.25">
      <c r="A2126" s="40">
        <v>45904.495023148149</v>
      </c>
      <c r="B2126" t="s">
        <v>1764</v>
      </c>
      <c r="C2126" t="s">
        <v>20</v>
      </c>
      <c r="D2126" t="s">
        <v>498</v>
      </c>
      <c r="E2126" t="s">
        <v>1364</v>
      </c>
      <c r="F2126" t="s">
        <v>1372</v>
      </c>
      <c r="G2126">
        <v>-470</v>
      </c>
      <c r="H2126">
        <v>1322</v>
      </c>
      <c r="K2126" t="s">
        <v>1383</v>
      </c>
    </row>
    <row r="2127" spans="1:11" x14ac:dyDescent="0.25">
      <c r="A2127" s="40">
        <v>45904.495023148149</v>
      </c>
      <c r="B2127" t="s">
        <v>1764</v>
      </c>
      <c r="C2127" t="s">
        <v>5</v>
      </c>
      <c r="D2127" t="s">
        <v>389</v>
      </c>
      <c r="E2127" t="s">
        <v>1364</v>
      </c>
      <c r="F2127" t="s">
        <v>1372</v>
      </c>
      <c r="G2127">
        <v>-165</v>
      </c>
      <c r="H2127">
        <v>14260</v>
      </c>
      <c r="K2127" t="s">
        <v>1383</v>
      </c>
    </row>
    <row r="2128" spans="1:11" x14ac:dyDescent="0.25">
      <c r="A2128" s="40">
        <v>45904.495023148149</v>
      </c>
      <c r="B2128" t="s">
        <v>1764</v>
      </c>
      <c r="C2128" t="s">
        <v>1</v>
      </c>
      <c r="D2128" t="s">
        <v>250</v>
      </c>
      <c r="E2128" t="s">
        <v>1364</v>
      </c>
      <c r="F2128" t="s">
        <v>1372</v>
      </c>
      <c r="G2128">
        <v>-800</v>
      </c>
      <c r="H2128">
        <v>9455</v>
      </c>
      <c r="K2128" t="s">
        <v>1383</v>
      </c>
    </row>
    <row r="2129" spans="1:12" x14ac:dyDescent="0.25">
      <c r="A2129" s="40">
        <v>45905.316423611112</v>
      </c>
      <c r="B2129" t="s">
        <v>1764</v>
      </c>
      <c r="C2129" t="s">
        <v>29</v>
      </c>
      <c r="D2129" t="s">
        <v>383</v>
      </c>
      <c r="E2129" t="s">
        <v>1364</v>
      </c>
      <c r="F2129" t="s">
        <v>695</v>
      </c>
      <c r="G2129">
        <v>10000</v>
      </c>
      <c r="H2129">
        <v>8978</v>
      </c>
      <c r="I2129" t="s">
        <v>696</v>
      </c>
      <c r="K2129" t="s">
        <v>1465</v>
      </c>
      <c r="L2129">
        <v>9.7999999999999989</v>
      </c>
    </row>
    <row r="2130" spans="1:12" x14ac:dyDescent="0.25">
      <c r="A2130" s="40">
        <v>45906.303819444445</v>
      </c>
      <c r="B2130" t="s">
        <v>1765</v>
      </c>
      <c r="C2130" t="s">
        <v>441</v>
      </c>
      <c r="D2130" t="s">
        <v>442</v>
      </c>
      <c r="E2130" t="s">
        <v>1364</v>
      </c>
      <c r="F2130" t="s">
        <v>1372</v>
      </c>
      <c r="G2130">
        <v>-240</v>
      </c>
      <c r="H2130">
        <v>360</v>
      </c>
      <c r="K2130" t="s">
        <v>1383</v>
      </c>
    </row>
    <row r="2131" spans="1:12" x14ac:dyDescent="0.25">
      <c r="A2131" s="40">
        <v>45906.303819444445</v>
      </c>
      <c r="B2131" t="s">
        <v>1765</v>
      </c>
      <c r="C2131" t="s">
        <v>1351</v>
      </c>
      <c r="E2131" t="s">
        <v>1365</v>
      </c>
      <c r="F2131" t="s">
        <v>1372</v>
      </c>
      <c r="G2131">
        <v>-27</v>
      </c>
      <c r="H2131">
        <v>-54</v>
      </c>
      <c r="K2131" t="s">
        <v>1383</v>
      </c>
    </row>
    <row r="2132" spans="1:12" x14ac:dyDescent="0.25">
      <c r="A2132" s="40">
        <v>45906.303819444445</v>
      </c>
      <c r="B2132" t="s">
        <v>1765</v>
      </c>
      <c r="C2132" t="s">
        <v>1751</v>
      </c>
      <c r="E2132" t="s">
        <v>1364</v>
      </c>
      <c r="F2132" t="s">
        <v>1372</v>
      </c>
      <c r="G2132">
        <v>-240</v>
      </c>
      <c r="H2132">
        <v>432</v>
      </c>
      <c r="K2132" t="s">
        <v>1383</v>
      </c>
    </row>
    <row r="2133" spans="1:12" x14ac:dyDescent="0.25">
      <c r="A2133" s="40">
        <v>45906.303819444445</v>
      </c>
      <c r="B2133" t="s">
        <v>1765</v>
      </c>
      <c r="C2133" t="s">
        <v>1363</v>
      </c>
      <c r="E2133" t="s">
        <v>1365</v>
      </c>
      <c r="F2133" t="s">
        <v>1372</v>
      </c>
      <c r="G2133">
        <v>-165</v>
      </c>
      <c r="H2133">
        <v>-125</v>
      </c>
      <c r="K2133" t="s">
        <v>1383</v>
      </c>
    </row>
    <row r="2134" spans="1:12" x14ac:dyDescent="0.25">
      <c r="A2134" s="40">
        <v>45906.303819444445</v>
      </c>
      <c r="B2134" t="s">
        <v>1765</v>
      </c>
      <c r="C2134" t="s">
        <v>693</v>
      </c>
      <c r="D2134" t="s">
        <v>701</v>
      </c>
      <c r="E2134" t="s">
        <v>1364</v>
      </c>
      <c r="F2134" t="s">
        <v>1372</v>
      </c>
      <c r="G2134">
        <v>-45</v>
      </c>
      <c r="H2134">
        <v>285</v>
      </c>
      <c r="K2134" t="s">
        <v>1383</v>
      </c>
    </row>
    <row r="2135" spans="1:12" x14ac:dyDescent="0.25">
      <c r="A2135" s="40">
        <v>45906.303819444445</v>
      </c>
      <c r="B2135" t="s">
        <v>1765</v>
      </c>
      <c r="C2135" t="s">
        <v>39</v>
      </c>
      <c r="D2135" t="s">
        <v>387</v>
      </c>
      <c r="E2135" t="s">
        <v>1364</v>
      </c>
      <c r="F2135" t="s">
        <v>1372</v>
      </c>
      <c r="G2135">
        <v>-55</v>
      </c>
      <c r="H2135">
        <v>6475</v>
      </c>
      <c r="K2135" t="s">
        <v>1383</v>
      </c>
    </row>
    <row r="2136" spans="1:12" x14ac:dyDescent="0.25">
      <c r="A2136" s="40">
        <v>45906.303819444445</v>
      </c>
      <c r="B2136" t="s">
        <v>1765</v>
      </c>
      <c r="C2136" t="s">
        <v>456</v>
      </c>
      <c r="D2136" t="s">
        <v>457</v>
      </c>
      <c r="E2136" t="s">
        <v>1364</v>
      </c>
      <c r="F2136" t="s">
        <v>1372</v>
      </c>
      <c r="G2136">
        <v>-3900</v>
      </c>
      <c r="H2136">
        <v>-393</v>
      </c>
      <c r="K2136" t="s">
        <v>1383</v>
      </c>
    </row>
    <row r="2137" spans="1:12" x14ac:dyDescent="0.25">
      <c r="A2137" s="40">
        <v>45906.303819444445</v>
      </c>
      <c r="B2137" t="s">
        <v>1765</v>
      </c>
      <c r="C2137" t="s">
        <v>1763</v>
      </c>
      <c r="E2137" t="s">
        <v>1364</v>
      </c>
      <c r="F2137" t="s">
        <v>1372</v>
      </c>
      <c r="G2137">
        <v>-315</v>
      </c>
      <c r="H2137">
        <v>2445</v>
      </c>
      <c r="K2137" t="s">
        <v>1383</v>
      </c>
    </row>
    <row r="2138" spans="1:12" x14ac:dyDescent="0.25">
      <c r="A2138" s="40">
        <v>45906.303819444445</v>
      </c>
      <c r="B2138" t="s">
        <v>1765</v>
      </c>
      <c r="C2138" t="s">
        <v>428</v>
      </c>
      <c r="D2138" t="s">
        <v>429</v>
      </c>
      <c r="E2138" t="s">
        <v>1364</v>
      </c>
      <c r="F2138" t="s">
        <v>1372</v>
      </c>
      <c r="G2138">
        <v>-7900</v>
      </c>
      <c r="H2138">
        <v>-6411</v>
      </c>
      <c r="K2138" t="s">
        <v>1383</v>
      </c>
    </row>
    <row r="2139" spans="1:12" x14ac:dyDescent="0.25">
      <c r="A2139" s="40">
        <v>45906.303819444445</v>
      </c>
      <c r="B2139" t="s">
        <v>1765</v>
      </c>
      <c r="C2139" t="s">
        <v>445</v>
      </c>
      <c r="D2139" t="s">
        <v>446</v>
      </c>
      <c r="E2139" t="s">
        <v>1364</v>
      </c>
      <c r="F2139" t="s">
        <v>1372</v>
      </c>
      <c r="G2139">
        <v>-70</v>
      </c>
      <c r="H2139">
        <v>2910</v>
      </c>
      <c r="K2139" t="s">
        <v>1383</v>
      </c>
    </row>
    <row r="2140" spans="1:12" x14ac:dyDescent="0.25">
      <c r="A2140" s="40">
        <v>45906.303819444445</v>
      </c>
      <c r="B2140" t="s">
        <v>1765</v>
      </c>
      <c r="C2140" t="s">
        <v>62</v>
      </c>
      <c r="D2140" t="s">
        <v>354</v>
      </c>
      <c r="E2140" t="s">
        <v>1364</v>
      </c>
      <c r="F2140" t="s">
        <v>1372</v>
      </c>
      <c r="G2140">
        <v>-45</v>
      </c>
      <c r="H2140">
        <v>3634</v>
      </c>
      <c r="K2140" t="s">
        <v>1383</v>
      </c>
    </row>
    <row r="2141" spans="1:12" x14ac:dyDescent="0.25">
      <c r="A2141" s="40">
        <v>45906.303819444445</v>
      </c>
      <c r="B2141" t="s">
        <v>1765</v>
      </c>
      <c r="C2141" t="s">
        <v>292</v>
      </c>
      <c r="D2141" t="s">
        <v>293</v>
      </c>
      <c r="E2141" t="s">
        <v>1364</v>
      </c>
      <c r="F2141" t="s">
        <v>1372</v>
      </c>
      <c r="G2141">
        <v>-2200</v>
      </c>
      <c r="H2141">
        <v>-2140</v>
      </c>
      <c r="K2141" t="s">
        <v>1383</v>
      </c>
    </row>
    <row r="2142" spans="1:12" x14ac:dyDescent="0.25">
      <c r="A2142" s="40">
        <v>45906.303819444445</v>
      </c>
      <c r="B2142" t="s">
        <v>1765</v>
      </c>
      <c r="C2142" t="s">
        <v>1761</v>
      </c>
      <c r="E2142" t="s">
        <v>1365</v>
      </c>
      <c r="F2142" t="s">
        <v>1372</v>
      </c>
      <c r="G2142">
        <v>-27</v>
      </c>
      <c r="H2142">
        <v>363</v>
      </c>
      <c r="K2142" t="s">
        <v>1383</v>
      </c>
    </row>
    <row r="2143" spans="1:12" x14ac:dyDescent="0.25">
      <c r="A2143" s="40">
        <v>45906.303819444445</v>
      </c>
      <c r="B2143" t="s">
        <v>1765</v>
      </c>
      <c r="C2143" t="s">
        <v>37</v>
      </c>
      <c r="D2143" t="s">
        <v>497</v>
      </c>
      <c r="E2143" t="s">
        <v>1364</v>
      </c>
      <c r="F2143" t="s">
        <v>1372</v>
      </c>
      <c r="G2143">
        <v>-140</v>
      </c>
      <c r="H2143">
        <v>6432</v>
      </c>
      <c r="K2143" t="s">
        <v>1383</v>
      </c>
    </row>
    <row r="2144" spans="1:12" x14ac:dyDescent="0.25">
      <c r="A2144" s="40">
        <v>45906.303819444445</v>
      </c>
      <c r="B2144" t="s">
        <v>1765</v>
      </c>
      <c r="C2144" t="s">
        <v>330</v>
      </c>
      <c r="D2144" t="s">
        <v>331</v>
      </c>
      <c r="E2144" t="s">
        <v>1364</v>
      </c>
      <c r="F2144" t="s">
        <v>1372</v>
      </c>
      <c r="G2144">
        <v>-210</v>
      </c>
      <c r="H2144">
        <v>1073</v>
      </c>
      <c r="K2144" t="s">
        <v>1383</v>
      </c>
    </row>
    <row r="2145" spans="1:11" x14ac:dyDescent="0.25">
      <c r="A2145" s="40">
        <v>45906.303819444445</v>
      </c>
      <c r="B2145" t="s">
        <v>1765</v>
      </c>
      <c r="C2145" t="s">
        <v>18</v>
      </c>
      <c r="D2145" t="s">
        <v>487</v>
      </c>
      <c r="E2145" t="s">
        <v>1364</v>
      </c>
      <c r="F2145" t="s">
        <v>1372</v>
      </c>
      <c r="G2145">
        <v>-4760</v>
      </c>
      <c r="H2145">
        <v>4107</v>
      </c>
      <c r="K2145" t="s">
        <v>1383</v>
      </c>
    </row>
    <row r="2146" spans="1:11" x14ac:dyDescent="0.25">
      <c r="A2146" s="40">
        <v>45906.303819444445</v>
      </c>
      <c r="B2146" t="s">
        <v>1765</v>
      </c>
      <c r="C2146" t="s">
        <v>61</v>
      </c>
      <c r="D2146" t="s">
        <v>353</v>
      </c>
      <c r="E2146" t="s">
        <v>1364</v>
      </c>
      <c r="F2146" t="s">
        <v>1372</v>
      </c>
      <c r="G2146">
        <v>-3900</v>
      </c>
      <c r="H2146">
        <v>-1304</v>
      </c>
      <c r="K2146" t="s">
        <v>1383</v>
      </c>
    </row>
    <row r="2147" spans="1:11" x14ac:dyDescent="0.25">
      <c r="A2147" s="40">
        <v>45906.303819444445</v>
      </c>
      <c r="B2147" t="s">
        <v>1765</v>
      </c>
      <c r="C2147" t="s">
        <v>1353</v>
      </c>
      <c r="E2147" t="s">
        <v>1365</v>
      </c>
      <c r="F2147" t="s">
        <v>1372</v>
      </c>
      <c r="G2147">
        <v>-3090</v>
      </c>
      <c r="H2147">
        <v>-2033</v>
      </c>
      <c r="K2147" t="s">
        <v>1383</v>
      </c>
    </row>
    <row r="2148" spans="1:11" x14ac:dyDescent="0.25">
      <c r="A2148" s="40">
        <v>45906.303819444445</v>
      </c>
      <c r="B2148" t="s">
        <v>1765</v>
      </c>
      <c r="C2148" t="s">
        <v>414</v>
      </c>
      <c r="D2148" t="s">
        <v>415</v>
      </c>
      <c r="E2148" t="s">
        <v>1364</v>
      </c>
      <c r="F2148" t="s">
        <v>1372</v>
      </c>
      <c r="G2148">
        <v>-160</v>
      </c>
      <c r="H2148">
        <v>3630</v>
      </c>
      <c r="K2148" t="s">
        <v>1383</v>
      </c>
    </row>
    <row r="2149" spans="1:11" x14ac:dyDescent="0.25">
      <c r="A2149" s="40">
        <v>45906.303819444445</v>
      </c>
      <c r="B2149" t="s">
        <v>1765</v>
      </c>
      <c r="C2149" t="s">
        <v>420</v>
      </c>
      <c r="D2149" t="s">
        <v>421</v>
      </c>
      <c r="E2149" t="s">
        <v>1364</v>
      </c>
      <c r="F2149" t="s">
        <v>1372</v>
      </c>
      <c r="G2149">
        <v>-1150</v>
      </c>
      <c r="H2149">
        <v>-314</v>
      </c>
      <c r="K2149" t="s">
        <v>1383</v>
      </c>
    </row>
    <row r="2150" spans="1:11" x14ac:dyDescent="0.25">
      <c r="A2150" s="40">
        <v>45906.303819444445</v>
      </c>
      <c r="B2150" t="s">
        <v>1765</v>
      </c>
      <c r="C2150" t="s">
        <v>13</v>
      </c>
      <c r="D2150" t="s">
        <v>453</v>
      </c>
      <c r="E2150" t="s">
        <v>1364</v>
      </c>
      <c r="F2150" t="s">
        <v>1372</v>
      </c>
      <c r="G2150">
        <v>-135</v>
      </c>
      <c r="H2150">
        <v>2410</v>
      </c>
      <c r="K2150" t="s">
        <v>1383</v>
      </c>
    </row>
    <row r="2151" spans="1:11" x14ac:dyDescent="0.25">
      <c r="A2151" s="40">
        <v>45906.303819444445</v>
      </c>
      <c r="B2151" t="s">
        <v>1765</v>
      </c>
      <c r="C2151" t="s">
        <v>230</v>
      </c>
      <c r="D2151" t="s">
        <v>255</v>
      </c>
      <c r="E2151" t="s">
        <v>1364</v>
      </c>
      <c r="F2151" t="s">
        <v>1372</v>
      </c>
      <c r="G2151">
        <v>-360</v>
      </c>
      <c r="H2151">
        <v>3481</v>
      </c>
      <c r="K2151" t="s">
        <v>1383</v>
      </c>
    </row>
    <row r="2152" spans="1:11" x14ac:dyDescent="0.25">
      <c r="A2152" s="40">
        <v>45906.303819444445</v>
      </c>
      <c r="B2152" t="s">
        <v>1765</v>
      </c>
      <c r="C2152" t="s">
        <v>326</v>
      </c>
      <c r="D2152" t="s">
        <v>327</v>
      </c>
      <c r="E2152" t="s">
        <v>1364</v>
      </c>
      <c r="F2152" t="s">
        <v>1372</v>
      </c>
      <c r="G2152">
        <v>-220</v>
      </c>
      <c r="H2152">
        <v>1280</v>
      </c>
      <c r="K2152" t="s">
        <v>1383</v>
      </c>
    </row>
    <row r="2153" spans="1:11" x14ac:dyDescent="0.25">
      <c r="A2153" s="40">
        <v>45906.303819444445</v>
      </c>
      <c r="B2153" t="s">
        <v>1765</v>
      </c>
      <c r="C2153" t="s">
        <v>40</v>
      </c>
      <c r="D2153" t="s">
        <v>388</v>
      </c>
      <c r="E2153" t="s">
        <v>1364</v>
      </c>
      <c r="F2153" t="s">
        <v>1372</v>
      </c>
      <c r="G2153">
        <v>-175</v>
      </c>
      <c r="H2153">
        <v>6186</v>
      </c>
      <c r="K2153" t="s">
        <v>1383</v>
      </c>
    </row>
    <row r="2154" spans="1:11" x14ac:dyDescent="0.25">
      <c r="A2154" s="40">
        <v>45906.303819444445</v>
      </c>
      <c r="B2154" t="s">
        <v>1765</v>
      </c>
      <c r="C2154" t="s">
        <v>8</v>
      </c>
      <c r="D2154" t="s">
        <v>311</v>
      </c>
      <c r="E2154" t="s">
        <v>1364</v>
      </c>
      <c r="F2154" t="s">
        <v>1372</v>
      </c>
      <c r="G2154">
        <v>-240</v>
      </c>
      <c r="H2154">
        <v>701</v>
      </c>
      <c r="K2154" t="s">
        <v>1383</v>
      </c>
    </row>
    <row r="2155" spans="1:11" x14ac:dyDescent="0.25">
      <c r="A2155" s="40">
        <v>45906.303819444445</v>
      </c>
      <c r="B2155" t="s">
        <v>1765</v>
      </c>
      <c r="C2155" t="s">
        <v>341</v>
      </c>
      <c r="D2155" t="s">
        <v>342</v>
      </c>
      <c r="E2155" t="s">
        <v>1364</v>
      </c>
      <c r="F2155" t="s">
        <v>1372</v>
      </c>
      <c r="G2155">
        <v>-1325</v>
      </c>
      <c r="H2155">
        <v>286</v>
      </c>
      <c r="K2155" t="s">
        <v>1383</v>
      </c>
    </row>
    <row r="2156" spans="1:11" x14ac:dyDescent="0.25">
      <c r="A2156" s="40">
        <v>45906.303819444445</v>
      </c>
      <c r="B2156" t="s">
        <v>1765</v>
      </c>
      <c r="C2156" t="s">
        <v>296</v>
      </c>
      <c r="D2156" t="s">
        <v>297</v>
      </c>
      <c r="E2156" t="s">
        <v>1364</v>
      </c>
      <c r="F2156" t="s">
        <v>1372</v>
      </c>
      <c r="G2156">
        <v>-1250</v>
      </c>
      <c r="H2156">
        <v>-778</v>
      </c>
      <c r="K2156" t="s">
        <v>1383</v>
      </c>
    </row>
    <row r="2157" spans="1:11" x14ac:dyDescent="0.25">
      <c r="A2157" s="40">
        <v>45906.303819444445</v>
      </c>
      <c r="B2157" t="s">
        <v>1765</v>
      </c>
      <c r="C2157" t="s">
        <v>1352</v>
      </c>
      <c r="E2157" t="s">
        <v>1365</v>
      </c>
      <c r="F2157" t="s">
        <v>1372</v>
      </c>
      <c r="G2157">
        <v>-350</v>
      </c>
      <c r="H2157">
        <v>757</v>
      </c>
      <c r="K2157" t="s">
        <v>1383</v>
      </c>
    </row>
    <row r="2158" spans="1:11" x14ac:dyDescent="0.25">
      <c r="A2158" s="40">
        <v>45906.303819444445</v>
      </c>
      <c r="B2158" t="s">
        <v>1765</v>
      </c>
      <c r="C2158" t="s">
        <v>1762</v>
      </c>
      <c r="E2158" t="s">
        <v>1364</v>
      </c>
      <c r="F2158" t="s">
        <v>1372</v>
      </c>
      <c r="G2158">
        <v>-395</v>
      </c>
      <c r="H2158">
        <v>305</v>
      </c>
      <c r="K2158" t="s">
        <v>1383</v>
      </c>
    </row>
    <row r="2159" spans="1:11" x14ac:dyDescent="0.25">
      <c r="A2159" s="40">
        <v>45906.303819444445</v>
      </c>
      <c r="B2159" t="s">
        <v>1765</v>
      </c>
      <c r="C2159" t="s">
        <v>324</v>
      </c>
      <c r="D2159" t="s">
        <v>325</v>
      </c>
      <c r="E2159" t="s">
        <v>1364</v>
      </c>
      <c r="F2159" t="s">
        <v>1372</v>
      </c>
      <c r="G2159">
        <v>-110</v>
      </c>
      <c r="H2159">
        <v>1455</v>
      </c>
      <c r="K2159" t="s">
        <v>1383</v>
      </c>
    </row>
    <row r="2160" spans="1:11" x14ac:dyDescent="0.25">
      <c r="A2160" s="40">
        <v>45906.303819444445</v>
      </c>
      <c r="B2160" t="s">
        <v>1765</v>
      </c>
      <c r="C2160" t="s">
        <v>89</v>
      </c>
      <c r="D2160" t="s">
        <v>359</v>
      </c>
      <c r="E2160" t="s">
        <v>1364</v>
      </c>
      <c r="F2160" t="s">
        <v>1372</v>
      </c>
      <c r="G2160">
        <v>-980</v>
      </c>
      <c r="H2160">
        <v>1663</v>
      </c>
      <c r="K2160" t="s">
        <v>1383</v>
      </c>
    </row>
    <row r="2161" spans="1:11" x14ac:dyDescent="0.25">
      <c r="A2161" s="40">
        <v>45906.303819444445</v>
      </c>
      <c r="B2161" t="s">
        <v>1765</v>
      </c>
      <c r="C2161" t="s">
        <v>42</v>
      </c>
      <c r="D2161" t="s">
        <v>391</v>
      </c>
      <c r="E2161" t="s">
        <v>1364</v>
      </c>
      <c r="F2161" t="s">
        <v>1372</v>
      </c>
      <c r="G2161">
        <v>-55</v>
      </c>
      <c r="H2161">
        <v>2693</v>
      </c>
      <c r="K2161" t="s">
        <v>1383</v>
      </c>
    </row>
    <row r="2162" spans="1:11" x14ac:dyDescent="0.25">
      <c r="A2162" s="40">
        <v>45906.303819444445</v>
      </c>
      <c r="B2162" t="s">
        <v>1765</v>
      </c>
      <c r="C2162" t="s">
        <v>1750</v>
      </c>
      <c r="E2162" t="s">
        <v>1365</v>
      </c>
      <c r="F2162" t="s">
        <v>1372</v>
      </c>
      <c r="G2162">
        <v>-215</v>
      </c>
      <c r="H2162">
        <v>100</v>
      </c>
      <c r="K2162" t="s">
        <v>1383</v>
      </c>
    </row>
    <row r="2163" spans="1:11" x14ac:dyDescent="0.25">
      <c r="A2163" s="40">
        <v>45906.303819444445</v>
      </c>
      <c r="B2163" t="s">
        <v>1765</v>
      </c>
      <c r="C2163" t="s">
        <v>38</v>
      </c>
      <c r="D2163" t="s">
        <v>386</v>
      </c>
      <c r="E2163" t="s">
        <v>1364</v>
      </c>
      <c r="F2163" t="s">
        <v>1372</v>
      </c>
      <c r="G2163">
        <v>-55</v>
      </c>
      <c r="H2163">
        <v>27939</v>
      </c>
      <c r="K2163" t="s">
        <v>1383</v>
      </c>
    </row>
    <row r="2164" spans="1:11" x14ac:dyDescent="0.25">
      <c r="A2164" s="40">
        <v>45906.303819444445</v>
      </c>
      <c r="B2164" t="s">
        <v>1765</v>
      </c>
      <c r="C2164" t="s">
        <v>3</v>
      </c>
      <c r="D2164" t="s">
        <v>287</v>
      </c>
      <c r="E2164" t="s">
        <v>1364</v>
      </c>
      <c r="F2164" t="s">
        <v>1372</v>
      </c>
      <c r="G2164">
        <v>-8300</v>
      </c>
      <c r="H2164">
        <v>6877</v>
      </c>
      <c r="K2164" t="s">
        <v>1383</v>
      </c>
    </row>
    <row r="2165" spans="1:11" x14ac:dyDescent="0.25">
      <c r="A2165" s="40">
        <v>45906.303819444445</v>
      </c>
      <c r="B2165" t="s">
        <v>1765</v>
      </c>
      <c r="C2165" t="s">
        <v>94</v>
      </c>
      <c r="D2165" t="s">
        <v>404</v>
      </c>
      <c r="E2165" t="s">
        <v>1364</v>
      </c>
      <c r="F2165" t="s">
        <v>1372</v>
      </c>
      <c r="G2165">
        <v>-250</v>
      </c>
      <c r="H2165">
        <v>4923</v>
      </c>
      <c r="K2165" t="s">
        <v>1383</v>
      </c>
    </row>
    <row r="2166" spans="1:11" x14ac:dyDescent="0.25">
      <c r="A2166" s="40">
        <v>45906.303819444445</v>
      </c>
      <c r="B2166" t="s">
        <v>1765</v>
      </c>
      <c r="C2166" t="s">
        <v>14</v>
      </c>
      <c r="D2166" t="s">
        <v>483</v>
      </c>
      <c r="E2166" t="s">
        <v>1364</v>
      </c>
      <c r="F2166" t="s">
        <v>1372</v>
      </c>
      <c r="G2166">
        <v>-370</v>
      </c>
      <c r="H2166">
        <v>1420</v>
      </c>
      <c r="K2166" t="s">
        <v>1383</v>
      </c>
    </row>
    <row r="2167" spans="1:11" x14ac:dyDescent="0.25">
      <c r="A2167" s="40">
        <v>45906.303819444445</v>
      </c>
      <c r="B2167" t="s">
        <v>1765</v>
      </c>
      <c r="C2167" t="s">
        <v>281</v>
      </c>
      <c r="D2167" t="s">
        <v>282</v>
      </c>
      <c r="E2167" t="s">
        <v>1364</v>
      </c>
      <c r="F2167" t="s">
        <v>1372</v>
      </c>
      <c r="G2167">
        <v>-70</v>
      </c>
      <c r="H2167">
        <v>1240</v>
      </c>
      <c r="K2167" t="s">
        <v>1383</v>
      </c>
    </row>
    <row r="2168" spans="1:11" x14ac:dyDescent="0.25">
      <c r="A2168" s="40">
        <v>45906.303819444445</v>
      </c>
      <c r="B2168" t="s">
        <v>1765</v>
      </c>
      <c r="C2168" t="s">
        <v>370</v>
      </c>
      <c r="D2168" t="s">
        <v>371</v>
      </c>
      <c r="E2168" t="s">
        <v>1364</v>
      </c>
      <c r="F2168" t="s">
        <v>1372</v>
      </c>
      <c r="G2168">
        <v>-140</v>
      </c>
      <c r="H2168">
        <v>2445</v>
      </c>
      <c r="K2168" t="s">
        <v>1383</v>
      </c>
    </row>
    <row r="2169" spans="1:11" x14ac:dyDescent="0.25">
      <c r="A2169" s="40">
        <v>45906.303819444445</v>
      </c>
      <c r="B2169" t="s">
        <v>1765</v>
      </c>
      <c r="C2169" t="s">
        <v>416</v>
      </c>
      <c r="D2169" t="s">
        <v>417</v>
      </c>
      <c r="E2169" t="s">
        <v>1364</v>
      </c>
      <c r="F2169" t="s">
        <v>1372</v>
      </c>
      <c r="G2169">
        <v>-509</v>
      </c>
      <c r="H2169">
        <v>1061</v>
      </c>
      <c r="K2169" t="s">
        <v>1383</v>
      </c>
    </row>
    <row r="2170" spans="1:11" x14ac:dyDescent="0.25">
      <c r="A2170" s="40">
        <v>45906.303819444445</v>
      </c>
      <c r="B2170" t="s">
        <v>1765</v>
      </c>
      <c r="C2170" t="s">
        <v>24</v>
      </c>
      <c r="D2170" t="s">
        <v>378</v>
      </c>
      <c r="E2170" t="s">
        <v>1364</v>
      </c>
      <c r="F2170" t="s">
        <v>1372</v>
      </c>
      <c r="G2170">
        <v>-410</v>
      </c>
      <c r="H2170">
        <v>333</v>
      </c>
      <c r="K2170" t="s">
        <v>1383</v>
      </c>
    </row>
    <row r="2171" spans="1:11" x14ac:dyDescent="0.25">
      <c r="A2171" s="40">
        <v>45906.303819444445</v>
      </c>
      <c r="B2171" t="s">
        <v>1765</v>
      </c>
      <c r="C2171" t="s">
        <v>28</v>
      </c>
      <c r="D2171" t="s">
        <v>382</v>
      </c>
      <c r="E2171" t="s">
        <v>1364</v>
      </c>
      <c r="F2171" t="s">
        <v>1372</v>
      </c>
      <c r="G2171">
        <v>-70</v>
      </c>
      <c r="H2171">
        <v>2885</v>
      </c>
      <c r="K2171" t="s">
        <v>1383</v>
      </c>
    </row>
    <row r="2172" spans="1:11" x14ac:dyDescent="0.25">
      <c r="A2172" s="40">
        <v>45906.303819444445</v>
      </c>
      <c r="B2172" t="s">
        <v>1765</v>
      </c>
      <c r="C2172" t="s">
        <v>68</v>
      </c>
      <c r="D2172" t="s">
        <v>374</v>
      </c>
      <c r="E2172" t="s">
        <v>1364</v>
      </c>
      <c r="F2172" t="s">
        <v>1372</v>
      </c>
      <c r="G2172">
        <v>-4835</v>
      </c>
      <c r="H2172">
        <v>2554</v>
      </c>
      <c r="K2172" t="s">
        <v>1383</v>
      </c>
    </row>
    <row r="2173" spans="1:11" x14ac:dyDescent="0.25">
      <c r="A2173" s="40">
        <v>45906.303819444445</v>
      </c>
      <c r="B2173" t="s">
        <v>1765</v>
      </c>
      <c r="C2173" t="s">
        <v>333</v>
      </c>
      <c r="D2173" t="s">
        <v>334</v>
      </c>
      <c r="E2173" t="s">
        <v>1364</v>
      </c>
      <c r="F2173" t="s">
        <v>1372</v>
      </c>
      <c r="G2173">
        <v>-55</v>
      </c>
      <c r="H2173">
        <v>6868</v>
      </c>
      <c r="K2173" t="s">
        <v>1383</v>
      </c>
    </row>
    <row r="2174" spans="1:11" x14ac:dyDescent="0.25">
      <c r="A2174" s="40">
        <v>45906.303819444445</v>
      </c>
      <c r="B2174" t="s">
        <v>1765</v>
      </c>
      <c r="C2174" t="s">
        <v>63</v>
      </c>
      <c r="D2174" t="s">
        <v>355</v>
      </c>
      <c r="E2174" t="s">
        <v>1364</v>
      </c>
      <c r="F2174" t="s">
        <v>1372</v>
      </c>
      <c r="G2174">
        <v>-575</v>
      </c>
      <c r="H2174">
        <v>2662</v>
      </c>
      <c r="K2174" t="s">
        <v>1383</v>
      </c>
    </row>
    <row r="2175" spans="1:11" x14ac:dyDescent="0.25">
      <c r="A2175" s="40">
        <v>45906.303819444445</v>
      </c>
      <c r="B2175" t="s">
        <v>1765</v>
      </c>
      <c r="C2175" t="s">
        <v>60</v>
      </c>
      <c r="D2175" t="s">
        <v>350</v>
      </c>
      <c r="E2175" t="s">
        <v>1364</v>
      </c>
      <c r="F2175" t="s">
        <v>1372</v>
      </c>
      <c r="G2175">
        <v>-2575</v>
      </c>
      <c r="H2175">
        <v>3527</v>
      </c>
      <c r="K2175" t="s">
        <v>1383</v>
      </c>
    </row>
    <row r="2176" spans="1:11" x14ac:dyDescent="0.25">
      <c r="A2176" s="40">
        <v>45906.303819444445</v>
      </c>
      <c r="B2176" t="s">
        <v>1765</v>
      </c>
      <c r="C2176" t="s">
        <v>47</v>
      </c>
      <c r="D2176" t="s">
        <v>395</v>
      </c>
      <c r="E2176" t="s">
        <v>1364</v>
      </c>
      <c r="F2176" t="s">
        <v>1372</v>
      </c>
      <c r="G2176">
        <v>-160</v>
      </c>
      <c r="H2176">
        <v>21214</v>
      </c>
      <c r="K2176" t="s">
        <v>1383</v>
      </c>
    </row>
    <row r="2177" spans="1:11" x14ac:dyDescent="0.25">
      <c r="A2177" s="40">
        <v>45906.303819444445</v>
      </c>
      <c r="B2177" t="s">
        <v>1765</v>
      </c>
      <c r="C2177" t="s">
        <v>69</v>
      </c>
      <c r="D2177" t="s">
        <v>375</v>
      </c>
      <c r="E2177" t="s">
        <v>1364</v>
      </c>
      <c r="F2177" t="s">
        <v>1372</v>
      </c>
      <c r="G2177">
        <v>-4625</v>
      </c>
      <c r="H2177">
        <v>-538</v>
      </c>
      <c r="K2177" t="s">
        <v>1383</v>
      </c>
    </row>
    <row r="2178" spans="1:11" x14ac:dyDescent="0.25">
      <c r="A2178" s="40">
        <v>45906.303819444445</v>
      </c>
      <c r="B2178" t="s">
        <v>1765</v>
      </c>
      <c r="C2178" t="s">
        <v>15</v>
      </c>
      <c r="D2178" t="s">
        <v>474</v>
      </c>
      <c r="E2178" t="s">
        <v>1364</v>
      </c>
      <c r="F2178" t="s">
        <v>1372</v>
      </c>
      <c r="G2178">
        <v>-450</v>
      </c>
      <c r="H2178">
        <v>11682</v>
      </c>
      <c r="K2178" t="s">
        <v>1383</v>
      </c>
    </row>
    <row r="2179" spans="1:11" x14ac:dyDescent="0.25">
      <c r="A2179" s="40">
        <v>45906.303819444445</v>
      </c>
      <c r="B2179" t="s">
        <v>1765</v>
      </c>
      <c r="C2179" t="s">
        <v>36</v>
      </c>
      <c r="D2179" t="s">
        <v>385</v>
      </c>
      <c r="E2179" t="s">
        <v>1364</v>
      </c>
      <c r="F2179" t="s">
        <v>1372</v>
      </c>
      <c r="G2179">
        <v>-400</v>
      </c>
      <c r="H2179">
        <v>3519</v>
      </c>
      <c r="K2179" t="s">
        <v>1383</v>
      </c>
    </row>
    <row r="2180" spans="1:11" x14ac:dyDescent="0.25">
      <c r="A2180" s="40">
        <v>45906.303819444445</v>
      </c>
      <c r="B2180" t="s">
        <v>1765</v>
      </c>
      <c r="C2180" t="s">
        <v>82</v>
      </c>
      <c r="D2180" t="s">
        <v>318</v>
      </c>
      <c r="E2180" t="s">
        <v>1364</v>
      </c>
      <c r="F2180" t="s">
        <v>1372</v>
      </c>
      <c r="G2180">
        <v>-375</v>
      </c>
      <c r="H2180">
        <v>3628</v>
      </c>
      <c r="K2180" t="s">
        <v>1383</v>
      </c>
    </row>
    <row r="2181" spans="1:11" x14ac:dyDescent="0.25">
      <c r="A2181" s="40">
        <v>45906.303819444445</v>
      </c>
      <c r="B2181" t="s">
        <v>1765</v>
      </c>
      <c r="C2181" t="s">
        <v>79</v>
      </c>
      <c r="D2181" t="s">
        <v>358</v>
      </c>
      <c r="E2181" t="s">
        <v>1364</v>
      </c>
      <c r="F2181" t="s">
        <v>1372</v>
      </c>
      <c r="G2181">
        <v>-45</v>
      </c>
      <c r="H2181">
        <v>1858</v>
      </c>
      <c r="K2181" t="s">
        <v>1383</v>
      </c>
    </row>
    <row r="2182" spans="1:11" x14ac:dyDescent="0.25">
      <c r="A2182" s="40">
        <v>45906.303819444445</v>
      </c>
      <c r="B2182" t="s">
        <v>1765</v>
      </c>
      <c r="C2182" t="s">
        <v>7</v>
      </c>
      <c r="D2182" t="s">
        <v>307</v>
      </c>
      <c r="E2182" t="s">
        <v>1364</v>
      </c>
      <c r="F2182" t="s">
        <v>1372</v>
      </c>
      <c r="G2182">
        <v>-2290</v>
      </c>
      <c r="H2182">
        <v>8774</v>
      </c>
      <c r="K2182" t="s">
        <v>1383</v>
      </c>
    </row>
    <row r="2183" spans="1:11" x14ac:dyDescent="0.25">
      <c r="A2183" s="40">
        <v>45906.303819444445</v>
      </c>
      <c r="B2183" t="s">
        <v>1765</v>
      </c>
      <c r="C2183" t="s">
        <v>56</v>
      </c>
      <c r="D2183" t="s">
        <v>313</v>
      </c>
      <c r="E2183" t="s">
        <v>1364</v>
      </c>
      <c r="F2183" t="s">
        <v>1372</v>
      </c>
      <c r="G2183">
        <v>-290</v>
      </c>
      <c r="H2183">
        <v>3127</v>
      </c>
      <c r="K2183" t="s">
        <v>1383</v>
      </c>
    </row>
    <row r="2184" spans="1:11" x14ac:dyDescent="0.25">
      <c r="A2184" s="40">
        <v>45906.303819444445</v>
      </c>
      <c r="B2184" t="s">
        <v>1765</v>
      </c>
      <c r="C2184" t="s">
        <v>424</v>
      </c>
      <c r="D2184" t="s">
        <v>425</v>
      </c>
      <c r="E2184" t="s">
        <v>1364</v>
      </c>
      <c r="F2184" t="s">
        <v>1372</v>
      </c>
      <c r="G2184">
        <v>-70</v>
      </c>
      <c r="H2184">
        <v>3660</v>
      </c>
      <c r="K2184" t="s">
        <v>1383</v>
      </c>
    </row>
    <row r="2185" spans="1:11" x14ac:dyDescent="0.25">
      <c r="A2185" s="40">
        <v>45906.303819444445</v>
      </c>
      <c r="B2185" t="s">
        <v>1765</v>
      </c>
      <c r="C2185" t="s">
        <v>54</v>
      </c>
      <c r="D2185" t="s">
        <v>399</v>
      </c>
      <c r="E2185" t="s">
        <v>1364</v>
      </c>
      <c r="F2185" t="s">
        <v>1372</v>
      </c>
      <c r="G2185">
        <v>-140</v>
      </c>
      <c r="H2185">
        <v>1970</v>
      </c>
      <c r="K2185" t="s">
        <v>1383</v>
      </c>
    </row>
    <row r="2186" spans="1:11" x14ac:dyDescent="0.25">
      <c r="A2186" s="40">
        <v>45906.303819444445</v>
      </c>
      <c r="B2186" t="s">
        <v>1765</v>
      </c>
      <c r="C2186" t="s">
        <v>477</v>
      </c>
      <c r="D2186" t="s">
        <v>478</v>
      </c>
      <c r="E2186" t="s">
        <v>1364</v>
      </c>
      <c r="F2186" t="s">
        <v>1372</v>
      </c>
      <c r="G2186">
        <v>-45</v>
      </c>
      <c r="H2186">
        <v>1870</v>
      </c>
      <c r="K2186" t="s">
        <v>1383</v>
      </c>
    </row>
    <row r="2187" spans="1:11" x14ac:dyDescent="0.25">
      <c r="A2187" s="40">
        <v>45906.303819444445</v>
      </c>
      <c r="B2187" t="s">
        <v>1765</v>
      </c>
      <c r="C2187" t="s">
        <v>44</v>
      </c>
      <c r="D2187" t="s">
        <v>392</v>
      </c>
      <c r="E2187" t="s">
        <v>1364</v>
      </c>
      <c r="F2187" t="s">
        <v>1372</v>
      </c>
      <c r="G2187">
        <v>-160</v>
      </c>
      <c r="H2187">
        <v>9439</v>
      </c>
      <c r="K2187" t="s">
        <v>1383</v>
      </c>
    </row>
    <row r="2188" spans="1:11" x14ac:dyDescent="0.25">
      <c r="A2188" s="40">
        <v>45906.303819444445</v>
      </c>
      <c r="B2188" t="s">
        <v>1765</v>
      </c>
      <c r="C2188" t="s">
        <v>12</v>
      </c>
      <c r="D2188" t="s">
        <v>432</v>
      </c>
      <c r="E2188" t="s">
        <v>1364</v>
      </c>
      <c r="F2188" t="s">
        <v>1372</v>
      </c>
      <c r="G2188">
        <v>-265</v>
      </c>
      <c r="H2188">
        <v>370</v>
      </c>
      <c r="K2188" t="s">
        <v>1383</v>
      </c>
    </row>
    <row r="2189" spans="1:11" x14ac:dyDescent="0.25">
      <c r="A2189" s="40">
        <v>45906.303819444445</v>
      </c>
      <c r="B2189" t="s">
        <v>1765</v>
      </c>
      <c r="C2189" t="s">
        <v>25</v>
      </c>
      <c r="D2189" t="s">
        <v>491</v>
      </c>
      <c r="E2189" t="s">
        <v>1364</v>
      </c>
      <c r="F2189" t="s">
        <v>1372</v>
      </c>
      <c r="G2189">
        <v>-370</v>
      </c>
      <c r="H2189">
        <v>441</v>
      </c>
      <c r="K2189" t="s">
        <v>1383</v>
      </c>
    </row>
    <row r="2190" spans="1:11" x14ac:dyDescent="0.25">
      <c r="A2190" s="40">
        <v>45906.303819444445</v>
      </c>
      <c r="B2190" t="s">
        <v>1765</v>
      </c>
      <c r="C2190" t="s">
        <v>464</v>
      </c>
      <c r="D2190" t="s">
        <v>465</v>
      </c>
      <c r="E2190" t="s">
        <v>1364</v>
      </c>
      <c r="F2190" t="s">
        <v>1372</v>
      </c>
      <c r="G2190">
        <v>-70</v>
      </c>
      <c r="H2190">
        <v>3930</v>
      </c>
      <c r="K2190" t="s">
        <v>1383</v>
      </c>
    </row>
    <row r="2191" spans="1:11" x14ac:dyDescent="0.25">
      <c r="A2191" s="40">
        <v>45906.303819444445</v>
      </c>
      <c r="B2191" t="s">
        <v>1765</v>
      </c>
      <c r="C2191" t="s">
        <v>29</v>
      </c>
      <c r="D2191" t="s">
        <v>383</v>
      </c>
      <c r="E2191" t="s">
        <v>1364</v>
      </c>
      <c r="F2191" t="s">
        <v>1372</v>
      </c>
      <c r="G2191">
        <v>-450</v>
      </c>
      <c r="H2191">
        <v>8528</v>
      </c>
      <c r="K2191" t="s">
        <v>1383</v>
      </c>
    </row>
    <row r="2192" spans="1:11" x14ac:dyDescent="0.25">
      <c r="A2192" s="40">
        <v>45906.303819444445</v>
      </c>
      <c r="B2192" t="s">
        <v>1765</v>
      </c>
      <c r="C2192" t="s">
        <v>58</v>
      </c>
      <c r="D2192" t="s">
        <v>315</v>
      </c>
      <c r="E2192" t="s">
        <v>1364</v>
      </c>
      <c r="F2192" t="s">
        <v>1372</v>
      </c>
      <c r="G2192">
        <v>-240</v>
      </c>
      <c r="H2192">
        <v>4353</v>
      </c>
      <c r="K2192" t="s">
        <v>1383</v>
      </c>
    </row>
    <row r="2193" spans="1:12" x14ac:dyDescent="0.25">
      <c r="A2193" s="40">
        <v>45906.303819444445</v>
      </c>
      <c r="B2193" t="s">
        <v>1765</v>
      </c>
      <c r="C2193" t="s">
        <v>27</v>
      </c>
      <c r="D2193" t="s">
        <v>381</v>
      </c>
      <c r="E2193" t="s">
        <v>1364</v>
      </c>
      <c r="F2193" t="s">
        <v>1372</v>
      </c>
      <c r="G2193">
        <v>-21665</v>
      </c>
      <c r="H2193">
        <v>-9956</v>
      </c>
      <c r="K2193" t="s">
        <v>1383</v>
      </c>
    </row>
    <row r="2194" spans="1:12" x14ac:dyDescent="0.25">
      <c r="A2194" s="40">
        <v>45906.303819444445</v>
      </c>
      <c r="B2194" t="s">
        <v>1765</v>
      </c>
      <c r="C2194" t="s">
        <v>70</v>
      </c>
      <c r="D2194" t="s">
        <v>402</v>
      </c>
      <c r="E2194" t="s">
        <v>1364</v>
      </c>
      <c r="F2194" t="s">
        <v>1372</v>
      </c>
      <c r="G2194">
        <v>-400</v>
      </c>
      <c r="H2194">
        <v>21370</v>
      </c>
      <c r="K2194" t="s">
        <v>1383</v>
      </c>
    </row>
    <row r="2195" spans="1:12" x14ac:dyDescent="0.25">
      <c r="A2195" s="40">
        <v>45906.303819444445</v>
      </c>
      <c r="B2195" t="s">
        <v>1765</v>
      </c>
      <c r="C2195" t="s">
        <v>57</v>
      </c>
      <c r="D2195" t="s">
        <v>314</v>
      </c>
      <c r="E2195" t="s">
        <v>1364</v>
      </c>
      <c r="F2195" t="s">
        <v>1372</v>
      </c>
      <c r="G2195">
        <v>-55</v>
      </c>
      <c r="H2195">
        <v>4942</v>
      </c>
      <c r="K2195" t="s">
        <v>1383</v>
      </c>
    </row>
    <row r="2196" spans="1:12" x14ac:dyDescent="0.25">
      <c r="A2196" s="40">
        <v>45906.303819444445</v>
      </c>
      <c r="B2196" t="s">
        <v>1765</v>
      </c>
      <c r="C2196" t="s">
        <v>20</v>
      </c>
      <c r="D2196" t="s">
        <v>498</v>
      </c>
      <c r="E2196" t="s">
        <v>1364</v>
      </c>
      <c r="F2196" t="s">
        <v>1372</v>
      </c>
      <c r="G2196">
        <v>-9540</v>
      </c>
      <c r="H2196">
        <v>-8218</v>
      </c>
      <c r="K2196" t="s">
        <v>1383</v>
      </c>
    </row>
    <row r="2197" spans="1:12" x14ac:dyDescent="0.25">
      <c r="A2197" s="40">
        <v>45906.303819444445</v>
      </c>
      <c r="B2197" t="s">
        <v>1765</v>
      </c>
      <c r="C2197" t="s">
        <v>5</v>
      </c>
      <c r="D2197" t="s">
        <v>389</v>
      </c>
      <c r="E2197" t="s">
        <v>1364</v>
      </c>
      <c r="F2197" t="s">
        <v>1372</v>
      </c>
      <c r="G2197">
        <v>-4100</v>
      </c>
      <c r="H2197">
        <v>10160</v>
      </c>
      <c r="K2197" t="s">
        <v>1383</v>
      </c>
    </row>
    <row r="2198" spans="1:12" x14ac:dyDescent="0.25">
      <c r="A2198" s="40">
        <v>45906.303819444445</v>
      </c>
      <c r="B2198" t="s">
        <v>1765</v>
      </c>
      <c r="C2198" t="s">
        <v>1</v>
      </c>
      <c r="D2198" t="s">
        <v>250</v>
      </c>
      <c r="E2198" t="s">
        <v>1364</v>
      </c>
      <c r="F2198" t="s">
        <v>1372</v>
      </c>
      <c r="G2198">
        <v>-7195</v>
      </c>
      <c r="H2198">
        <v>2260</v>
      </c>
      <c r="K2198" t="s">
        <v>1383</v>
      </c>
    </row>
    <row r="2199" spans="1:12" x14ac:dyDescent="0.25">
      <c r="A2199" s="40">
        <v>45908.575092592589</v>
      </c>
      <c r="B2199" t="s">
        <v>1765</v>
      </c>
      <c r="C2199" t="s">
        <v>1353</v>
      </c>
      <c r="E2199" t="s">
        <v>1365</v>
      </c>
      <c r="F2199" t="s">
        <v>695</v>
      </c>
      <c r="G2199">
        <v>4000</v>
      </c>
      <c r="H2199">
        <v>1967</v>
      </c>
      <c r="I2199" t="s">
        <v>698</v>
      </c>
      <c r="K2199" t="s">
        <v>1465</v>
      </c>
      <c r="L2199">
        <v>1596</v>
      </c>
    </row>
    <row r="2200" spans="1:12" x14ac:dyDescent="0.25">
      <c r="A2200" s="40">
        <v>45908.575092592589</v>
      </c>
      <c r="B2200" t="s">
        <v>1765</v>
      </c>
      <c r="C2200" t="s">
        <v>1363</v>
      </c>
      <c r="E2200" t="s">
        <v>1365</v>
      </c>
      <c r="F2200" t="s">
        <v>695</v>
      </c>
      <c r="G2200">
        <v>200</v>
      </c>
      <c r="H2200">
        <v>75</v>
      </c>
      <c r="I2200" t="s">
        <v>1410</v>
      </c>
      <c r="K2200" t="s">
        <v>1465</v>
      </c>
    </row>
    <row r="2201" spans="1:12" x14ac:dyDescent="0.25">
      <c r="A2201" s="40">
        <v>45908.575092592589</v>
      </c>
      <c r="B2201" t="s">
        <v>1765</v>
      </c>
      <c r="C2201" t="s">
        <v>296</v>
      </c>
      <c r="D2201" t="s">
        <v>297</v>
      </c>
      <c r="E2201" t="s">
        <v>1364</v>
      </c>
      <c r="F2201" t="s">
        <v>695</v>
      </c>
      <c r="G2201">
        <v>5000</v>
      </c>
      <c r="H2201">
        <v>4222</v>
      </c>
      <c r="I2201" t="s">
        <v>696</v>
      </c>
      <c r="K2201" t="s">
        <v>1465</v>
      </c>
    </row>
    <row r="2202" spans="1:12" x14ac:dyDescent="0.25">
      <c r="A2202" s="40">
        <v>45908.575092592589</v>
      </c>
      <c r="B2202" t="s">
        <v>1765</v>
      </c>
      <c r="C2202" t="s">
        <v>428</v>
      </c>
      <c r="D2202" t="s">
        <v>429</v>
      </c>
      <c r="E2202" t="s">
        <v>1364</v>
      </c>
      <c r="F2202" t="s">
        <v>695</v>
      </c>
      <c r="G2202">
        <v>12000</v>
      </c>
      <c r="H2202">
        <v>5589</v>
      </c>
      <c r="I2202" t="s">
        <v>696</v>
      </c>
      <c r="K2202" t="s">
        <v>1465</v>
      </c>
    </row>
    <row r="2203" spans="1:12" x14ac:dyDescent="0.25">
      <c r="A2203" s="40">
        <v>45908.575092592589</v>
      </c>
      <c r="B2203" t="s">
        <v>1765</v>
      </c>
      <c r="C2203" t="s">
        <v>69</v>
      </c>
      <c r="D2203" t="s">
        <v>375</v>
      </c>
      <c r="E2203" t="s">
        <v>1364</v>
      </c>
      <c r="F2203" t="s">
        <v>695</v>
      </c>
      <c r="G2203">
        <v>6000</v>
      </c>
      <c r="H2203">
        <v>5462</v>
      </c>
      <c r="I2203" t="s">
        <v>696</v>
      </c>
      <c r="K2203" t="s">
        <v>1465</v>
      </c>
    </row>
    <row r="2204" spans="1:12" x14ac:dyDescent="0.25">
      <c r="A2204" s="40">
        <v>45908.575092592589</v>
      </c>
      <c r="B2204" t="s">
        <v>1765</v>
      </c>
      <c r="C2204" t="s">
        <v>456</v>
      </c>
      <c r="D2204" t="s">
        <v>457</v>
      </c>
      <c r="E2204" t="s">
        <v>1364</v>
      </c>
      <c r="F2204" t="s">
        <v>695</v>
      </c>
      <c r="G2204">
        <v>4000</v>
      </c>
      <c r="H2204">
        <v>3607</v>
      </c>
      <c r="I2204" t="s">
        <v>696</v>
      </c>
      <c r="K2204" t="s">
        <v>1465</v>
      </c>
    </row>
    <row r="2205" spans="1:12" x14ac:dyDescent="0.25">
      <c r="A2205" s="40">
        <v>45908.575092592589</v>
      </c>
      <c r="B2205" t="s">
        <v>1765</v>
      </c>
      <c r="C2205" t="s">
        <v>292</v>
      </c>
      <c r="D2205" t="s">
        <v>293</v>
      </c>
      <c r="E2205" t="s">
        <v>1364</v>
      </c>
      <c r="F2205" t="s">
        <v>695</v>
      </c>
      <c r="G2205">
        <v>8000</v>
      </c>
      <c r="H2205">
        <v>5860</v>
      </c>
      <c r="I2205" t="s">
        <v>696</v>
      </c>
      <c r="K2205" t="s">
        <v>1465</v>
      </c>
    </row>
    <row r="2206" spans="1:12" x14ac:dyDescent="0.25">
      <c r="A2206" s="40">
        <v>45908.575092592589</v>
      </c>
      <c r="B2206" t="s">
        <v>1765</v>
      </c>
      <c r="C2206" t="s">
        <v>61</v>
      </c>
      <c r="D2206" t="s">
        <v>353</v>
      </c>
      <c r="E2206" t="s">
        <v>1364</v>
      </c>
      <c r="F2206" t="s">
        <v>695</v>
      </c>
      <c r="G2206">
        <v>6000</v>
      </c>
      <c r="H2206">
        <v>4696</v>
      </c>
      <c r="I2206" t="s">
        <v>696</v>
      </c>
      <c r="K2206" t="s">
        <v>1465</v>
      </c>
    </row>
    <row r="2207" spans="1:12" x14ac:dyDescent="0.25">
      <c r="A2207" s="40">
        <v>45908.575092592589</v>
      </c>
      <c r="B2207" t="s">
        <v>1765</v>
      </c>
      <c r="C2207" t="s">
        <v>27</v>
      </c>
      <c r="D2207" t="s">
        <v>381</v>
      </c>
      <c r="E2207" t="s">
        <v>1364</v>
      </c>
      <c r="F2207" t="s">
        <v>695</v>
      </c>
      <c r="G2207">
        <v>50000</v>
      </c>
      <c r="H2207">
        <v>40044</v>
      </c>
      <c r="I2207" t="s">
        <v>696</v>
      </c>
      <c r="K2207" t="s">
        <v>1465</v>
      </c>
    </row>
    <row r="2208" spans="1:12" x14ac:dyDescent="0.25">
      <c r="A2208" s="40">
        <v>45908.575092592589</v>
      </c>
      <c r="B2208" t="s">
        <v>1765</v>
      </c>
      <c r="C2208" t="s">
        <v>420</v>
      </c>
      <c r="D2208" t="s">
        <v>421</v>
      </c>
      <c r="E2208" t="s">
        <v>1364</v>
      </c>
      <c r="F2208" t="s">
        <v>695</v>
      </c>
      <c r="G2208">
        <v>8000</v>
      </c>
      <c r="H2208">
        <v>7686</v>
      </c>
      <c r="I2208" t="s">
        <v>511</v>
      </c>
      <c r="K2208" t="s">
        <v>1465</v>
      </c>
    </row>
    <row r="2209" spans="1:11" x14ac:dyDescent="0.25">
      <c r="A2209" s="40">
        <v>45908.575092592589</v>
      </c>
      <c r="B2209" t="s">
        <v>1765</v>
      </c>
      <c r="C2209" t="s">
        <v>20</v>
      </c>
      <c r="D2209" t="s">
        <v>498</v>
      </c>
      <c r="E2209" t="s">
        <v>1364</v>
      </c>
      <c r="F2209" t="s">
        <v>695</v>
      </c>
      <c r="G2209">
        <v>30000</v>
      </c>
      <c r="H2209">
        <v>21782</v>
      </c>
      <c r="I2209" t="s">
        <v>696</v>
      </c>
      <c r="K2209" t="s">
        <v>1465</v>
      </c>
    </row>
    <row r="2210" spans="1:11" x14ac:dyDescent="0.25">
      <c r="A2210" s="40">
        <v>45909.275891203702</v>
      </c>
      <c r="B2210" t="s">
        <v>1765</v>
      </c>
      <c r="C2210" t="s">
        <v>1766</v>
      </c>
      <c r="E2210" t="s">
        <v>1365</v>
      </c>
      <c r="F2210" t="s">
        <v>695</v>
      </c>
      <c r="G2210">
        <v>50</v>
      </c>
      <c r="H2210">
        <v>50</v>
      </c>
      <c r="I2210" t="s">
        <v>1767</v>
      </c>
      <c r="J2210" t="s">
        <v>1494</v>
      </c>
      <c r="K2210" t="s">
        <v>1465</v>
      </c>
    </row>
    <row r="2211" spans="1:11" x14ac:dyDescent="0.25">
      <c r="A2211" s="40">
        <v>45909.275891203702</v>
      </c>
      <c r="B2211" t="s">
        <v>1765</v>
      </c>
      <c r="C2211" t="s">
        <v>1766</v>
      </c>
      <c r="E2211" t="s">
        <v>1365</v>
      </c>
      <c r="F2211" t="s">
        <v>1372</v>
      </c>
      <c r="G2211">
        <v>-27</v>
      </c>
      <c r="H2211">
        <v>23</v>
      </c>
      <c r="K2211" t="s">
        <v>1465</v>
      </c>
    </row>
    <row r="2212" spans="1:11" x14ac:dyDescent="0.25">
      <c r="A2212" s="40">
        <v>45909.275891203702</v>
      </c>
      <c r="B2212" t="s">
        <v>1765</v>
      </c>
      <c r="C2212" t="s">
        <v>1768</v>
      </c>
      <c r="E2212" t="s">
        <v>1365</v>
      </c>
      <c r="F2212" t="s">
        <v>695</v>
      </c>
      <c r="G2212">
        <v>50</v>
      </c>
      <c r="H2212">
        <v>50</v>
      </c>
      <c r="I2212" t="s">
        <v>1767</v>
      </c>
      <c r="J2212" t="s">
        <v>1494</v>
      </c>
      <c r="K2212" t="s">
        <v>1465</v>
      </c>
    </row>
    <row r="2213" spans="1:11" x14ac:dyDescent="0.25">
      <c r="A2213" s="40">
        <v>45909.275891203702</v>
      </c>
      <c r="B2213" t="s">
        <v>1765</v>
      </c>
      <c r="C2213" t="s">
        <v>1768</v>
      </c>
      <c r="E2213" t="s">
        <v>1365</v>
      </c>
      <c r="F2213" t="s">
        <v>1372</v>
      </c>
      <c r="G2213">
        <v>-27</v>
      </c>
      <c r="H2213">
        <v>23</v>
      </c>
      <c r="K2213" t="s">
        <v>1465</v>
      </c>
    </row>
    <row r="2214" spans="1:11" x14ac:dyDescent="0.25">
      <c r="A2214" s="40">
        <v>45909.275891203702</v>
      </c>
      <c r="B2214" t="s">
        <v>1765</v>
      </c>
      <c r="C2214" t="s">
        <v>1769</v>
      </c>
      <c r="E2214" t="s">
        <v>1365</v>
      </c>
      <c r="F2214" t="s">
        <v>695</v>
      </c>
      <c r="G2214">
        <v>50</v>
      </c>
      <c r="H2214">
        <v>50</v>
      </c>
      <c r="I2214" t="s">
        <v>1770</v>
      </c>
      <c r="J2214" t="s">
        <v>1494</v>
      </c>
      <c r="K2214" t="s">
        <v>1465</v>
      </c>
    </row>
    <row r="2215" spans="1:11" x14ac:dyDescent="0.25">
      <c r="A2215" s="40">
        <v>45909.275891203702</v>
      </c>
      <c r="B2215" t="s">
        <v>1765</v>
      </c>
      <c r="C2215" t="s">
        <v>1769</v>
      </c>
      <c r="E2215" t="s">
        <v>1365</v>
      </c>
      <c r="F2215" t="s">
        <v>1372</v>
      </c>
      <c r="G2215">
        <v>-27</v>
      </c>
      <c r="H2215">
        <v>23</v>
      </c>
      <c r="K2215" t="s">
        <v>1465</v>
      </c>
    </row>
    <row r="2216" spans="1:11" x14ac:dyDescent="0.25">
      <c r="A2216" s="40">
        <v>45909.319918981484</v>
      </c>
      <c r="B2216" t="s">
        <v>1771</v>
      </c>
      <c r="C2216" t="s">
        <v>39</v>
      </c>
      <c r="D2216" t="s">
        <v>387</v>
      </c>
      <c r="E2216" t="s">
        <v>1364</v>
      </c>
      <c r="F2216" t="s">
        <v>1372</v>
      </c>
      <c r="G2216">
        <v>-35</v>
      </c>
      <c r="H2216">
        <v>6440</v>
      </c>
      <c r="K2216" t="s">
        <v>1383</v>
      </c>
    </row>
    <row r="2217" spans="1:11" x14ac:dyDescent="0.25">
      <c r="A2217" s="40">
        <v>45909.319918981484</v>
      </c>
      <c r="B2217" t="s">
        <v>1771</v>
      </c>
      <c r="C2217" t="s">
        <v>37</v>
      </c>
      <c r="D2217" t="s">
        <v>497</v>
      </c>
      <c r="E2217" t="s">
        <v>1364</v>
      </c>
      <c r="F2217" t="s">
        <v>1372</v>
      </c>
      <c r="G2217">
        <v>-65</v>
      </c>
      <c r="H2217">
        <v>6367</v>
      </c>
      <c r="K2217" t="s">
        <v>1383</v>
      </c>
    </row>
    <row r="2218" spans="1:11" x14ac:dyDescent="0.25">
      <c r="A2218" s="40">
        <v>45909.319918981484</v>
      </c>
      <c r="B2218" t="s">
        <v>1771</v>
      </c>
      <c r="C2218" t="s">
        <v>230</v>
      </c>
      <c r="D2218" t="s">
        <v>255</v>
      </c>
      <c r="E2218" t="s">
        <v>1364</v>
      </c>
      <c r="F2218" t="s">
        <v>1372</v>
      </c>
      <c r="G2218">
        <v>-35</v>
      </c>
      <c r="H2218">
        <v>3446</v>
      </c>
      <c r="K2218" t="s">
        <v>1383</v>
      </c>
    </row>
    <row r="2219" spans="1:11" x14ac:dyDescent="0.25">
      <c r="A2219" s="40">
        <v>45909.319918981484</v>
      </c>
      <c r="B2219" t="s">
        <v>1771</v>
      </c>
      <c r="C2219" t="s">
        <v>40</v>
      </c>
      <c r="D2219" t="s">
        <v>388</v>
      </c>
      <c r="E2219" t="s">
        <v>1364</v>
      </c>
      <c r="F2219" t="s">
        <v>1372</v>
      </c>
      <c r="G2219">
        <v>-90</v>
      </c>
      <c r="H2219">
        <v>6096</v>
      </c>
      <c r="K2219" t="s">
        <v>1383</v>
      </c>
    </row>
    <row r="2220" spans="1:11" x14ac:dyDescent="0.25">
      <c r="A2220" s="40">
        <v>45909.319918981484</v>
      </c>
      <c r="B2220" t="s">
        <v>1771</v>
      </c>
      <c r="C2220" t="s">
        <v>341</v>
      </c>
      <c r="D2220" t="s">
        <v>342</v>
      </c>
      <c r="E2220" t="s">
        <v>1364</v>
      </c>
      <c r="F2220" t="s">
        <v>1372</v>
      </c>
      <c r="G2220">
        <v>-585</v>
      </c>
      <c r="H2220">
        <v>-299</v>
      </c>
      <c r="K2220" t="s">
        <v>1383</v>
      </c>
    </row>
    <row r="2221" spans="1:11" x14ac:dyDescent="0.25">
      <c r="A2221" s="40">
        <v>45909.319918981484</v>
      </c>
      <c r="B2221" t="s">
        <v>1771</v>
      </c>
      <c r="C2221" t="s">
        <v>42</v>
      </c>
      <c r="D2221" t="s">
        <v>391</v>
      </c>
      <c r="E2221" t="s">
        <v>1364</v>
      </c>
      <c r="F2221" t="s">
        <v>1372</v>
      </c>
      <c r="G2221">
        <v>-35</v>
      </c>
      <c r="H2221">
        <v>2658</v>
      </c>
      <c r="K2221" t="s">
        <v>1383</v>
      </c>
    </row>
    <row r="2222" spans="1:11" x14ac:dyDescent="0.25">
      <c r="A2222" s="40">
        <v>45909.319918981484</v>
      </c>
      <c r="B2222" t="s">
        <v>1771</v>
      </c>
      <c r="C2222" t="s">
        <v>94</v>
      </c>
      <c r="D2222" t="s">
        <v>404</v>
      </c>
      <c r="E2222" t="s">
        <v>1364</v>
      </c>
      <c r="F2222" t="s">
        <v>1372</v>
      </c>
      <c r="G2222">
        <v>-120</v>
      </c>
      <c r="H2222">
        <v>4803</v>
      </c>
      <c r="K2222" t="s">
        <v>1383</v>
      </c>
    </row>
    <row r="2223" spans="1:11" x14ac:dyDescent="0.25">
      <c r="A2223" s="40">
        <v>45909.319918981484</v>
      </c>
      <c r="B2223" t="s">
        <v>1771</v>
      </c>
      <c r="C2223" t="s">
        <v>416</v>
      </c>
      <c r="D2223" t="s">
        <v>417</v>
      </c>
      <c r="E2223" t="s">
        <v>1364</v>
      </c>
      <c r="F2223" t="s">
        <v>1372</v>
      </c>
      <c r="G2223">
        <v>-230</v>
      </c>
      <c r="H2223">
        <v>831</v>
      </c>
      <c r="K2223" t="s">
        <v>1383</v>
      </c>
    </row>
    <row r="2224" spans="1:11" x14ac:dyDescent="0.25">
      <c r="A2224" s="40">
        <v>45909.319918981484</v>
      </c>
      <c r="B2224" t="s">
        <v>1771</v>
      </c>
      <c r="C2224" t="s">
        <v>68</v>
      </c>
      <c r="D2224" t="s">
        <v>374</v>
      </c>
      <c r="E2224" t="s">
        <v>1364</v>
      </c>
      <c r="F2224" t="s">
        <v>1372</v>
      </c>
      <c r="G2224">
        <v>-35</v>
      </c>
      <c r="H2224">
        <v>2519</v>
      </c>
      <c r="K2224" t="s">
        <v>1383</v>
      </c>
    </row>
    <row r="2225" spans="1:11" x14ac:dyDescent="0.25">
      <c r="A2225" s="40">
        <v>45909.319918981484</v>
      </c>
      <c r="B2225" t="s">
        <v>1771</v>
      </c>
      <c r="C2225" t="s">
        <v>333</v>
      </c>
      <c r="D2225" t="s">
        <v>334</v>
      </c>
      <c r="E2225" t="s">
        <v>1364</v>
      </c>
      <c r="F2225" t="s">
        <v>1372</v>
      </c>
      <c r="G2225">
        <v>-35</v>
      </c>
      <c r="H2225">
        <v>6833</v>
      </c>
      <c r="K2225" t="s">
        <v>1383</v>
      </c>
    </row>
    <row r="2226" spans="1:11" x14ac:dyDescent="0.25">
      <c r="A2226" s="40">
        <v>45909.319918981484</v>
      </c>
      <c r="B2226" t="s">
        <v>1771</v>
      </c>
      <c r="C2226" t="s">
        <v>36</v>
      </c>
      <c r="D2226" t="s">
        <v>385</v>
      </c>
      <c r="E2226" t="s">
        <v>1364</v>
      </c>
      <c r="F2226" t="s">
        <v>1372</v>
      </c>
      <c r="G2226">
        <v>-185</v>
      </c>
      <c r="H2226">
        <v>3334</v>
      </c>
      <c r="K2226" t="s">
        <v>1383</v>
      </c>
    </row>
    <row r="2227" spans="1:11" x14ac:dyDescent="0.25">
      <c r="A2227" s="40">
        <v>45909.319918981484</v>
      </c>
      <c r="B2227" t="s">
        <v>1771</v>
      </c>
      <c r="C2227" t="s">
        <v>7</v>
      </c>
      <c r="D2227" t="s">
        <v>307</v>
      </c>
      <c r="E2227" t="s">
        <v>1364</v>
      </c>
      <c r="F2227" t="s">
        <v>1372</v>
      </c>
      <c r="G2227">
        <v>-90</v>
      </c>
      <c r="H2227">
        <v>8684</v>
      </c>
      <c r="K2227" t="s">
        <v>1383</v>
      </c>
    </row>
    <row r="2228" spans="1:11" x14ac:dyDescent="0.25">
      <c r="A2228" s="40">
        <v>45909.319918981484</v>
      </c>
      <c r="B2228" t="s">
        <v>1771</v>
      </c>
      <c r="C2228" t="s">
        <v>54</v>
      </c>
      <c r="D2228" t="s">
        <v>399</v>
      </c>
      <c r="E2228" t="s">
        <v>1364</v>
      </c>
      <c r="F2228" t="s">
        <v>1372</v>
      </c>
      <c r="G2228">
        <v>-65</v>
      </c>
      <c r="H2228">
        <v>1905</v>
      </c>
      <c r="K2228" t="s">
        <v>1383</v>
      </c>
    </row>
    <row r="2229" spans="1:11" x14ac:dyDescent="0.25">
      <c r="A2229" s="40">
        <v>45909.319918981484</v>
      </c>
      <c r="B2229" t="s">
        <v>1771</v>
      </c>
      <c r="C2229" t="s">
        <v>38</v>
      </c>
      <c r="D2229" t="s">
        <v>386</v>
      </c>
      <c r="E2229" t="s">
        <v>1364</v>
      </c>
      <c r="F2229" t="s">
        <v>1372</v>
      </c>
      <c r="G2229">
        <v>-35</v>
      </c>
      <c r="H2229">
        <v>27904</v>
      </c>
      <c r="K2229" t="s">
        <v>1383</v>
      </c>
    </row>
    <row r="2230" spans="1:11" x14ac:dyDescent="0.25">
      <c r="A2230" s="40">
        <v>45909.319918981484</v>
      </c>
      <c r="B2230" t="s">
        <v>1771</v>
      </c>
      <c r="C2230" t="s">
        <v>57</v>
      </c>
      <c r="D2230" t="s">
        <v>314</v>
      </c>
      <c r="E2230" t="s">
        <v>1364</v>
      </c>
      <c r="F2230" t="s">
        <v>1372</v>
      </c>
      <c r="G2230">
        <v>-35</v>
      </c>
      <c r="H2230">
        <v>4907</v>
      </c>
      <c r="K2230" t="s">
        <v>1383</v>
      </c>
    </row>
    <row r="2231" spans="1:11" x14ac:dyDescent="0.25">
      <c r="A2231" s="40">
        <v>45909.319918981484</v>
      </c>
      <c r="B2231" t="s">
        <v>1771</v>
      </c>
      <c r="C2231" t="s">
        <v>1</v>
      </c>
      <c r="D2231" t="s">
        <v>250</v>
      </c>
      <c r="E2231" t="s">
        <v>1364</v>
      </c>
      <c r="F2231" t="s">
        <v>1372</v>
      </c>
      <c r="G2231">
        <v>-170</v>
      </c>
      <c r="H2231">
        <v>2090</v>
      </c>
      <c r="K2231" t="s">
        <v>1383</v>
      </c>
    </row>
    <row r="2232" spans="1:11" x14ac:dyDescent="0.25">
      <c r="A2232" s="40">
        <v>45909.366712962961</v>
      </c>
      <c r="B2232" t="s">
        <v>1771</v>
      </c>
      <c r="C2232" t="s">
        <v>341</v>
      </c>
      <c r="D2232" t="s">
        <v>342</v>
      </c>
      <c r="E2232" t="s">
        <v>1364</v>
      </c>
      <c r="F2232" t="s">
        <v>695</v>
      </c>
      <c r="G2232">
        <v>3000</v>
      </c>
      <c r="H2232">
        <v>2701</v>
      </c>
      <c r="I2232" t="s">
        <v>511</v>
      </c>
      <c r="K2232" t="s">
        <v>1465</v>
      </c>
    </row>
    <row r="2233" spans="1:11" x14ac:dyDescent="0.25">
      <c r="A2233" s="40">
        <v>45917.459386574075</v>
      </c>
      <c r="B2233" t="s">
        <v>1773</v>
      </c>
      <c r="C2233" t="s">
        <v>1772</v>
      </c>
      <c r="E2233" t="s">
        <v>1365</v>
      </c>
      <c r="F2233" t="s">
        <v>1372</v>
      </c>
      <c r="G2233">
        <v>-32</v>
      </c>
      <c r="H2233">
        <v>38</v>
      </c>
      <c r="K2233" t="s">
        <v>1383</v>
      </c>
    </row>
    <row r="2234" spans="1:11" x14ac:dyDescent="0.25">
      <c r="A2234" s="40">
        <v>45917.459386574075</v>
      </c>
      <c r="B2234" t="s">
        <v>1773</v>
      </c>
      <c r="C2234" t="s">
        <v>1483</v>
      </c>
      <c r="E2234" t="s">
        <v>1365</v>
      </c>
      <c r="F2234" t="s">
        <v>1372</v>
      </c>
      <c r="G2234">
        <v>-8</v>
      </c>
      <c r="H2234">
        <v>14</v>
      </c>
      <c r="K2234" t="s">
        <v>1383</v>
      </c>
    </row>
    <row r="2235" spans="1:11" x14ac:dyDescent="0.25">
      <c r="A2235" s="40">
        <v>45917.459386574075</v>
      </c>
      <c r="B2235" t="s">
        <v>1773</v>
      </c>
      <c r="C2235" t="s">
        <v>46</v>
      </c>
      <c r="D2235" t="s">
        <v>394</v>
      </c>
      <c r="E2235" t="s">
        <v>1364</v>
      </c>
      <c r="F2235" t="s">
        <v>1372</v>
      </c>
      <c r="G2235">
        <v>-27</v>
      </c>
      <c r="H2235">
        <v>3533</v>
      </c>
      <c r="K2235" t="s">
        <v>1383</v>
      </c>
    </row>
    <row r="2236" spans="1:11" x14ac:dyDescent="0.25">
      <c r="A2236" s="40">
        <v>45917.459386574075</v>
      </c>
      <c r="B2236" t="s">
        <v>1773</v>
      </c>
      <c r="C2236" t="s">
        <v>39</v>
      </c>
      <c r="D2236" t="s">
        <v>387</v>
      </c>
      <c r="E2236" t="s">
        <v>1364</v>
      </c>
      <c r="F2236" t="s">
        <v>1372</v>
      </c>
      <c r="G2236">
        <v>-34</v>
      </c>
      <c r="H2236">
        <v>6406</v>
      </c>
      <c r="K2236" t="s">
        <v>1383</v>
      </c>
    </row>
    <row r="2237" spans="1:11" x14ac:dyDescent="0.25">
      <c r="A2237" s="40">
        <v>45917.459386574075</v>
      </c>
      <c r="B2237" t="s">
        <v>1773</v>
      </c>
      <c r="C2237" t="s">
        <v>472</v>
      </c>
      <c r="D2237" t="s">
        <v>473</v>
      </c>
      <c r="E2237" t="s">
        <v>1364</v>
      </c>
      <c r="F2237" t="s">
        <v>1372</v>
      </c>
      <c r="G2237">
        <v>-40</v>
      </c>
      <c r="H2237">
        <v>4815</v>
      </c>
      <c r="K2237" t="s">
        <v>1383</v>
      </c>
    </row>
    <row r="2238" spans="1:11" x14ac:dyDescent="0.25">
      <c r="A2238" s="40">
        <v>45917.459386574075</v>
      </c>
      <c r="B2238" t="s">
        <v>1773</v>
      </c>
      <c r="C2238" t="s">
        <v>428</v>
      </c>
      <c r="D2238" t="s">
        <v>429</v>
      </c>
      <c r="E2238" t="s">
        <v>1364</v>
      </c>
      <c r="F2238" t="s">
        <v>1372</v>
      </c>
      <c r="G2238">
        <v>-30</v>
      </c>
      <c r="H2238">
        <v>5559</v>
      </c>
      <c r="K2238" t="s">
        <v>1383</v>
      </c>
    </row>
    <row r="2239" spans="1:11" x14ac:dyDescent="0.25">
      <c r="A2239" s="40">
        <v>45917.459386574075</v>
      </c>
      <c r="B2239" t="s">
        <v>1773</v>
      </c>
      <c r="C2239" t="s">
        <v>437</v>
      </c>
      <c r="D2239" t="s">
        <v>438</v>
      </c>
      <c r="E2239" t="s">
        <v>1364</v>
      </c>
      <c r="F2239" t="s">
        <v>1372</v>
      </c>
      <c r="G2239">
        <v>-60</v>
      </c>
      <c r="H2239">
        <v>2730</v>
      </c>
      <c r="K2239" t="s">
        <v>1383</v>
      </c>
    </row>
    <row r="2240" spans="1:11" x14ac:dyDescent="0.25">
      <c r="A2240" s="40">
        <v>45917.459386574075</v>
      </c>
      <c r="B2240" t="s">
        <v>1773</v>
      </c>
      <c r="C2240" t="s">
        <v>273</v>
      </c>
      <c r="D2240" t="s">
        <v>274</v>
      </c>
      <c r="E2240" t="s">
        <v>1364</v>
      </c>
      <c r="F2240" t="s">
        <v>1372</v>
      </c>
      <c r="G2240">
        <v>-27</v>
      </c>
      <c r="H2240">
        <v>3138</v>
      </c>
      <c r="K2240" t="s">
        <v>1383</v>
      </c>
    </row>
    <row r="2241" spans="1:11" x14ac:dyDescent="0.25">
      <c r="A2241" s="40">
        <v>45917.459386574075</v>
      </c>
      <c r="B2241" t="s">
        <v>1773</v>
      </c>
      <c r="C2241" t="s">
        <v>271</v>
      </c>
      <c r="D2241" t="s">
        <v>272</v>
      </c>
      <c r="E2241" t="s">
        <v>1364</v>
      </c>
      <c r="F2241" t="s">
        <v>1372</v>
      </c>
      <c r="G2241">
        <v>-74</v>
      </c>
      <c r="H2241">
        <v>2691</v>
      </c>
      <c r="K2241" t="s">
        <v>1383</v>
      </c>
    </row>
    <row r="2242" spans="1:11" x14ac:dyDescent="0.25">
      <c r="A2242" s="40">
        <v>45917.459386574075</v>
      </c>
      <c r="B2242" t="s">
        <v>1773</v>
      </c>
      <c r="C2242" t="s">
        <v>460</v>
      </c>
      <c r="D2242" t="s">
        <v>461</v>
      </c>
      <c r="E2242" t="s">
        <v>1364</v>
      </c>
      <c r="F2242" t="s">
        <v>1372</v>
      </c>
      <c r="G2242">
        <v>-93</v>
      </c>
      <c r="H2242">
        <v>3192</v>
      </c>
      <c r="K2242" t="s">
        <v>1383</v>
      </c>
    </row>
    <row r="2243" spans="1:11" x14ac:dyDescent="0.25">
      <c r="A2243" s="40">
        <v>45917.459386574075</v>
      </c>
      <c r="B2243" t="s">
        <v>1773</v>
      </c>
      <c r="C2243" t="s">
        <v>62</v>
      </c>
      <c r="D2243" t="s">
        <v>354</v>
      </c>
      <c r="E2243" t="s">
        <v>1364</v>
      </c>
      <c r="F2243" t="s">
        <v>1372</v>
      </c>
      <c r="G2243">
        <v>-34</v>
      </c>
      <c r="H2243">
        <v>3600</v>
      </c>
      <c r="K2243" t="s">
        <v>1383</v>
      </c>
    </row>
    <row r="2244" spans="1:11" x14ac:dyDescent="0.25">
      <c r="A2244" s="40">
        <v>45917.459386574075</v>
      </c>
      <c r="B2244" t="s">
        <v>1773</v>
      </c>
      <c r="C2244" t="s">
        <v>693</v>
      </c>
      <c r="D2244" t="s">
        <v>701</v>
      </c>
      <c r="E2244" t="s">
        <v>1364</v>
      </c>
      <c r="F2244" t="s">
        <v>1372</v>
      </c>
      <c r="G2244">
        <v>-27</v>
      </c>
      <c r="H2244">
        <v>258</v>
      </c>
      <c r="K2244" t="s">
        <v>1383</v>
      </c>
    </row>
    <row r="2245" spans="1:11" x14ac:dyDescent="0.25">
      <c r="A2245" s="40">
        <v>45917.459386574075</v>
      </c>
      <c r="B2245" t="s">
        <v>1773</v>
      </c>
      <c r="C2245" t="s">
        <v>87</v>
      </c>
      <c r="D2245" t="s">
        <v>352</v>
      </c>
      <c r="E2245" t="s">
        <v>1364</v>
      </c>
      <c r="F2245" t="s">
        <v>1372</v>
      </c>
      <c r="G2245">
        <v>-48</v>
      </c>
      <c r="H2245">
        <v>3192</v>
      </c>
      <c r="K2245" t="s">
        <v>1383</v>
      </c>
    </row>
    <row r="2246" spans="1:11" x14ac:dyDescent="0.25">
      <c r="A2246" s="40">
        <v>45917.459386574075</v>
      </c>
      <c r="B2246" t="s">
        <v>1773</v>
      </c>
      <c r="C2246" t="s">
        <v>454</v>
      </c>
      <c r="D2246" t="s">
        <v>455</v>
      </c>
      <c r="E2246" t="s">
        <v>1364</v>
      </c>
      <c r="F2246" t="s">
        <v>1372</v>
      </c>
      <c r="G2246">
        <v>-48</v>
      </c>
      <c r="H2246">
        <v>3842</v>
      </c>
      <c r="K2246" t="s">
        <v>1383</v>
      </c>
    </row>
    <row r="2247" spans="1:11" x14ac:dyDescent="0.25">
      <c r="A2247" s="40">
        <v>45917.459386574075</v>
      </c>
      <c r="B2247" t="s">
        <v>1773</v>
      </c>
      <c r="C2247" t="s">
        <v>258</v>
      </c>
      <c r="D2247" t="s">
        <v>259</v>
      </c>
      <c r="E2247" t="s">
        <v>1364</v>
      </c>
      <c r="F2247" t="s">
        <v>1372</v>
      </c>
      <c r="G2247">
        <v>-35</v>
      </c>
      <c r="H2247">
        <v>3715</v>
      </c>
      <c r="K2247" t="s">
        <v>1383</v>
      </c>
    </row>
    <row r="2248" spans="1:11" x14ac:dyDescent="0.25">
      <c r="A2248" s="40">
        <v>45917.459386574075</v>
      </c>
      <c r="B2248" t="s">
        <v>1773</v>
      </c>
      <c r="C2248" t="s">
        <v>262</v>
      </c>
      <c r="D2248" t="s">
        <v>263</v>
      </c>
      <c r="E2248" t="s">
        <v>1364</v>
      </c>
      <c r="F2248" t="s">
        <v>1372</v>
      </c>
      <c r="G2248">
        <v>-30</v>
      </c>
      <c r="H2248">
        <v>0</v>
      </c>
      <c r="K2248" t="s">
        <v>1383</v>
      </c>
    </row>
    <row r="2249" spans="1:11" x14ac:dyDescent="0.25">
      <c r="A2249" s="40">
        <v>45917.459386574075</v>
      </c>
      <c r="B2249" t="s">
        <v>1773</v>
      </c>
      <c r="C2249" t="s">
        <v>330</v>
      </c>
      <c r="D2249" t="s">
        <v>331</v>
      </c>
      <c r="E2249" t="s">
        <v>1364</v>
      </c>
      <c r="F2249" t="s">
        <v>1372</v>
      </c>
      <c r="G2249">
        <v>-25</v>
      </c>
      <c r="H2249">
        <v>1048</v>
      </c>
      <c r="K2249" t="s">
        <v>1383</v>
      </c>
    </row>
    <row r="2250" spans="1:11" x14ac:dyDescent="0.25">
      <c r="A2250" s="40">
        <v>45917.459386574075</v>
      </c>
      <c r="B2250" t="s">
        <v>1773</v>
      </c>
      <c r="C2250" t="s">
        <v>451</v>
      </c>
      <c r="D2250" t="s">
        <v>452</v>
      </c>
      <c r="E2250" t="s">
        <v>1364</v>
      </c>
      <c r="F2250" t="s">
        <v>1372</v>
      </c>
      <c r="G2250">
        <v>-30</v>
      </c>
      <c r="H2250">
        <v>4890</v>
      </c>
      <c r="K2250" t="s">
        <v>1383</v>
      </c>
    </row>
    <row r="2251" spans="1:11" x14ac:dyDescent="0.25">
      <c r="A2251" s="40">
        <v>45917.459386574075</v>
      </c>
      <c r="B2251" t="s">
        <v>1773</v>
      </c>
      <c r="C2251" t="s">
        <v>360</v>
      </c>
      <c r="D2251" t="s">
        <v>361</v>
      </c>
      <c r="E2251" t="s">
        <v>1364</v>
      </c>
      <c r="F2251" t="s">
        <v>1372</v>
      </c>
      <c r="G2251">
        <v>-30</v>
      </c>
      <c r="H2251">
        <v>586</v>
      </c>
      <c r="K2251" t="s">
        <v>1383</v>
      </c>
    </row>
    <row r="2252" spans="1:11" x14ac:dyDescent="0.25">
      <c r="A2252" s="40">
        <v>45917.459386574075</v>
      </c>
      <c r="B2252" t="s">
        <v>1773</v>
      </c>
      <c r="C2252" t="s">
        <v>418</v>
      </c>
      <c r="D2252" t="s">
        <v>419</v>
      </c>
      <c r="E2252" t="s">
        <v>1364</v>
      </c>
      <c r="F2252" t="s">
        <v>1372</v>
      </c>
      <c r="G2252">
        <v>-30</v>
      </c>
      <c r="H2252">
        <v>492</v>
      </c>
      <c r="K2252" t="s">
        <v>1383</v>
      </c>
    </row>
    <row r="2253" spans="1:11" x14ac:dyDescent="0.25">
      <c r="A2253" s="40">
        <v>45917.459386574075</v>
      </c>
      <c r="B2253" t="s">
        <v>1773</v>
      </c>
      <c r="C2253" t="s">
        <v>8</v>
      </c>
      <c r="D2253" t="s">
        <v>311</v>
      </c>
      <c r="E2253" t="s">
        <v>1364</v>
      </c>
      <c r="F2253" t="s">
        <v>1372</v>
      </c>
      <c r="G2253">
        <v>-34</v>
      </c>
      <c r="H2253">
        <v>667</v>
      </c>
      <c r="K2253" t="s">
        <v>1383</v>
      </c>
    </row>
    <row r="2254" spans="1:11" x14ac:dyDescent="0.25">
      <c r="A2254" s="40">
        <v>45917.459386574075</v>
      </c>
      <c r="B2254" t="s">
        <v>1773</v>
      </c>
      <c r="C2254" t="s">
        <v>269</v>
      </c>
      <c r="D2254" t="s">
        <v>270</v>
      </c>
      <c r="E2254" t="s">
        <v>1364</v>
      </c>
      <c r="F2254" t="s">
        <v>1372</v>
      </c>
      <c r="G2254">
        <v>-27</v>
      </c>
      <c r="H2254">
        <v>1933</v>
      </c>
      <c r="K2254" t="s">
        <v>1383</v>
      </c>
    </row>
    <row r="2255" spans="1:11" x14ac:dyDescent="0.25">
      <c r="A2255" s="40">
        <v>45917.459386574075</v>
      </c>
      <c r="B2255" t="s">
        <v>1773</v>
      </c>
      <c r="C2255" t="s">
        <v>294</v>
      </c>
      <c r="D2255" t="s">
        <v>295</v>
      </c>
      <c r="E2255" t="s">
        <v>1364</v>
      </c>
      <c r="F2255" t="s">
        <v>1372</v>
      </c>
      <c r="G2255">
        <v>-110</v>
      </c>
      <c r="H2255">
        <v>2550</v>
      </c>
      <c r="K2255" t="s">
        <v>1383</v>
      </c>
    </row>
    <row r="2256" spans="1:11" x14ac:dyDescent="0.25">
      <c r="A2256" s="40">
        <v>45917.459386574075</v>
      </c>
      <c r="B2256" t="s">
        <v>1773</v>
      </c>
      <c r="C2256" t="s">
        <v>449</v>
      </c>
      <c r="D2256" t="s">
        <v>450</v>
      </c>
      <c r="E2256" t="s">
        <v>1364</v>
      </c>
      <c r="F2256" t="s">
        <v>1372</v>
      </c>
      <c r="G2256">
        <v>-25</v>
      </c>
      <c r="H2256">
        <v>4915</v>
      </c>
      <c r="K2256" t="s">
        <v>1383</v>
      </c>
    </row>
    <row r="2257" spans="1:11" x14ac:dyDescent="0.25">
      <c r="A2257" s="40">
        <v>45917.459386574075</v>
      </c>
      <c r="B2257" t="s">
        <v>1773</v>
      </c>
      <c r="C2257" t="s">
        <v>230</v>
      </c>
      <c r="D2257" t="s">
        <v>255</v>
      </c>
      <c r="E2257" t="s">
        <v>1364</v>
      </c>
      <c r="F2257" t="s">
        <v>1372</v>
      </c>
      <c r="G2257">
        <v>-76</v>
      </c>
      <c r="H2257">
        <v>3370</v>
      </c>
      <c r="K2257" t="s">
        <v>1383</v>
      </c>
    </row>
    <row r="2258" spans="1:11" x14ac:dyDescent="0.25">
      <c r="A2258" s="40">
        <v>45917.459386574075</v>
      </c>
      <c r="B2258" t="s">
        <v>1773</v>
      </c>
      <c r="C2258" t="s">
        <v>285</v>
      </c>
      <c r="D2258" t="s">
        <v>286</v>
      </c>
      <c r="E2258" t="s">
        <v>1364</v>
      </c>
      <c r="F2258" t="s">
        <v>1372</v>
      </c>
      <c r="G2258">
        <v>-40</v>
      </c>
      <c r="H2258">
        <v>2835</v>
      </c>
      <c r="K2258" t="s">
        <v>1383</v>
      </c>
    </row>
    <row r="2259" spans="1:11" x14ac:dyDescent="0.25">
      <c r="A2259" s="40">
        <v>45917.459386574075</v>
      </c>
      <c r="B2259" t="s">
        <v>1773</v>
      </c>
      <c r="C2259" t="s">
        <v>290</v>
      </c>
      <c r="D2259" t="s">
        <v>291</v>
      </c>
      <c r="E2259" t="s">
        <v>1364</v>
      </c>
      <c r="F2259" t="s">
        <v>1372</v>
      </c>
      <c r="G2259">
        <v>-35</v>
      </c>
      <c r="H2259">
        <v>1860</v>
      </c>
      <c r="K2259" t="s">
        <v>1383</v>
      </c>
    </row>
    <row r="2260" spans="1:11" x14ac:dyDescent="0.25">
      <c r="A2260" s="40">
        <v>45917.459386574075</v>
      </c>
      <c r="B2260" t="s">
        <v>1773</v>
      </c>
      <c r="C2260" t="s">
        <v>308</v>
      </c>
      <c r="D2260" t="s">
        <v>306</v>
      </c>
      <c r="E2260" t="s">
        <v>1364</v>
      </c>
      <c r="F2260" t="s">
        <v>1372</v>
      </c>
      <c r="G2260">
        <v>-25</v>
      </c>
      <c r="H2260">
        <v>365</v>
      </c>
      <c r="K2260" t="s">
        <v>1383</v>
      </c>
    </row>
    <row r="2261" spans="1:11" x14ac:dyDescent="0.25">
      <c r="A2261" s="40">
        <v>45917.459386574075</v>
      </c>
      <c r="B2261" t="s">
        <v>1773</v>
      </c>
      <c r="C2261" t="s">
        <v>84</v>
      </c>
      <c r="D2261" t="s">
        <v>319</v>
      </c>
      <c r="E2261" t="s">
        <v>1364</v>
      </c>
      <c r="F2261" t="s">
        <v>1372</v>
      </c>
      <c r="G2261">
        <v>-65</v>
      </c>
      <c r="H2261">
        <v>2045</v>
      </c>
      <c r="K2261" t="s">
        <v>1383</v>
      </c>
    </row>
    <row r="2262" spans="1:11" x14ac:dyDescent="0.25">
      <c r="A2262" s="40">
        <v>45917.459386574075</v>
      </c>
      <c r="B2262" t="s">
        <v>1773</v>
      </c>
      <c r="C2262" t="s">
        <v>300</v>
      </c>
      <c r="D2262" t="s">
        <v>301</v>
      </c>
      <c r="E2262" t="s">
        <v>1364</v>
      </c>
      <c r="F2262" t="s">
        <v>1372</v>
      </c>
      <c r="G2262">
        <v>-27</v>
      </c>
      <c r="H2262">
        <v>1648</v>
      </c>
      <c r="K2262" t="s">
        <v>1383</v>
      </c>
    </row>
    <row r="2263" spans="1:11" x14ac:dyDescent="0.25">
      <c r="A2263" s="40">
        <v>45917.459386574075</v>
      </c>
      <c r="B2263" t="s">
        <v>1773</v>
      </c>
      <c r="C2263" t="s">
        <v>42</v>
      </c>
      <c r="D2263" t="s">
        <v>391</v>
      </c>
      <c r="E2263" t="s">
        <v>1364</v>
      </c>
      <c r="F2263" t="s">
        <v>1372</v>
      </c>
      <c r="G2263">
        <v>-41</v>
      </c>
      <c r="H2263">
        <v>2617</v>
      </c>
      <c r="K2263" t="s">
        <v>1383</v>
      </c>
    </row>
    <row r="2264" spans="1:11" x14ac:dyDescent="0.25">
      <c r="A2264" s="40">
        <v>45917.459386574075</v>
      </c>
      <c r="B2264" t="s">
        <v>1773</v>
      </c>
      <c r="C2264" t="s">
        <v>362</v>
      </c>
      <c r="D2264" t="s">
        <v>363</v>
      </c>
      <c r="E2264" t="s">
        <v>1364</v>
      </c>
      <c r="F2264" t="s">
        <v>1372</v>
      </c>
      <c r="G2264">
        <v>-50</v>
      </c>
      <c r="H2264">
        <v>1845</v>
      </c>
      <c r="K2264" t="s">
        <v>1383</v>
      </c>
    </row>
    <row r="2265" spans="1:11" x14ac:dyDescent="0.25">
      <c r="A2265" s="40">
        <v>45917.459386574075</v>
      </c>
      <c r="B2265" t="s">
        <v>1773</v>
      </c>
      <c r="C2265" t="s">
        <v>94</v>
      </c>
      <c r="D2265" t="s">
        <v>404</v>
      </c>
      <c r="E2265" t="s">
        <v>1364</v>
      </c>
      <c r="F2265" t="s">
        <v>1372</v>
      </c>
      <c r="G2265">
        <v>-55</v>
      </c>
      <c r="H2265">
        <v>4748</v>
      </c>
      <c r="K2265" t="s">
        <v>1383</v>
      </c>
    </row>
    <row r="2266" spans="1:11" x14ac:dyDescent="0.25">
      <c r="A2266" s="40">
        <v>45917.459386574075</v>
      </c>
      <c r="B2266" t="s">
        <v>1773</v>
      </c>
      <c r="C2266" t="s">
        <v>283</v>
      </c>
      <c r="D2266" t="s">
        <v>284</v>
      </c>
      <c r="E2266" t="s">
        <v>1364</v>
      </c>
      <c r="F2266" t="s">
        <v>1372</v>
      </c>
      <c r="G2266">
        <v>-60</v>
      </c>
      <c r="H2266">
        <v>2305</v>
      </c>
      <c r="K2266" t="s">
        <v>1383</v>
      </c>
    </row>
    <row r="2267" spans="1:11" x14ac:dyDescent="0.25">
      <c r="A2267" s="40">
        <v>45917.459386574075</v>
      </c>
      <c r="B2267" t="s">
        <v>1773</v>
      </c>
      <c r="C2267" t="s">
        <v>80</v>
      </c>
      <c r="D2267" t="s">
        <v>348</v>
      </c>
      <c r="E2267" t="s">
        <v>1364</v>
      </c>
      <c r="F2267" t="s">
        <v>1372</v>
      </c>
      <c r="G2267">
        <v>-27</v>
      </c>
      <c r="H2267">
        <v>12433</v>
      </c>
      <c r="K2267" t="s">
        <v>1383</v>
      </c>
    </row>
    <row r="2268" spans="1:11" x14ac:dyDescent="0.25">
      <c r="A2268" s="40">
        <v>45917.459386574075</v>
      </c>
      <c r="B2268" t="s">
        <v>1773</v>
      </c>
      <c r="C2268" t="s">
        <v>81</v>
      </c>
      <c r="D2268" t="s">
        <v>317</v>
      </c>
      <c r="E2268" t="s">
        <v>1364</v>
      </c>
      <c r="F2268" t="s">
        <v>1372</v>
      </c>
      <c r="G2268">
        <v>-196</v>
      </c>
      <c r="H2268">
        <v>4209</v>
      </c>
      <c r="K2268" t="s">
        <v>1383</v>
      </c>
    </row>
    <row r="2269" spans="1:11" x14ac:dyDescent="0.25">
      <c r="A2269" s="40">
        <v>45917.459386574075</v>
      </c>
      <c r="B2269" t="s">
        <v>1773</v>
      </c>
      <c r="C2269" t="s">
        <v>2</v>
      </c>
      <c r="D2269" t="s">
        <v>266</v>
      </c>
      <c r="E2269" t="s">
        <v>1364</v>
      </c>
      <c r="F2269" t="s">
        <v>1372</v>
      </c>
      <c r="G2269">
        <v>-34</v>
      </c>
      <c r="H2269">
        <v>3567</v>
      </c>
      <c r="K2269" t="s">
        <v>1383</v>
      </c>
    </row>
    <row r="2270" spans="1:11" x14ac:dyDescent="0.25">
      <c r="A2270" s="40">
        <v>45917.459386574075</v>
      </c>
      <c r="B2270" t="s">
        <v>1773</v>
      </c>
      <c r="C2270" t="s">
        <v>256</v>
      </c>
      <c r="D2270" t="s">
        <v>257</v>
      </c>
      <c r="E2270" t="s">
        <v>1364</v>
      </c>
      <c r="F2270" t="s">
        <v>1372</v>
      </c>
      <c r="G2270">
        <v>-180</v>
      </c>
      <c r="H2270">
        <v>2255</v>
      </c>
      <c r="K2270" t="s">
        <v>1383</v>
      </c>
    </row>
    <row r="2271" spans="1:11" x14ac:dyDescent="0.25">
      <c r="A2271" s="40">
        <v>45917.459386574075</v>
      </c>
      <c r="B2271" t="s">
        <v>1773</v>
      </c>
      <c r="C2271" t="s">
        <v>53</v>
      </c>
      <c r="D2271" t="s">
        <v>398</v>
      </c>
      <c r="E2271" t="s">
        <v>1364</v>
      </c>
      <c r="F2271" t="s">
        <v>1372</v>
      </c>
      <c r="G2271">
        <v>-40</v>
      </c>
      <c r="H2271">
        <v>1280</v>
      </c>
      <c r="K2271" t="s">
        <v>1383</v>
      </c>
    </row>
    <row r="2272" spans="1:11" x14ac:dyDescent="0.25">
      <c r="A2272" s="40">
        <v>45917.459386574075</v>
      </c>
      <c r="B2272" t="s">
        <v>1773</v>
      </c>
      <c r="C2272" t="s">
        <v>433</v>
      </c>
      <c r="D2272" t="s">
        <v>434</v>
      </c>
      <c r="E2272" t="s">
        <v>1364</v>
      </c>
      <c r="F2272" t="s">
        <v>1372</v>
      </c>
      <c r="G2272">
        <v>-65</v>
      </c>
      <c r="H2272">
        <v>4440</v>
      </c>
      <c r="K2272" t="s">
        <v>1383</v>
      </c>
    </row>
    <row r="2273" spans="1:11" x14ac:dyDescent="0.25">
      <c r="A2273" s="40">
        <v>45917.459386574075</v>
      </c>
      <c r="B2273" t="s">
        <v>1773</v>
      </c>
      <c r="C2273" t="s">
        <v>98</v>
      </c>
      <c r="D2273" t="s">
        <v>408</v>
      </c>
      <c r="E2273" t="s">
        <v>1364</v>
      </c>
      <c r="F2273" t="s">
        <v>1372</v>
      </c>
      <c r="G2273">
        <v>-25</v>
      </c>
      <c r="H2273">
        <v>4915</v>
      </c>
      <c r="K2273" t="s">
        <v>1383</v>
      </c>
    </row>
    <row r="2274" spans="1:11" x14ac:dyDescent="0.25">
      <c r="A2274" s="40">
        <v>45917.459386574075</v>
      </c>
      <c r="B2274" t="s">
        <v>1773</v>
      </c>
      <c r="C2274" t="s">
        <v>55</v>
      </c>
      <c r="D2274" t="s">
        <v>312</v>
      </c>
      <c r="E2274" t="s">
        <v>1364</v>
      </c>
      <c r="F2274" t="s">
        <v>1372</v>
      </c>
      <c r="G2274">
        <v>-34</v>
      </c>
      <c r="H2274">
        <v>1486</v>
      </c>
      <c r="K2274" t="s">
        <v>1383</v>
      </c>
    </row>
    <row r="2275" spans="1:11" x14ac:dyDescent="0.25">
      <c r="A2275" s="40">
        <v>45917.459386574075</v>
      </c>
      <c r="B2275" t="s">
        <v>1773</v>
      </c>
      <c r="C2275" t="s">
        <v>337</v>
      </c>
      <c r="D2275" t="s">
        <v>338</v>
      </c>
      <c r="E2275" t="s">
        <v>1364</v>
      </c>
      <c r="F2275" t="s">
        <v>1372</v>
      </c>
      <c r="G2275">
        <v>-70</v>
      </c>
      <c r="H2275">
        <v>3144</v>
      </c>
      <c r="K2275" t="s">
        <v>1383</v>
      </c>
    </row>
    <row r="2276" spans="1:11" x14ac:dyDescent="0.25">
      <c r="A2276" s="40">
        <v>45917.459386574075</v>
      </c>
      <c r="B2276" t="s">
        <v>1773</v>
      </c>
      <c r="C2276" t="s">
        <v>71</v>
      </c>
      <c r="D2276" t="s">
        <v>376</v>
      </c>
      <c r="E2276" t="s">
        <v>1364</v>
      </c>
      <c r="F2276" t="s">
        <v>1372</v>
      </c>
      <c r="G2276">
        <v>-27</v>
      </c>
      <c r="H2276">
        <v>3983</v>
      </c>
      <c r="K2276" t="s">
        <v>1383</v>
      </c>
    </row>
    <row r="2277" spans="1:11" x14ac:dyDescent="0.25">
      <c r="A2277" s="40">
        <v>45917.459386574075</v>
      </c>
      <c r="B2277" t="s">
        <v>1773</v>
      </c>
      <c r="C2277" t="s">
        <v>24</v>
      </c>
      <c r="D2277" t="s">
        <v>378</v>
      </c>
      <c r="E2277" t="s">
        <v>1364</v>
      </c>
      <c r="F2277" t="s">
        <v>1372</v>
      </c>
      <c r="G2277">
        <v>-27</v>
      </c>
      <c r="H2277">
        <v>306</v>
      </c>
      <c r="K2277" t="s">
        <v>1383</v>
      </c>
    </row>
    <row r="2278" spans="1:11" x14ac:dyDescent="0.25">
      <c r="A2278" s="40">
        <v>45917.459386574075</v>
      </c>
      <c r="B2278" t="s">
        <v>1773</v>
      </c>
      <c r="C2278" t="s">
        <v>422</v>
      </c>
      <c r="D2278" t="s">
        <v>423</v>
      </c>
      <c r="E2278" t="s">
        <v>1364</v>
      </c>
      <c r="F2278" t="s">
        <v>1372</v>
      </c>
      <c r="G2278">
        <v>-30</v>
      </c>
      <c r="H2278">
        <v>4825</v>
      </c>
      <c r="K2278" t="s">
        <v>1383</v>
      </c>
    </row>
    <row r="2279" spans="1:11" x14ac:dyDescent="0.25">
      <c r="A2279" s="40">
        <v>45917.459386574075</v>
      </c>
      <c r="B2279" t="s">
        <v>1773</v>
      </c>
      <c r="C2279" t="s">
        <v>52</v>
      </c>
      <c r="D2279" t="s">
        <v>397</v>
      </c>
      <c r="E2279" t="s">
        <v>1364</v>
      </c>
      <c r="F2279" t="s">
        <v>1372</v>
      </c>
      <c r="G2279">
        <v>-30</v>
      </c>
      <c r="H2279">
        <v>8366</v>
      </c>
      <c r="K2279" t="s">
        <v>1383</v>
      </c>
    </row>
    <row r="2280" spans="1:11" x14ac:dyDescent="0.25">
      <c r="A2280" s="40">
        <v>45917.459386574075</v>
      </c>
      <c r="B2280" t="s">
        <v>1773</v>
      </c>
      <c r="C2280" t="s">
        <v>60</v>
      </c>
      <c r="D2280" t="s">
        <v>350</v>
      </c>
      <c r="E2280" t="s">
        <v>1364</v>
      </c>
      <c r="F2280" t="s">
        <v>1372</v>
      </c>
      <c r="G2280">
        <v>-115</v>
      </c>
      <c r="H2280">
        <v>3412</v>
      </c>
      <c r="K2280" t="s">
        <v>1383</v>
      </c>
    </row>
    <row r="2281" spans="1:11" x14ac:dyDescent="0.25">
      <c r="A2281" s="40">
        <v>45917.459386574075</v>
      </c>
      <c r="B2281" t="s">
        <v>1773</v>
      </c>
      <c r="C2281" t="s">
        <v>36</v>
      </c>
      <c r="D2281" t="s">
        <v>385</v>
      </c>
      <c r="E2281" t="s">
        <v>1364</v>
      </c>
      <c r="F2281" t="s">
        <v>1372</v>
      </c>
      <c r="G2281">
        <v>-168</v>
      </c>
      <c r="H2281">
        <v>3166</v>
      </c>
      <c r="K2281" t="s">
        <v>1383</v>
      </c>
    </row>
    <row r="2282" spans="1:11" x14ac:dyDescent="0.25">
      <c r="A2282" s="40">
        <v>45917.459386574075</v>
      </c>
      <c r="B2282" t="s">
        <v>1773</v>
      </c>
      <c r="C2282" t="s">
        <v>15</v>
      </c>
      <c r="D2282" t="s">
        <v>474</v>
      </c>
      <c r="E2282" t="s">
        <v>1364</v>
      </c>
      <c r="F2282" t="s">
        <v>1372</v>
      </c>
      <c r="G2282">
        <v>-34</v>
      </c>
      <c r="H2282">
        <v>11648</v>
      </c>
      <c r="K2282" t="s">
        <v>1383</v>
      </c>
    </row>
    <row r="2283" spans="1:11" x14ac:dyDescent="0.25">
      <c r="A2283" s="40">
        <v>45917.459386574075</v>
      </c>
      <c r="B2283" t="s">
        <v>1773</v>
      </c>
      <c r="C2283" t="s">
        <v>368</v>
      </c>
      <c r="D2283" t="s">
        <v>369</v>
      </c>
      <c r="E2283" t="s">
        <v>1364</v>
      </c>
      <c r="F2283" t="s">
        <v>1372</v>
      </c>
      <c r="G2283">
        <v>-106</v>
      </c>
      <c r="H2283">
        <v>2469</v>
      </c>
      <c r="K2283" t="s">
        <v>1383</v>
      </c>
    </row>
    <row r="2284" spans="1:11" x14ac:dyDescent="0.25">
      <c r="A2284" s="40">
        <v>45917.459386574075</v>
      </c>
      <c r="B2284" t="s">
        <v>1773</v>
      </c>
      <c r="C2284" t="s">
        <v>439</v>
      </c>
      <c r="D2284" t="s">
        <v>440</v>
      </c>
      <c r="E2284" t="s">
        <v>1364</v>
      </c>
      <c r="F2284" t="s">
        <v>1372</v>
      </c>
      <c r="G2284">
        <v>-62</v>
      </c>
      <c r="H2284">
        <v>4783</v>
      </c>
      <c r="K2284" t="s">
        <v>1383</v>
      </c>
    </row>
    <row r="2285" spans="1:11" x14ac:dyDescent="0.25">
      <c r="A2285" s="40">
        <v>45917.459386574075</v>
      </c>
      <c r="B2285" t="s">
        <v>1773</v>
      </c>
      <c r="C2285" t="s">
        <v>7</v>
      </c>
      <c r="D2285" t="s">
        <v>307</v>
      </c>
      <c r="E2285" t="s">
        <v>1364</v>
      </c>
      <c r="F2285" t="s">
        <v>1372</v>
      </c>
      <c r="G2285">
        <v>-100</v>
      </c>
      <c r="H2285">
        <v>8584</v>
      </c>
      <c r="K2285" t="s">
        <v>1383</v>
      </c>
    </row>
    <row r="2286" spans="1:11" x14ac:dyDescent="0.25">
      <c r="A2286" s="40">
        <v>45917.459386574075</v>
      </c>
      <c r="B2286" t="s">
        <v>1773</v>
      </c>
      <c r="C2286" t="s">
        <v>82</v>
      </c>
      <c r="D2286" t="s">
        <v>318</v>
      </c>
      <c r="E2286" t="s">
        <v>1364</v>
      </c>
      <c r="F2286" t="s">
        <v>1372</v>
      </c>
      <c r="G2286">
        <v>-54</v>
      </c>
      <c r="H2286">
        <v>3574</v>
      </c>
      <c r="K2286" t="s">
        <v>1383</v>
      </c>
    </row>
    <row r="2287" spans="1:11" x14ac:dyDescent="0.25">
      <c r="A2287" s="40">
        <v>45917.459386574075</v>
      </c>
      <c r="B2287" t="s">
        <v>1773</v>
      </c>
      <c r="C2287" t="s">
        <v>54</v>
      </c>
      <c r="D2287" t="s">
        <v>399</v>
      </c>
      <c r="E2287" t="s">
        <v>1364</v>
      </c>
      <c r="F2287" t="s">
        <v>1372</v>
      </c>
      <c r="G2287">
        <v>-52</v>
      </c>
      <c r="H2287">
        <v>1853</v>
      </c>
      <c r="K2287" t="s">
        <v>1383</v>
      </c>
    </row>
    <row r="2288" spans="1:11" x14ac:dyDescent="0.25">
      <c r="A2288" s="40">
        <v>45917.459386574075</v>
      </c>
      <c r="B2288" t="s">
        <v>1773</v>
      </c>
      <c r="C2288" t="s">
        <v>67</v>
      </c>
      <c r="D2288" t="s">
        <v>373</v>
      </c>
      <c r="E2288" t="s">
        <v>1364</v>
      </c>
      <c r="F2288" t="s">
        <v>1372</v>
      </c>
      <c r="G2288">
        <v>-30</v>
      </c>
      <c r="H2288">
        <v>3425</v>
      </c>
      <c r="K2288" t="s">
        <v>1383</v>
      </c>
    </row>
    <row r="2289" spans="1:11" x14ac:dyDescent="0.25">
      <c r="A2289" s="40">
        <v>45917.459386574075</v>
      </c>
      <c r="B2289" t="s">
        <v>1773</v>
      </c>
      <c r="C2289" t="s">
        <v>366</v>
      </c>
      <c r="D2289" t="s">
        <v>367</v>
      </c>
      <c r="E2289" t="s">
        <v>1364</v>
      </c>
      <c r="F2289" t="s">
        <v>1372</v>
      </c>
      <c r="G2289">
        <v>-48</v>
      </c>
      <c r="H2289">
        <v>3512</v>
      </c>
      <c r="K2289" t="s">
        <v>1383</v>
      </c>
    </row>
    <row r="2290" spans="1:11" x14ac:dyDescent="0.25">
      <c r="A2290" s="40">
        <v>45917.459386574075</v>
      </c>
      <c r="B2290" t="s">
        <v>1773</v>
      </c>
      <c r="C2290" t="s">
        <v>38</v>
      </c>
      <c r="D2290" t="s">
        <v>386</v>
      </c>
      <c r="E2290" t="s">
        <v>1364</v>
      </c>
      <c r="F2290" t="s">
        <v>1372</v>
      </c>
      <c r="G2290">
        <v>-121</v>
      </c>
      <c r="H2290">
        <v>27783</v>
      </c>
      <c r="K2290" t="s">
        <v>1383</v>
      </c>
    </row>
    <row r="2291" spans="1:11" x14ac:dyDescent="0.25">
      <c r="A2291" s="40">
        <v>45917.459386574075</v>
      </c>
      <c r="B2291" t="s">
        <v>1773</v>
      </c>
      <c r="C2291" t="s">
        <v>477</v>
      </c>
      <c r="D2291" t="s">
        <v>478</v>
      </c>
      <c r="E2291" t="s">
        <v>1364</v>
      </c>
      <c r="F2291" t="s">
        <v>1372</v>
      </c>
      <c r="G2291">
        <v>-27</v>
      </c>
      <c r="H2291">
        <v>1843</v>
      </c>
      <c r="K2291" t="s">
        <v>1383</v>
      </c>
    </row>
    <row r="2292" spans="1:11" x14ac:dyDescent="0.25">
      <c r="A2292" s="40">
        <v>45917.459386574075</v>
      </c>
      <c r="B2292" t="s">
        <v>1773</v>
      </c>
      <c r="C2292" t="s">
        <v>48</v>
      </c>
      <c r="D2292" t="s">
        <v>396</v>
      </c>
      <c r="E2292" t="s">
        <v>1364</v>
      </c>
      <c r="F2292" t="s">
        <v>1372</v>
      </c>
      <c r="G2292">
        <v>-60</v>
      </c>
      <c r="H2292">
        <v>14625</v>
      </c>
      <c r="K2292" t="s">
        <v>1383</v>
      </c>
    </row>
    <row r="2293" spans="1:11" x14ac:dyDescent="0.25">
      <c r="A2293" s="40">
        <v>45917.459386574075</v>
      </c>
      <c r="B2293" t="s">
        <v>1773</v>
      </c>
      <c r="C2293" t="s">
        <v>63</v>
      </c>
      <c r="D2293" t="s">
        <v>355</v>
      </c>
      <c r="E2293" t="s">
        <v>1364</v>
      </c>
      <c r="F2293" t="s">
        <v>1372</v>
      </c>
      <c r="G2293">
        <v>-55</v>
      </c>
      <c r="H2293">
        <v>2607</v>
      </c>
      <c r="K2293" t="s">
        <v>1383</v>
      </c>
    </row>
    <row r="2294" spans="1:11" x14ac:dyDescent="0.25">
      <c r="A2294" s="40">
        <v>45917.459386574075</v>
      </c>
      <c r="B2294" t="s">
        <v>1773</v>
      </c>
      <c r="C2294" t="s">
        <v>264</v>
      </c>
      <c r="D2294" t="s">
        <v>265</v>
      </c>
      <c r="E2294" t="s">
        <v>1364</v>
      </c>
      <c r="F2294" t="s">
        <v>1372</v>
      </c>
      <c r="G2294">
        <v>-95</v>
      </c>
      <c r="H2294">
        <v>2645</v>
      </c>
      <c r="K2294" t="s">
        <v>1383</v>
      </c>
    </row>
    <row r="2295" spans="1:11" x14ac:dyDescent="0.25">
      <c r="A2295" s="40">
        <v>45917.459386574075</v>
      </c>
      <c r="B2295" t="s">
        <v>1773</v>
      </c>
      <c r="C2295" t="s">
        <v>70</v>
      </c>
      <c r="D2295" t="s">
        <v>402</v>
      </c>
      <c r="E2295" t="s">
        <v>1364</v>
      </c>
      <c r="F2295" t="s">
        <v>1372</v>
      </c>
      <c r="G2295">
        <v>-121</v>
      </c>
      <c r="H2295">
        <v>21249</v>
      </c>
      <c r="K2295" t="s">
        <v>1383</v>
      </c>
    </row>
    <row r="2296" spans="1:11" x14ac:dyDescent="0.25">
      <c r="A2296" s="40">
        <v>45917.459386574075</v>
      </c>
      <c r="B2296" t="s">
        <v>1773</v>
      </c>
      <c r="C2296" t="s">
        <v>99</v>
      </c>
      <c r="D2296" t="s">
        <v>409</v>
      </c>
      <c r="E2296" t="s">
        <v>1364</v>
      </c>
      <c r="F2296" t="s">
        <v>1372</v>
      </c>
      <c r="G2296">
        <v>-40</v>
      </c>
      <c r="H2296">
        <v>5035</v>
      </c>
      <c r="K2296" t="s">
        <v>1383</v>
      </c>
    </row>
    <row r="2297" spans="1:11" x14ac:dyDescent="0.25">
      <c r="A2297" s="40">
        <v>45917.459386574075</v>
      </c>
      <c r="B2297" t="s">
        <v>1773</v>
      </c>
      <c r="C2297" t="s">
        <v>77</v>
      </c>
      <c r="D2297" t="s">
        <v>253</v>
      </c>
      <c r="E2297" t="s">
        <v>1364</v>
      </c>
      <c r="F2297" t="s">
        <v>1372</v>
      </c>
      <c r="G2297">
        <v>-350</v>
      </c>
      <c r="H2297">
        <v>6570</v>
      </c>
      <c r="K2297" t="s">
        <v>1383</v>
      </c>
    </row>
    <row r="2298" spans="1:11" x14ac:dyDescent="0.25">
      <c r="A2298" s="40">
        <v>45917.459386574075</v>
      </c>
      <c r="B2298" t="s">
        <v>1773</v>
      </c>
      <c r="C2298" t="s">
        <v>97</v>
      </c>
      <c r="D2298" t="s">
        <v>407</v>
      </c>
      <c r="E2298" t="s">
        <v>1364</v>
      </c>
      <c r="F2298" t="s">
        <v>1372</v>
      </c>
      <c r="G2298">
        <v>-164</v>
      </c>
      <c r="H2298">
        <v>5861</v>
      </c>
      <c r="K2298" t="s">
        <v>1383</v>
      </c>
    </row>
    <row r="2299" spans="1:11" x14ac:dyDescent="0.25">
      <c r="A2299" s="40">
        <v>45917.459386574075</v>
      </c>
      <c r="B2299" t="s">
        <v>1773</v>
      </c>
      <c r="C2299" t="s">
        <v>47</v>
      </c>
      <c r="D2299" t="s">
        <v>395</v>
      </c>
      <c r="E2299" t="s">
        <v>1364</v>
      </c>
      <c r="F2299" t="s">
        <v>1372</v>
      </c>
      <c r="G2299">
        <v>-76</v>
      </c>
      <c r="H2299">
        <v>21138</v>
      </c>
      <c r="K2299" t="s">
        <v>1383</v>
      </c>
    </row>
    <row r="2300" spans="1:11" x14ac:dyDescent="0.25">
      <c r="A2300" s="40">
        <v>45917.459386574075</v>
      </c>
      <c r="B2300" t="s">
        <v>1773</v>
      </c>
      <c r="C2300" t="s">
        <v>27</v>
      </c>
      <c r="D2300" t="s">
        <v>381</v>
      </c>
      <c r="E2300" t="s">
        <v>1364</v>
      </c>
      <c r="F2300" t="s">
        <v>1372</v>
      </c>
      <c r="G2300">
        <v>-34</v>
      </c>
      <c r="H2300">
        <v>40010</v>
      </c>
      <c r="K2300" t="s">
        <v>1383</v>
      </c>
    </row>
    <row r="2301" spans="1:11" x14ac:dyDescent="0.25">
      <c r="A2301" s="40">
        <v>45917.459386574075</v>
      </c>
      <c r="B2301" t="s">
        <v>1773</v>
      </c>
      <c r="C2301" t="s">
        <v>1</v>
      </c>
      <c r="D2301" t="s">
        <v>250</v>
      </c>
      <c r="E2301" t="s">
        <v>1364</v>
      </c>
      <c r="F2301" t="s">
        <v>1372</v>
      </c>
      <c r="G2301">
        <v>-358</v>
      </c>
      <c r="H2301">
        <v>1732</v>
      </c>
      <c r="K2301" t="s">
        <v>1383</v>
      </c>
    </row>
    <row r="2302" spans="1:11" x14ac:dyDescent="0.25">
      <c r="A2302" s="40">
        <v>45918.306689814817</v>
      </c>
      <c r="B2302" t="s">
        <v>1774</v>
      </c>
      <c r="C2302" t="s">
        <v>1772</v>
      </c>
      <c r="E2302" t="s">
        <v>1365</v>
      </c>
      <c r="F2302" t="s">
        <v>1372</v>
      </c>
      <c r="G2302">
        <v>-95</v>
      </c>
      <c r="H2302">
        <v>-57</v>
      </c>
      <c r="K2302" t="s">
        <v>1383</v>
      </c>
    </row>
    <row r="2303" spans="1:11" x14ac:dyDescent="0.25">
      <c r="A2303" s="40">
        <v>45918.306689814817</v>
      </c>
      <c r="B2303" t="s">
        <v>1774</v>
      </c>
      <c r="C2303" t="s">
        <v>1483</v>
      </c>
      <c r="E2303" t="s">
        <v>1365</v>
      </c>
      <c r="F2303" t="s">
        <v>1372</v>
      </c>
      <c r="G2303">
        <v>-32</v>
      </c>
      <c r="H2303">
        <v>-18</v>
      </c>
      <c r="K2303" t="s">
        <v>1383</v>
      </c>
    </row>
    <row r="2304" spans="1:11" x14ac:dyDescent="0.25">
      <c r="A2304" s="40">
        <v>45918.306689814817</v>
      </c>
      <c r="B2304" t="s">
        <v>1774</v>
      </c>
      <c r="C2304" t="s">
        <v>472</v>
      </c>
      <c r="D2304" t="s">
        <v>473</v>
      </c>
      <c r="E2304" t="s">
        <v>1364</v>
      </c>
      <c r="F2304" t="s">
        <v>1372</v>
      </c>
      <c r="G2304">
        <v>-50</v>
      </c>
      <c r="H2304">
        <v>4765</v>
      </c>
      <c r="K2304" t="s">
        <v>1383</v>
      </c>
    </row>
    <row r="2305" spans="1:11" x14ac:dyDescent="0.25">
      <c r="A2305" s="40">
        <v>45918.306689814817</v>
      </c>
      <c r="B2305" t="s">
        <v>1774</v>
      </c>
      <c r="C2305" t="s">
        <v>322</v>
      </c>
      <c r="D2305" t="s">
        <v>323</v>
      </c>
      <c r="E2305" t="s">
        <v>1364</v>
      </c>
      <c r="F2305" t="s">
        <v>1372</v>
      </c>
      <c r="G2305">
        <v>-30</v>
      </c>
      <c r="H2305">
        <v>3054</v>
      </c>
      <c r="K2305" t="s">
        <v>1383</v>
      </c>
    </row>
    <row r="2306" spans="1:11" x14ac:dyDescent="0.25">
      <c r="A2306" s="40">
        <v>45918.306689814817</v>
      </c>
      <c r="B2306" t="s">
        <v>1774</v>
      </c>
      <c r="C2306" t="s">
        <v>62</v>
      </c>
      <c r="D2306" t="s">
        <v>354</v>
      </c>
      <c r="E2306" t="s">
        <v>1364</v>
      </c>
      <c r="F2306" t="s">
        <v>1372</v>
      </c>
      <c r="G2306">
        <v>-50</v>
      </c>
      <c r="H2306">
        <v>3550</v>
      </c>
      <c r="K2306" t="s">
        <v>1383</v>
      </c>
    </row>
    <row r="2307" spans="1:11" x14ac:dyDescent="0.25">
      <c r="A2307" s="40">
        <v>45918.306689814817</v>
      </c>
      <c r="B2307" t="s">
        <v>1774</v>
      </c>
      <c r="C2307" t="s">
        <v>428</v>
      </c>
      <c r="D2307" t="s">
        <v>429</v>
      </c>
      <c r="E2307" t="s">
        <v>1364</v>
      </c>
      <c r="F2307" t="s">
        <v>1372</v>
      </c>
      <c r="G2307">
        <v>-30</v>
      </c>
      <c r="H2307">
        <v>5529</v>
      </c>
      <c r="K2307" t="s">
        <v>1383</v>
      </c>
    </row>
    <row r="2308" spans="1:11" x14ac:dyDescent="0.25">
      <c r="A2308" s="40">
        <v>45918.306689814817</v>
      </c>
      <c r="B2308" t="s">
        <v>1774</v>
      </c>
      <c r="C2308" t="s">
        <v>267</v>
      </c>
      <c r="D2308" t="s">
        <v>268</v>
      </c>
      <c r="E2308" t="s">
        <v>1364</v>
      </c>
      <c r="F2308" t="s">
        <v>1372</v>
      </c>
      <c r="G2308">
        <v>-50</v>
      </c>
      <c r="H2308">
        <v>525</v>
      </c>
      <c r="K2308" t="s">
        <v>1383</v>
      </c>
    </row>
    <row r="2309" spans="1:11" x14ac:dyDescent="0.25">
      <c r="A2309" s="40">
        <v>45918.306689814817</v>
      </c>
      <c r="B2309" t="s">
        <v>1774</v>
      </c>
      <c r="C2309" t="s">
        <v>437</v>
      </c>
      <c r="D2309" t="s">
        <v>438</v>
      </c>
      <c r="E2309" t="s">
        <v>1364</v>
      </c>
      <c r="F2309" t="s">
        <v>1372</v>
      </c>
      <c r="G2309">
        <v>-155</v>
      </c>
      <c r="H2309">
        <v>2575</v>
      </c>
      <c r="K2309" t="s">
        <v>1383</v>
      </c>
    </row>
    <row r="2310" spans="1:11" x14ac:dyDescent="0.25">
      <c r="A2310" s="40">
        <v>45918.306689814817</v>
      </c>
      <c r="B2310" t="s">
        <v>1774</v>
      </c>
      <c r="C2310" t="s">
        <v>273</v>
      </c>
      <c r="D2310" t="s">
        <v>274</v>
      </c>
      <c r="E2310" t="s">
        <v>1364</v>
      </c>
      <c r="F2310" t="s">
        <v>1372</v>
      </c>
      <c r="G2310">
        <v>-175</v>
      </c>
      <c r="H2310">
        <v>2963</v>
      </c>
      <c r="K2310" t="s">
        <v>1383</v>
      </c>
    </row>
    <row r="2311" spans="1:11" x14ac:dyDescent="0.25">
      <c r="A2311" s="40">
        <v>45918.306689814817</v>
      </c>
      <c r="B2311" t="s">
        <v>1774</v>
      </c>
      <c r="C2311" t="s">
        <v>271</v>
      </c>
      <c r="D2311" t="s">
        <v>272</v>
      </c>
      <c r="E2311" t="s">
        <v>1364</v>
      </c>
      <c r="F2311" t="s">
        <v>1372</v>
      </c>
      <c r="G2311">
        <v>-245</v>
      </c>
      <c r="H2311">
        <v>2446</v>
      </c>
      <c r="K2311" t="s">
        <v>1383</v>
      </c>
    </row>
    <row r="2312" spans="1:11" x14ac:dyDescent="0.25">
      <c r="A2312" s="40">
        <v>45918.306689814817</v>
      </c>
      <c r="B2312" t="s">
        <v>1774</v>
      </c>
      <c r="C2312" t="s">
        <v>85</v>
      </c>
      <c r="D2312" t="s">
        <v>320</v>
      </c>
      <c r="E2312" t="s">
        <v>1364</v>
      </c>
      <c r="F2312" t="s">
        <v>1372</v>
      </c>
      <c r="G2312">
        <v>-45</v>
      </c>
      <c r="H2312">
        <v>5455</v>
      </c>
      <c r="K2312" t="s">
        <v>1383</v>
      </c>
    </row>
    <row r="2313" spans="1:11" x14ac:dyDescent="0.25">
      <c r="A2313" s="40">
        <v>45918.306689814817</v>
      </c>
      <c r="B2313" t="s">
        <v>1774</v>
      </c>
      <c r="C2313" t="s">
        <v>693</v>
      </c>
      <c r="D2313" t="s">
        <v>701</v>
      </c>
      <c r="E2313" t="s">
        <v>1364</v>
      </c>
      <c r="F2313" t="s">
        <v>1372</v>
      </c>
      <c r="G2313">
        <v>-40</v>
      </c>
      <c r="H2313">
        <v>218</v>
      </c>
      <c r="K2313" t="s">
        <v>1383</v>
      </c>
    </row>
    <row r="2314" spans="1:11" x14ac:dyDescent="0.25">
      <c r="A2314" s="40">
        <v>45918.306689814817</v>
      </c>
      <c r="B2314" t="s">
        <v>1774</v>
      </c>
      <c r="C2314" t="s">
        <v>66</v>
      </c>
      <c r="D2314" t="s">
        <v>357</v>
      </c>
      <c r="E2314" t="s">
        <v>1364</v>
      </c>
      <c r="F2314" t="s">
        <v>1372</v>
      </c>
      <c r="G2314">
        <v>-25</v>
      </c>
      <c r="H2314">
        <v>4470</v>
      </c>
      <c r="K2314" t="s">
        <v>1383</v>
      </c>
    </row>
    <row r="2315" spans="1:11" x14ac:dyDescent="0.25">
      <c r="A2315" s="40">
        <v>45918.306689814817</v>
      </c>
      <c r="B2315" t="s">
        <v>1774</v>
      </c>
      <c r="C2315" t="s">
        <v>260</v>
      </c>
      <c r="D2315" t="s">
        <v>261</v>
      </c>
      <c r="E2315" t="s">
        <v>1364</v>
      </c>
      <c r="F2315" t="s">
        <v>1372</v>
      </c>
      <c r="G2315">
        <v>-30</v>
      </c>
      <c r="H2315">
        <v>8</v>
      </c>
      <c r="K2315" t="s">
        <v>1383</v>
      </c>
    </row>
    <row r="2316" spans="1:11" x14ac:dyDescent="0.25">
      <c r="A2316" s="40">
        <v>45918.306689814817</v>
      </c>
      <c r="B2316" t="s">
        <v>1774</v>
      </c>
      <c r="C2316" t="s">
        <v>87</v>
      </c>
      <c r="D2316" t="s">
        <v>352</v>
      </c>
      <c r="E2316" t="s">
        <v>1364</v>
      </c>
      <c r="F2316" t="s">
        <v>1372</v>
      </c>
      <c r="G2316">
        <v>-110</v>
      </c>
      <c r="H2316">
        <v>3082</v>
      </c>
      <c r="K2316" t="s">
        <v>1383</v>
      </c>
    </row>
    <row r="2317" spans="1:11" x14ac:dyDescent="0.25">
      <c r="A2317" s="40">
        <v>45918.306689814817</v>
      </c>
      <c r="B2317" t="s">
        <v>1774</v>
      </c>
      <c r="C2317" t="s">
        <v>479</v>
      </c>
      <c r="D2317" t="s">
        <v>480</v>
      </c>
      <c r="E2317" t="s">
        <v>1364</v>
      </c>
      <c r="F2317" t="s">
        <v>1372</v>
      </c>
      <c r="G2317">
        <v>-350</v>
      </c>
      <c r="H2317">
        <v>2855</v>
      </c>
      <c r="K2317" t="s">
        <v>1383</v>
      </c>
    </row>
    <row r="2318" spans="1:11" x14ac:dyDescent="0.25">
      <c r="A2318" s="40">
        <v>45918.306689814817</v>
      </c>
      <c r="B2318" t="s">
        <v>1774</v>
      </c>
      <c r="C2318" t="s">
        <v>258</v>
      </c>
      <c r="D2318" t="s">
        <v>259</v>
      </c>
      <c r="E2318" t="s">
        <v>1364</v>
      </c>
      <c r="F2318" t="s">
        <v>1372</v>
      </c>
      <c r="G2318">
        <v>-105</v>
      </c>
      <c r="H2318">
        <v>3610</v>
      </c>
      <c r="K2318" t="s">
        <v>1383</v>
      </c>
    </row>
    <row r="2319" spans="1:11" x14ac:dyDescent="0.25">
      <c r="A2319" s="40">
        <v>45918.306689814817</v>
      </c>
      <c r="B2319" t="s">
        <v>1774</v>
      </c>
      <c r="C2319" t="s">
        <v>262</v>
      </c>
      <c r="D2319" t="s">
        <v>263</v>
      </c>
      <c r="E2319" t="s">
        <v>1364</v>
      </c>
      <c r="F2319" t="s">
        <v>1372</v>
      </c>
      <c r="G2319">
        <v>-105</v>
      </c>
      <c r="H2319">
        <v>-105</v>
      </c>
      <c r="K2319" t="s">
        <v>1383</v>
      </c>
    </row>
    <row r="2320" spans="1:11" x14ac:dyDescent="0.25">
      <c r="A2320" s="40">
        <v>45918.306689814817</v>
      </c>
      <c r="B2320" t="s">
        <v>1774</v>
      </c>
      <c r="C2320" t="s">
        <v>330</v>
      </c>
      <c r="D2320" t="s">
        <v>331</v>
      </c>
      <c r="E2320" t="s">
        <v>1364</v>
      </c>
      <c r="F2320" t="s">
        <v>1372</v>
      </c>
      <c r="G2320">
        <v>-45</v>
      </c>
      <c r="H2320">
        <v>1003</v>
      </c>
      <c r="K2320" t="s">
        <v>1383</v>
      </c>
    </row>
    <row r="2321" spans="1:11" x14ac:dyDescent="0.25">
      <c r="A2321" s="40">
        <v>45918.306689814817</v>
      </c>
      <c r="B2321" t="s">
        <v>1774</v>
      </c>
      <c r="C2321" t="s">
        <v>451</v>
      </c>
      <c r="D2321" t="s">
        <v>452</v>
      </c>
      <c r="E2321" t="s">
        <v>1364</v>
      </c>
      <c r="F2321" t="s">
        <v>1372</v>
      </c>
      <c r="G2321">
        <v>-70</v>
      </c>
      <c r="H2321">
        <v>4820</v>
      </c>
      <c r="K2321" t="s">
        <v>1383</v>
      </c>
    </row>
    <row r="2322" spans="1:11" x14ac:dyDescent="0.25">
      <c r="A2322" s="40">
        <v>45918.306689814817</v>
      </c>
      <c r="B2322" t="s">
        <v>1774</v>
      </c>
      <c r="C2322" t="s">
        <v>360</v>
      </c>
      <c r="D2322" t="s">
        <v>361</v>
      </c>
      <c r="E2322" t="s">
        <v>1364</v>
      </c>
      <c r="F2322" t="s">
        <v>1372</v>
      </c>
      <c r="G2322">
        <v>-75</v>
      </c>
      <c r="H2322">
        <v>511</v>
      </c>
      <c r="K2322" t="s">
        <v>1383</v>
      </c>
    </row>
    <row r="2323" spans="1:11" x14ac:dyDescent="0.25">
      <c r="A2323" s="40">
        <v>45918.306689814817</v>
      </c>
      <c r="B2323" t="s">
        <v>1774</v>
      </c>
      <c r="C2323" t="s">
        <v>470</v>
      </c>
      <c r="D2323" t="s">
        <v>471</v>
      </c>
      <c r="E2323" t="s">
        <v>1364</v>
      </c>
      <c r="F2323" t="s">
        <v>1372</v>
      </c>
      <c r="G2323">
        <v>-70</v>
      </c>
      <c r="H2323">
        <v>3730</v>
      </c>
      <c r="K2323" t="s">
        <v>1383</v>
      </c>
    </row>
    <row r="2324" spans="1:11" x14ac:dyDescent="0.25">
      <c r="A2324" s="40">
        <v>45918.306689814817</v>
      </c>
      <c r="B2324" t="s">
        <v>1774</v>
      </c>
      <c r="C2324" t="s">
        <v>61</v>
      </c>
      <c r="D2324" t="s">
        <v>353</v>
      </c>
      <c r="E2324" t="s">
        <v>1364</v>
      </c>
      <c r="F2324" t="s">
        <v>1372</v>
      </c>
      <c r="G2324">
        <v>-40</v>
      </c>
      <c r="H2324">
        <v>4656</v>
      </c>
      <c r="K2324" t="s">
        <v>1383</v>
      </c>
    </row>
    <row r="2325" spans="1:11" x14ac:dyDescent="0.25">
      <c r="A2325" s="40">
        <v>45918.306689814817</v>
      </c>
      <c r="B2325" t="s">
        <v>1774</v>
      </c>
      <c r="C2325" t="s">
        <v>101</v>
      </c>
      <c r="D2325" t="s">
        <v>507</v>
      </c>
      <c r="E2325" t="s">
        <v>1364</v>
      </c>
      <c r="F2325" t="s">
        <v>1372</v>
      </c>
      <c r="G2325">
        <v>-30</v>
      </c>
      <c r="H2325">
        <v>4778</v>
      </c>
      <c r="K2325" t="s">
        <v>1383</v>
      </c>
    </row>
    <row r="2326" spans="1:11" x14ac:dyDescent="0.25">
      <c r="A2326" s="40">
        <v>45918.306689814817</v>
      </c>
      <c r="B2326" t="s">
        <v>1774</v>
      </c>
      <c r="C2326" t="s">
        <v>46</v>
      </c>
      <c r="D2326" t="s">
        <v>394</v>
      </c>
      <c r="E2326" t="s">
        <v>1364</v>
      </c>
      <c r="F2326" t="s">
        <v>1372</v>
      </c>
      <c r="G2326">
        <v>-40</v>
      </c>
      <c r="H2326">
        <v>3493</v>
      </c>
      <c r="K2326" t="s">
        <v>1383</v>
      </c>
    </row>
    <row r="2327" spans="1:11" x14ac:dyDescent="0.25">
      <c r="A2327" s="40">
        <v>45918.306689814817</v>
      </c>
      <c r="B2327" t="s">
        <v>1774</v>
      </c>
      <c r="C2327" t="s">
        <v>414</v>
      </c>
      <c r="D2327" t="s">
        <v>415</v>
      </c>
      <c r="E2327" t="s">
        <v>1364</v>
      </c>
      <c r="F2327" t="s">
        <v>1372</v>
      </c>
      <c r="G2327">
        <v>-30</v>
      </c>
      <c r="H2327">
        <v>3600</v>
      </c>
      <c r="K2327" t="s">
        <v>1383</v>
      </c>
    </row>
    <row r="2328" spans="1:11" x14ac:dyDescent="0.25">
      <c r="A2328" s="40">
        <v>45918.306689814817</v>
      </c>
      <c r="B2328" t="s">
        <v>1774</v>
      </c>
      <c r="C2328" t="s">
        <v>335</v>
      </c>
      <c r="D2328" t="s">
        <v>336</v>
      </c>
      <c r="E2328" t="s">
        <v>1364</v>
      </c>
      <c r="F2328" t="s">
        <v>1372</v>
      </c>
      <c r="G2328">
        <v>-90</v>
      </c>
      <c r="H2328">
        <v>5341</v>
      </c>
      <c r="K2328" t="s">
        <v>1383</v>
      </c>
    </row>
    <row r="2329" spans="1:11" x14ac:dyDescent="0.25">
      <c r="A2329" s="40">
        <v>45918.306689814817</v>
      </c>
      <c r="B2329" t="s">
        <v>1774</v>
      </c>
      <c r="C2329" t="s">
        <v>8</v>
      </c>
      <c r="D2329" t="s">
        <v>311</v>
      </c>
      <c r="E2329" t="s">
        <v>1364</v>
      </c>
      <c r="F2329" t="s">
        <v>1372</v>
      </c>
      <c r="G2329">
        <v>-95</v>
      </c>
      <c r="H2329">
        <v>572</v>
      </c>
      <c r="K2329" t="s">
        <v>1383</v>
      </c>
    </row>
    <row r="2330" spans="1:11" x14ac:dyDescent="0.25">
      <c r="A2330" s="40">
        <v>45918.306689814817</v>
      </c>
      <c r="B2330" t="s">
        <v>1774</v>
      </c>
      <c r="C2330" t="s">
        <v>269</v>
      </c>
      <c r="D2330" t="s">
        <v>270</v>
      </c>
      <c r="E2330" t="s">
        <v>1364</v>
      </c>
      <c r="F2330" t="s">
        <v>1372</v>
      </c>
      <c r="G2330">
        <v>-40</v>
      </c>
      <c r="H2330">
        <v>1893</v>
      </c>
      <c r="K2330" t="s">
        <v>1383</v>
      </c>
    </row>
    <row r="2331" spans="1:11" x14ac:dyDescent="0.25">
      <c r="A2331" s="40">
        <v>45918.306689814817</v>
      </c>
      <c r="B2331" t="s">
        <v>1774</v>
      </c>
      <c r="C2331" t="s">
        <v>294</v>
      </c>
      <c r="D2331" t="s">
        <v>295</v>
      </c>
      <c r="E2331" t="s">
        <v>1364</v>
      </c>
      <c r="F2331" t="s">
        <v>1372</v>
      </c>
      <c r="G2331">
        <v>-280</v>
      </c>
      <c r="H2331">
        <v>2270</v>
      </c>
      <c r="K2331" t="s">
        <v>1383</v>
      </c>
    </row>
    <row r="2332" spans="1:11" x14ac:dyDescent="0.25">
      <c r="A2332" s="40">
        <v>45918.306689814817</v>
      </c>
      <c r="B2332" t="s">
        <v>1774</v>
      </c>
      <c r="C2332" t="s">
        <v>449</v>
      </c>
      <c r="D2332" t="s">
        <v>450</v>
      </c>
      <c r="E2332" t="s">
        <v>1364</v>
      </c>
      <c r="F2332" t="s">
        <v>1372</v>
      </c>
      <c r="G2332">
        <v>-45</v>
      </c>
      <c r="H2332">
        <v>4870</v>
      </c>
      <c r="K2332" t="s">
        <v>1383</v>
      </c>
    </row>
    <row r="2333" spans="1:11" x14ac:dyDescent="0.25">
      <c r="A2333" s="40">
        <v>45918.306689814817</v>
      </c>
      <c r="B2333" t="s">
        <v>1774</v>
      </c>
      <c r="C2333" t="s">
        <v>328</v>
      </c>
      <c r="D2333" t="s">
        <v>329</v>
      </c>
      <c r="E2333" t="s">
        <v>1364</v>
      </c>
      <c r="F2333" t="s">
        <v>1372</v>
      </c>
      <c r="G2333">
        <v>-30</v>
      </c>
      <c r="H2333">
        <v>3272</v>
      </c>
      <c r="K2333" t="s">
        <v>1383</v>
      </c>
    </row>
    <row r="2334" spans="1:11" x14ac:dyDescent="0.25">
      <c r="A2334" s="40">
        <v>45918.306689814817</v>
      </c>
      <c r="B2334" t="s">
        <v>1774</v>
      </c>
      <c r="C2334" t="s">
        <v>443</v>
      </c>
      <c r="D2334" t="s">
        <v>444</v>
      </c>
      <c r="E2334" t="s">
        <v>1364</v>
      </c>
      <c r="F2334" t="s">
        <v>1372</v>
      </c>
      <c r="G2334">
        <v>-90</v>
      </c>
      <c r="H2334">
        <v>2945</v>
      </c>
      <c r="K2334" t="s">
        <v>1383</v>
      </c>
    </row>
    <row r="2335" spans="1:11" x14ac:dyDescent="0.25">
      <c r="A2335" s="40">
        <v>45918.306689814817</v>
      </c>
      <c r="B2335" t="s">
        <v>1774</v>
      </c>
      <c r="C2335" t="s">
        <v>230</v>
      </c>
      <c r="D2335" t="s">
        <v>255</v>
      </c>
      <c r="E2335" t="s">
        <v>1364</v>
      </c>
      <c r="F2335" t="s">
        <v>1372</v>
      </c>
      <c r="G2335">
        <v>-155</v>
      </c>
      <c r="H2335">
        <v>3215</v>
      </c>
      <c r="K2335" t="s">
        <v>1383</v>
      </c>
    </row>
    <row r="2336" spans="1:11" x14ac:dyDescent="0.25">
      <c r="A2336" s="40">
        <v>45918.306689814817</v>
      </c>
      <c r="B2336" t="s">
        <v>1774</v>
      </c>
      <c r="C2336" t="s">
        <v>285</v>
      </c>
      <c r="D2336" t="s">
        <v>286</v>
      </c>
      <c r="E2336" t="s">
        <v>1364</v>
      </c>
      <c r="F2336" t="s">
        <v>1372</v>
      </c>
      <c r="G2336">
        <v>-110</v>
      </c>
      <c r="H2336">
        <v>2725</v>
      </c>
      <c r="K2336" t="s">
        <v>1383</v>
      </c>
    </row>
    <row r="2337" spans="1:11" x14ac:dyDescent="0.25">
      <c r="A2337" s="40">
        <v>45918.306689814817</v>
      </c>
      <c r="B2337" t="s">
        <v>1774</v>
      </c>
      <c r="C2337" t="s">
        <v>290</v>
      </c>
      <c r="D2337" t="s">
        <v>291</v>
      </c>
      <c r="E2337" t="s">
        <v>1364</v>
      </c>
      <c r="F2337" t="s">
        <v>1372</v>
      </c>
      <c r="G2337">
        <v>-75</v>
      </c>
      <c r="H2337">
        <v>1785</v>
      </c>
      <c r="K2337" t="s">
        <v>1383</v>
      </c>
    </row>
    <row r="2338" spans="1:11" x14ac:dyDescent="0.25">
      <c r="A2338" s="40">
        <v>45918.306689814817</v>
      </c>
      <c r="B2338" t="s">
        <v>1774</v>
      </c>
      <c r="C2338" t="s">
        <v>308</v>
      </c>
      <c r="D2338" t="s">
        <v>306</v>
      </c>
      <c r="E2338" t="s">
        <v>1364</v>
      </c>
      <c r="F2338" t="s">
        <v>1372</v>
      </c>
      <c r="G2338">
        <v>-45</v>
      </c>
      <c r="H2338">
        <v>320</v>
      </c>
      <c r="K2338" t="s">
        <v>1383</v>
      </c>
    </row>
    <row r="2339" spans="1:11" x14ac:dyDescent="0.25">
      <c r="A2339" s="40">
        <v>45918.306689814817</v>
      </c>
      <c r="B2339" t="s">
        <v>1774</v>
      </c>
      <c r="C2339" t="s">
        <v>84</v>
      </c>
      <c r="D2339" t="s">
        <v>319</v>
      </c>
      <c r="E2339" t="s">
        <v>1364</v>
      </c>
      <c r="F2339" t="s">
        <v>1372</v>
      </c>
      <c r="G2339">
        <v>-180</v>
      </c>
      <c r="H2339">
        <v>1865</v>
      </c>
      <c r="K2339" t="s">
        <v>1383</v>
      </c>
    </row>
    <row r="2340" spans="1:11" x14ac:dyDescent="0.25">
      <c r="A2340" s="40">
        <v>45918.306689814817</v>
      </c>
      <c r="B2340" t="s">
        <v>1774</v>
      </c>
      <c r="C2340" t="s">
        <v>300</v>
      </c>
      <c r="D2340" t="s">
        <v>301</v>
      </c>
      <c r="E2340" t="s">
        <v>1364</v>
      </c>
      <c r="F2340" t="s">
        <v>1372</v>
      </c>
      <c r="G2340">
        <v>-40</v>
      </c>
      <c r="H2340">
        <v>1608</v>
      </c>
      <c r="K2340" t="s">
        <v>1383</v>
      </c>
    </row>
    <row r="2341" spans="1:11" x14ac:dyDescent="0.25">
      <c r="A2341" s="40">
        <v>45918.306689814817</v>
      </c>
      <c r="B2341" t="s">
        <v>1774</v>
      </c>
      <c r="C2341" t="s">
        <v>51</v>
      </c>
      <c r="D2341" t="s">
        <v>502</v>
      </c>
      <c r="E2341" t="s">
        <v>1364</v>
      </c>
      <c r="F2341" t="s">
        <v>1372</v>
      </c>
      <c r="G2341">
        <v>-30</v>
      </c>
      <c r="H2341">
        <v>2380</v>
      </c>
      <c r="K2341" t="s">
        <v>1383</v>
      </c>
    </row>
    <row r="2342" spans="1:11" x14ac:dyDescent="0.25">
      <c r="A2342" s="40">
        <v>45918.306689814817</v>
      </c>
      <c r="B2342" t="s">
        <v>1774</v>
      </c>
      <c r="C2342" t="s">
        <v>42</v>
      </c>
      <c r="D2342" t="s">
        <v>391</v>
      </c>
      <c r="E2342" t="s">
        <v>1364</v>
      </c>
      <c r="F2342" t="s">
        <v>1372</v>
      </c>
      <c r="G2342">
        <v>-90</v>
      </c>
      <c r="H2342">
        <v>2527</v>
      </c>
      <c r="K2342" t="s">
        <v>1383</v>
      </c>
    </row>
    <row r="2343" spans="1:11" x14ac:dyDescent="0.25">
      <c r="A2343" s="40">
        <v>45918.306689814817</v>
      </c>
      <c r="B2343" t="s">
        <v>1774</v>
      </c>
      <c r="C2343" t="s">
        <v>89</v>
      </c>
      <c r="D2343" t="s">
        <v>359</v>
      </c>
      <c r="E2343" t="s">
        <v>1364</v>
      </c>
      <c r="F2343" t="s">
        <v>1372</v>
      </c>
      <c r="G2343">
        <v>-40</v>
      </c>
      <c r="H2343">
        <v>1623</v>
      </c>
      <c r="K2343" t="s">
        <v>1383</v>
      </c>
    </row>
    <row r="2344" spans="1:11" x14ac:dyDescent="0.25">
      <c r="A2344" s="40">
        <v>45918.306689814817</v>
      </c>
      <c r="B2344" t="s">
        <v>1774</v>
      </c>
      <c r="C2344" t="s">
        <v>94</v>
      </c>
      <c r="D2344" t="s">
        <v>404</v>
      </c>
      <c r="E2344" t="s">
        <v>1364</v>
      </c>
      <c r="F2344" t="s">
        <v>1372</v>
      </c>
      <c r="G2344">
        <v>-50</v>
      </c>
      <c r="H2344">
        <v>4698</v>
      </c>
      <c r="K2344" t="s">
        <v>1383</v>
      </c>
    </row>
    <row r="2345" spans="1:11" x14ac:dyDescent="0.25">
      <c r="A2345" s="40">
        <v>45918.306689814817</v>
      </c>
      <c r="B2345" t="s">
        <v>1774</v>
      </c>
      <c r="C2345" t="s">
        <v>362</v>
      </c>
      <c r="D2345" t="s">
        <v>363</v>
      </c>
      <c r="E2345" t="s">
        <v>1364</v>
      </c>
      <c r="F2345" t="s">
        <v>1372</v>
      </c>
      <c r="G2345">
        <v>-120</v>
      </c>
      <c r="H2345">
        <v>1725</v>
      </c>
      <c r="K2345" t="s">
        <v>1383</v>
      </c>
    </row>
    <row r="2346" spans="1:11" x14ac:dyDescent="0.25">
      <c r="A2346" s="40">
        <v>45918.306689814817</v>
      </c>
      <c r="B2346" t="s">
        <v>1774</v>
      </c>
      <c r="C2346" t="s">
        <v>283</v>
      </c>
      <c r="D2346" t="s">
        <v>284</v>
      </c>
      <c r="E2346" t="s">
        <v>1364</v>
      </c>
      <c r="F2346" t="s">
        <v>1372</v>
      </c>
      <c r="G2346">
        <v>-155</v>
      </c>
      <c r="H2346">
        <v>2150</v>
      </c>
      <c r="K2346" t="s">
        <v>1383</v>
      </c>
    </row>
    <row r="2347" spans="1:11" x14ac:dyDescent="0.25">
      <c r="A2347" s="40">
        <v>45918.306689814817</v>
      </c>
      <c r="B2347" t="s">
        <v>1774</v>
      </c>
      <c r="C2347" t="s">
        <v>59</v>
      </c>
      <c r="D2347" t="s">
        <v>401</v>
      </c>
      <c r="E2347" t="s">
        <v>1364</v>
      </c>
      <c r="F2347" t="s">
        <v>1372</v>
      </c>
      <c r="G2347">
        <v>-155</v>
      </c>
      <c r="H2347">
        <v>3044</v>
      </c>
      <c r="K2347" t="s">
        <v>1383</v>
      </c>
    </row>
    <row r="2348" spans="1:11" x14ac:dyDescent="0.25">
      <c r="A2348" s="40">
        <v>45918.306689814817</v>
      </c>
      <c r="B2348" t="s">
        <v>1774</v>
      </c>
      <c r="C2348" t="s">
        <v>80</v>
      </c>
      <c r="D2348" t="s">
        <v>348</v>
      </c>
      <c r="E2348" t="s">
        <v>1364</v>
      </c>
      <c r="F2348" t="s">
        <v>1372</v>
      </c>
      <c r="G2348">
        <v>-40</v>
      </c>
      <c r="H2348">
        <v>12393</v>
      </c>
      <c r="K2348" t="s">
        <v>1383</v>
      </c>
    </row>
    <row r="2349" spans="1:11" x14ac:dyDescent="0.25">
      <c r="A2349" s="40">
        <v>45918.306689814817</v>
      </c>
      <c r="B2349" t="s">
        <v>1774</v>
      </c>
      <c r="C2349" t="s">
        <v>81</v>
      </c>
      <c r="D2349" t="s">
        <v>317</v>
      </c>
      <c r="E2349" t="s">
        <v>1364</v>
      </c>
      <c r="F2349" t="s">
        <v>1372</v>
      </c>
      <c r="G2349">
        <v>-645</v>
      </c>
      <c r="H2349">
        <v>3564</v>
      </c>
      <c r="K2349" t="s">
        <v>1383</v>
      </c>
    </row>
    <row r="2350" spans="1:11" x14ac:dyDescent="0.25">
      <c r="A2350" s="40">
        <v>45918.306689814817</v>
      </c>
      <c r="B2350" t="s">
        <v>1774</v>
      </c>
      <c r="C2350" t="s">
        <v>2</v>
      </c>
      <c r="D2350" t="s">
        <v>266</v>
      </c>
      <c r="E2350" t="s">
        <v>1364</v>
      </c>
      <c r="F2350" t="s">
        <v>1372</v>
      </c>
      <c r="G2350">
        <v>-60</v>
      </c>
      <c r="H2350">
        <v>3507</v>
      </c>
      <c r="K2350" t="s">
        <v>1383</v>
      </c>
    </row>
    <row r="2351" spans="1:11" x14ac:dyDescent="0.25">
      <c r="A2351" s="40">
        <v>45918.306689814817</v>
      </c>
      <c r="B2351" t="s">
        <v>1774</v>
      </c>
      <c r="C2351" t="s">
        <v>256</v>
      </c>
      <c r="D2351" t="s">
        <v>257</v>
      </c>
      <c r="E2351" t="s">
        <v>1364</v>
      </c>
      <c r="F2351" t="s">
        <v>1372</v>
      </c>
      <c r="G2351">
        <v>-625</v>
      </c>
      <c r="H2351">
        <v>1630</v>
      </c>
      <c r="K2351" t="s">
        <v>1383</v>
      </c>
    </row>
    <row r="2352" spans="1:11" x14ac:dyDescent="0.25">
      <c r="A2352" s="40">
        <v>45918.306689814817</v>
      </c>
      <c r="B2352" t="s">
        <v>1774</v>
      </c>
      <c r="C2352" t="s">
        <v>53</v>
      </c>
      <c r="D2352" t="s">
        <v>398</v>
      </c>
      <c r="E2352" t="s">
        <v>1364</v>
      </c>
      <c r="F2352" t="s">
        <v>1372</v>
      </c>
      <c r="G2352">
        <v>-90</v>
      </c>
      <c r="H2352">
        <v>1190</v>
      </c>
      <c r="K2352" t="s">
        <v>1383</v>
      </c>
    </row>
    <row r="2353" spans="1:11" x14ac:dyDescent="0.25">
      <c r="A2353" s="40">
        <v>45918.306689814817</v>
      </c>
      <c r="B2353" t="s">
        <v>1774</v>
      </c>
      <c r="C2353" t="s">
        <v>433</v>
      </c>
      <c r="D2353" t="s">
        <v>434</v>
      </c>
      <c r="E2353" t="s">
        <v>1364</v>
      </c>
      <c r="F2353" t="s">
        <v>1372</v>
      </c>
      <c r="G2353">
        <v>-180</v>
      </c>
      <c r="H2353">
        <v>4260</v>
      </c>
      <c r="K2353" t="s">
        <v>1383</v>
      </c>
    </row>
    <row r="2354" spans="1:11" x14ac:dyDescent="0.25">
      <c r="A2354" s="40">
        <v>45918.306689814817</v>
      </c>
      <c r="B2354" t="s">
        <v>1774</v>
      </c>
      <c r="C2354" t="s">
        <v>55</v>
      </c>
      <c r="D2354" t="s">
        <v>312</v>
      </c>
      <c r="E2354" t="s">
        <v>1364</v>
      </c>
      <c r="F2354" t="s">
        <v>1372</v>
      </c>
      <c r="G2354">
        <v>-60</v>
      </c>
      <c r="H2354">
        <v>1426</v>
      </c>
      <c r="K2354" t="s">
        <v>1383</v>
      </c>
    </row>
    <row r="2355" spans="1:11" x14ac:dyDescent="0.25">
      <c r="A2355" s="40">
        <v>45918.306689814817</v>
      </c>
      <c r="B2355" t="s">
        <v>1774</v>
      </c>
      <c r="C2355" t="s">
        <v>98</v>
      </c>
      <c r="D2355" t="s">
        <v>408</v>
      </c>
      <c r="E2355" t="s">
        <v>1364</v>
      </c>
      <c r="F2355" t="s">
        <v>1372</v>
      </c>
      <c r="G2355">
        <v>-105</v>
      </c>
      <c r="H2355">
        <v>4810</v>
      </c>
      <c r="K2355" t="s">
        <v>1383</v>
      </c>
    </row>
    <row r="2356" spans="1:11" x14ac:dyDescent="0.25">
      <c r="A2356" s="40">
        <v>45918.306689814817</v>
      </c>
      <c r="B2356" t="s">
        <v>1774</v>
      </c>
      <c r="C2356" t="s">
        <v>337</v>
      </c>
      <c r="D2356" t="s">
        <v>338</v>
      </c>
      <c r="E2356" t="s">
        <v>1364</v>
      </c>
      <c r="F2356" t="s">
        <v>1372</v>
      </c>
      <c r="G2356">
        <v>-370</v>
      </c>
      <c r="H2356">
        <v>2774</v>
      </c>
      <c r="K2356" t="s">
        <v>1383</v>
      </c>
    </row>
    <row r="2357" spans="1:11" x14ac:dyDescent="0.25">
      <c r="A2357" s="40">
        <v>45918.306689814817</v>
      </c>
      <c r="B2357" t="s">
        <v>1774</v>
      </c>
      <c r="C2357" t="s">
        <v>71</v>
      </c>
      <c r="D2357" t="s">
        <v>376</v>
      </c>
      <c r="E2357" t="s">
        <v>1364</v>
      </c>
      <c r="F2357" t="s">
        <v>1372</v>
      </c>
      <c r="G2357">
        <v>-40</v>
      </c>
      <c r="H2357">
        <v>3943</v>
      </c>
      <c r="K2357" t="s">
        <v>1383</v>
      </c>
    </row>
    <row r="2358" spans="1:11" x14ac:dyDescent="0.25">
      <c r="A2358" s="40">
        <v>45918.306689814817</v>
      </c>
      <c r="B2358" t="s">
        <v>1774</v>
      </c>
      <c r="C2358" t="s">
        <v>24</v>
      </c>
      <c r="D2358" t="s">
        <v>378</v>
      </c>
      <c r="E2358" t="s">
        <v>1364</v>
      </c>
      <c r="F2358" t="s">
        <v>1372</v>
      </c>
      <c r="G2358">
        <v>-40</v>
      </c>
      <c r="H2358">
        <v>266</v>
      </c>
      <c r="K2358" t="s">
        <v>1383</v>
      </c>
    </row>
    <row r="2359" spans="1:11" x14ac:dyDescent="0.25">
      <c r="A2359" s="40">
        <v>45918.306689814817</v>
      </c>
      <c r="B2359" t="s">
        <v>1774</v>
      </c>
      <c r="C2359" t="s">
        <v>4</v>
      </c>
      <c r="D2359" t="s">
        <v>377</v>
      </c>
      <c r="E2359" t="s">
        <v>1364</v>
      </c>
      <c r="F2359" t="s">
        <v>1372</v>
      </c>
      <c r="G2359">
        <v>-30</v>
      </c>
      <c r="H2359">
        <v>6547</v>
      </c>
      <c r="K2359" t="s">
        <v>1383</v>
      </c>
    </row>
    <row r="2360" spans="1:11" x14ac:dyDescent="0.25">
      <c r="A2360" s="40">
        <v>45918.306689814817</v>
      </c>
      <c r="B2360" t="s">
        <v>1774</v>
      </c>
      <c r="C2360" t="s">
        <v>422</v>
      </c>
      <c r="D2360" t="s">
        <v>423</v>
      </c>
      <c r="E2360" t="s">
        <v>1364</v>
      </c>
      <c r="F2360" t="s">
        <v>1372</v>
      </c>
      <c r="G2360">
        <v>-50</v>
      </c>
      <c r="H2360">
        <v>4775</v>
      </c>
      <c r="K2360" t="s">
        <v>1383</v>
      </c>
    </row>
    <row r="2361" spans="1:11" x14ac:dyDescent="0.25">
      <c r="A2361" s="40">
        <v>45918.306689814817</v>
      </c>
      <c r="B2361" t="s">
        <v>1774</v>
      </c>
      <c r="C2361" t="s">
        <v>68</v>
      </c>
      <c r="D2361" t="s">
        <v>374</v>
      </c>
      <c r="E2361" t="s">
        <v>1364</v>
      </c>
      <c r="F2361" t="s">
        <v>1372</v>
      </c>
      <c r="G2361">
        <v>-40</v>
      </c>
      <c r="H2361">
        <v>2479</v>
      </c>
      <c r="K2361" t="s">
        <v>1383</v>
      </c>
    </row>
    <row r="2362" spans="1:11" x14ac:dyDescent="0.25">
      <c r="A2362" s="40">
        <v>45918.306689814817</v>
      </c>
      <c r="B2362" t="s">
        <v>1774</v>
      </c>
      <c r="C2362" t="s">
        <v>52</v>
      </c>
      <c r="D2362" t="s">
        <v>397</v>
      </c>
      <c r="E2362" t="s">
        <v>1364</v>
      </c>
      <c r="F2362" t="s">
        <v>1372</v>
      </c>
      <c r="G2362">
        <v>-105</v>
      </c>
      <c r="H2362">
        <v>8261</v>
      </c>
      <c r="K2362" t="s">
        <v>1383</v>
      </c>
    </row>
    <row r="2363" spans="1:11" x14ac:dyDescent="0.25">
      <c r="A2363" s="40">
        <v>45918.306689814817</v>
      </c>
      <c r="B2363" t="s">
        <v>1774</v>
      </c>
      <c r="C2363" t="s">
        <v>60</v>
      </c>
      <c r="D2363" t="s">
        <v>350</v>
      </c>
      <c r="E2363" t="s">
        <v>1364</v>
      </c>
      <c r="F2363" t="s">
        <v>1372</v>
      </c>
      <c r="G2363">
        <v>-370</v>
      </c>
      <c r="H2363">
        <v>3042</v>
      </c>
      <c r="K2363" t="s">
        <v>1383</v>
      </c>
    </row>
    <row r="2364" spans="1:11" x14ac:dyDescent="0.25">
      <c r="A2364" s="40">
        <v>45918.306689814817</v>
      </c>
      <c r="B2364" t="s">
        <v>1774</v>
      </c>
      <c r="C2364" t="s">
        <v>36</v>
      </c>
      <c r="D2364" t="s">
        <v>385</v>
      </c>
      <c r="E2364" t="s">
        <v>1364</v>
      </c>
      <c r="F2364" t="s">
        <v>1372</v>
      </c>
      <c r="G2364">
        <v>-360</v>
      </c>
      <c r="H2364">
        <v>2806</v>
      </c>
      <c r="K2364" t="s">
        <v>1383</v>
      </c>
    </row>
    <row r="2365" spans="1:11" x14ac:dyDescent="0.25">
      <c r="A2365" s="40">
        <v>45918.306689814817</v>
      </c>
      <c r="B2365" t="s">
        <v>1774</v>
      </c>
      <c r="C2365" t="s">
        <v>15</v>
      </c>
      <c r="D2365" t="s">
        <v>474</v>
      </c>
      <c r="E2365" t="s">
        <v>1364</v>
      </c>
      <c r="F2365" t="s">
        <v>1372</v>
      </c>
      <c r="G2365">
        <v>-40</v>
      </c>
      <c r="H2365">
        <v>11608</v>
      </c>
      <c r="K2365" t="s">
        <v>1383</v>
      </c>
    </row>
    <row r="2366" spans="1:11" x14ac:dyDescent="0.25">
      <c r="A2366" s="40">
        <v>45918.306689814817</v>
      </c>
      <c r="B2366" t="s">
        <v>1774</v>
      </c>
      <c r="C2366" t="s">
        <v>368</v>
      </c>
      <c r="D2366" t="s">
        <v>369</v>
      </c>
      <c r="E2366" t="s">
        <v>1364</v>
      </c>
      <c r="F2366" t="s">
        <v>1372</v>
      </c>
      <c r="G2366">
        <v>-375</v>
      </c>
      <c r="H2366">
        <v>2094</v>
      </c>
      <c r="K2366" t="s">
        <v>1383</v>
      </c>
    </row>
    <row r="2367" spans="1:11" x14ac:dyDescent="0.25">
      <c r="A2367" s="40">
        <v>45918.306689814817</v>
      </c>
      <c r="B2367" t="s">
        <v>1774</v>
      </c>
      <c r="C2367" t="s">
        <v>439</v>
      </c>
      <c r="D2367" t="s">
        <v>440</v>
      </c>
      <c r="E2367" t="s">
        <v>1364</v>
      </c>
      <c r="F2367" t="s">
        <v>1372</v>
      </c>
      <c r="G2367">
        <v>-175</v>
      </c>
      <c r="H2367">
        <v>4608</v>
      </c>
      <c r="K2367" t="s">
        <v>1383</v>
      </c>
    </row>
    <row r="2368" spans="1:11" x14ac:dyDescent="0.25">
      <c r="A2368" s="40">
        <v>45918.306689814817</v>
      </c>
      <c r="B2368" t="s">
        <v>1774</v>
      </c>
      <c r="C2368" t="s">
        <v>7</v>
      </c>
      <c r="D2368" t="s">
        <v>307</v>
      </c>
      <c r="E2368" t="s">
        <v>1364</v>
      </c>
      <c r="F2368" t="s">
        <v>1372</v>
      </c>
      <c r="G2368">
        <v>-335</v>
      </c>
      <c r="H2368">
        <v>8249</v>
      </c>
      <c r="K2368" t="s">
        <v>1383</v>
      </c>
    </row>
    <row r="2369" spans="1:11" x14ac:dyDescent="0.25">
      <c r="A2369" s="40">
        <v>45918.306689814817</v>
      </c>
      <c r="B2369" t="s">
        <v>1774</v>
      </c>
      <c r="C2369" t="s">
        <v>69</v>
      </c>
      <c r="D2369" t="s">
        <v>375</v>
      </c>
      <c r="E2369" t="s">
        <v>1364</v>
      </c>
      <c r="F2369" t="s">
        <v>1372</v>
      </c>
      <c r="G2369">
        <v>-40</v>
      </c>
      <c r="H2369">
        <v>5422</v>
      </c>
      <c r="K2369" t="s">
        <v>1383</v>
      </c>
    </row>
    <row r="2370" spans="1:11" x14ac:dyDescent="0.25">
      <c r="A2370" s="40">
        <v>45918.306689814817</v>
      </c>
      <c r="B2370" t="s">
        <v>1774</v>
      </c>
      <c r="C2370" t="s">
        <v>82</v>
      </c>
      <c r="D2370" t="s">
        <v>318</v>
      </c>
      <c r="E2370" t="s">
        <v>1364</v>
      </c>
      <c r="F2370" t="s">
        <v>1372</v>
      </c>
      <c r="G2370">
        <v>-195</v>
      </c>
      <c r="H2370">
        <v>3379</v>
      </c>
      <c r="K2370" t="s">
        <v>1383</v>
      </c>
    </row>
    <row r="2371" spans="1:11" x14ac:dyDescent="0.25">
      <c r="A2371" s="40">
        <v>45918.306689814817</v>
      </c>
      <c r="B2371" t="s">
        <v>1774</v>
      </c>
      <c r="C2371" t="s">
        <v>54</v>
      </c>
      <c r="D2371" t="s">
        <v>399</v>
      </c>
      <c r="E2371" t="s">
        <v>1364</v>
      </c>
      <c r="F2371" t="s">
        <v>1372</v>
      </c>
      <c r="G2371">
        <v>-190</v>
      </c>
      <c r="H2371">
        <v>1663</v>
      </c>
      <c r="K2371" t="s">
        <v>1383</v>
      </c>
    </row>
    <row r="2372" spans="1:11" x14ac:dyDescent="0.25">
      <c r="A2372" s="40">
        <v>45918.306689814817</v>
      </c>
      <c r="B2372" t="s">
        <v>1774</v>
      </c>
      <c r="C2372" t="s">
        <v>67</v>
      </c>
      <c r="D2372" t="s">
        <v>373</v>
      </c>
      <c r="E2372" t="s">
        <v>1364</v>
      </c>
      <c r="F2372" t="s">
        <v>1372</v>
      </c>
      <c r="G2372">
        <v>-50</v>
      </c>
      <c r="H2372">
        <v>3375</v>
      </c>
      <c r="K2372" t="s">
        <v>1383</v>
      </c>
    </row>
    <row r="2373" spans="1:11" x14ac:dyDescent="0.25">
      <c r="A2373" s="40">
        <v>45918.306689814817</v>
      </c>
      <c r="B2373" t="s">
        <v>1774</v>
      </c>
      <c r="C2373" t="s">
        <v>366</v>
      </c>
      <c r="D2373" t="s">
        <v>367</v>
      </c>
      <c r="E2373" t="s">
        <v>1364</v>
      </c>
      <c r="F2373" t="s">
        <v>1372</v>
      </c>
      <c r="G2373">
        <v>-110</v>
      </c>
      <c r="H2373">
        <v>3402</v>
      </c>
      <c r="K2373" t="s">
        <v>1383</v>
      </c>
    </row>
    <row r="2374" spans="1:11" x14ac:dyDescent="0.25">
      <c r="A2374" s="40">
        <v>45918.306689814817</v>
      </c>
      <c r="B2374" t="s">
        <v>1774</v>
      </c>
      <c r="C2374" t="s">
        <v>424</v>
      </c>
      <c r="D2374" t="s">
        <v>425</v>
      </c>
      <c r="E2374" t="s">
        <v>1364</v>
      </c>
      <c r="F2374" t="s">
        <v>1372</v>
      </c>
      <c r="G2374">
        <v>-25</v>
      </c>
      <c r="H2374">
        <v>3635</v>
      </c>
      <c r="K2374" t="s">
        <v>1383</v>
      </c>
    </row>
    <row r="2375" spans="1:11" x14ac:dyDescent="0.25">
      <c r="A2375" s="40">
        <v>45918.306689814817</v>
      </c>
      <c r="B2375" t="s">
        <v>1774</v>
      </c>
      <c r="C2375" t="s">
        <v>56</v>
      </c>
      <c r="D2375" t="s">
        <v>313</v>
      </c>
      <c r="E2375" t="s">
        <v>1364</v>
      </c>
      <c r="F2375" t="s">
        <v>1372</v>
      </c>
      <c r="G2375">
        <v>-60</v>
      </c>
      <c r="H2375">
        <v>3067</v>
      </c>
      <c r="K2375" t="s">
        <v>1383</v>
      </c>
    </row>
    <row r="2376" spans="1:11" x14ac:dyDescent="0.25">
      <c r="A2376" s="40">
        <v>45918.306689814817</v>
      </c>
      <c r="B2376" t="s">
        <v>1774</v>
      </c>
      <c r="C2376" t="s">
        <v>38</v>
      </c>
      <c r="D2376" t="s">
        <v>386</v>
      </c>
      <c r="E2376" t="s">
        <v>1364</v>
      </c>
      <c r="F2376" t="s">
        <v>1372</v>
      </c>
      <c r="G2376">
        <v>-500</v>
      </c>
      <c r="H2376">
        <v>27283</v>
      </c>
      <c r="K2376" t="s">
        <v>1383</v>
      </c>
    </row>
    <row r="2377" spans="1:11" x14ac:dyDescent="0.25">
      <c r="A2377" s="40">
        <v>45918.306689814817</v>
      </c>
      <c r="B2377" t="s">
        <v>1774</v>
      </c>
      <c r="C2377" t="s">
        <v>229</v>
      </c>
      <c r="D2377" t="s">
        <v>321</v>
      </c>
      <c r="E2377" t="s">
        <v>1364</v>
      </c>
      <c r="F2377" t="s">
        <v>1372</v>
      </c>
      <c r="G2377">
        <v>-30</v>
      </c>
      <c r="H2377">
        <v>7704</v>
      </c>
      <c r="K2377" t="s">
        <v>1383</v>
      </c>
    </row>
    <row r="2378" spans="1:11" x14ac:dyDescent="0.25">
      <c r="A2378" s="40">
        <v>45918.306689814817</v>
      </c>
      <c r="B2378" t="s">
        <v>1774</v>
      </c>
      <c r="C2378" t="s">
        <v>44</v>
      </c>
      <c r="D2378" t="s">
        <v>392</v>
      </c>
      <c r="E2378" t="s">
        <v>1364</v>
      </c>
      <c r="F2378" t="s">
        <v>1372</v>
      </c>
      <c r="G2378">
        <v>-50</v>
      </c>
      <c r="H2378">
        <v>9389</v>
      </c>
      <c r="K2378" t="s">
        <v>1383</v>
      </c>
    </row>
    <row r="2379" spans="1:11" x14ac:dyDescent="0.25">
      <c r="A2379" s="40">
        <v>45918.306689814817</v>
      </c>
      <c r="B2379" t="s">
        <v>1774</v>
      </c>
      <c r="C2379" t="s">
        <v>63</v>
      </c>
      <c r="D2379" t="s">
        <v>355</v>
      </c>
      <c r="E2379" t="s">
        <v>1364</v>
      </c>
      <c r="F2379" t="s">
        <v>1372</v>
      </c>
      <c r="G2379">
        <v>-135</v>
      </c>
      <c r="H2379">
        <v>2472</v>
      </c>
      <c r="K2379" t="s">
        <v>1383</v>
      </c>
    </row>
    <row r="2380" spans="1:11" x14ac:dyDescent="0.25">
      <c r="A2380" s="40">
        <v>45918.306689814817</v>
      </c>
      <c r="B2380" t="s">
        <v>1774</v>
      </c>
      <c r="C2380" t="s">
        <v>48</v>
      </c>
      <c r="D2380" t="s">
        <v>396</v>
      </c>
      <c r="E2380" t="s">
        <v>1364</v>
      </c>
      <c r="F2380" t="s">
        <v>1372</v>
      </c>
      <c r="G2380">
        <v>-240</v>
      </c>
      <c r="H2380">
        <v>14385</v>
      </c>
      <c r="K2380" t="s">
        <v>1383</v>
      </c>
    </row>
    <row r="2381" spans="1:11" x14ac:dyDescent="0.25">
      <c r="A2381" s="40">
        <v>45918.306689814817</v>
      </c>
      <c r="B2381" t="s">
        <v>1774</v>
      </c>
      <c r="C2381" t="s">
        <v>264</v>
      </c>
      <c r="D2381" t="s">
        <v>265</v>
      </c>
      <c r="E2381" t="s">
        <v>1364</v>
      </c>
      <c r="F2381" t="s">
        <v>1372</v>
      </c>
      <c r="G2381">
        <v>-265</v>
      </c>
      <c r="H2381">
        <v>2380</v>
      </c>
      <c r="K2381" t="s">
        <v>1383</v>
      </c>
    </row>
    <row r="2382" spans="1:11" x14ac:dyDescent="0.25">
      <c r="A2382" s="40">
        <v>45918.306689814817</v>
      </c>
      <c r="B2382" t="s">
        <v>1774</v>
      </c>
      <c r="C2382" t="s">
        <v>58</v>
      </c>
      <c r="D2382" t="s">
        <v>315</v>
      </c>
      <c r="E2382" t="s">
        <v>1364</v>
      </c>
      <c r="F2382" t="s">
        <v>1372</v>
      </c>
      <c r="G2382">
        <v>-65</v>
      </c>
      <c r="H2382">
        <v>4288</v>
      </c>
      <c r="K2382" t="s">
        <v>1383</v>
      </c>
    </row>
    <row r="2383" spans="1:11" x14ac:dyDescent="0.25">
      <c r="A2383" s="40">
        <v>45918.306689814817</v>
      </c>
      <c r="B2383" t="s">
        <v>1774</v>
      </c>
      <c r="C2383" t="s">
        <v>70</v>
      </c>
      <c r="D2383" t="s">
        <v>402</v>
      </c>
      <c r="E2383" t="s">
        <v>1364</v>
      </c>
      <c r="F2383" t="s">
        <v>1372</v>
      </c>
      <c r="G2383">
        <v>-175</v>
      </c>
      <c r="H2383">
        <v>21074</v>
      </c>
      <c r="K2383" t="s">
        <v>1383</v>
      </c>
    </row>
    <row r="2384" spans="1:11" x14ac:dyDescent="0.25">
      <c r="A2384" s="40">
        <v>45918.306689814817</v>
      </c>
      <c r="B2384" t="s">
        <v>1774</v>
      </c>
      <c r="C2384" t="s">
        <v>99</v>
      </c>
      <c r="D2384" t="s">
        <v>409</v>
      </c>
      <c r="E2384" t="s">
        <v>1364</v>
      </c>
      <c r="F2384" t="s">
        <v>1372</v>
      </c>
      <c r="G2384">
        <v>-75</v>
      </c>
      <c r="H2384">
        <v>4960</v>
      </c>
      <c r="K2384" t="s">
        <v>1383</v>
      </c>
    </row>
    <row r="2385" spans="1:12" x14ac:dyDescent="0.25">
      <c r="A2385" s="40">
        <v>45918.306689814817</v>
      </c>
      <c r="B2385" t="s">
        <v>1774</v>
      </c>
      <c r="C2385" t="s">
        <v>77</v>
      </c>
      <c r="D2385" t="s">
        <v>253</v>
      </c>
      <c r="E2385" t="s">
        <v>1364</v>
      </c>
      <c r="F2385" t="s">
        <v>1372</v>
      </c>
      <c r="G2385">
        <v>-1310</v>
      </c>
      <c r="H2385">
        <v>5260</v>
      </c>
      <c r="K2385" t="s">
        <v>1383</v>
      </c>
    </row>
    <row r="2386" spans="1:12" x14ac:dyDescent="0.25">
      <c r="A2386" s="40">
        <v>45918.306689814817</v>
      </c>
      <c r="B2386" t="s">
        <v>1774</v>
      </c>
      <c r="C2386" t="s">
        <v>97</v>
      </c>
      <c r="D2386" t="s">
        <v>407</v>
      </c>
      <c r="E2386" t="s">
        <v>1364</v>
      </c>
      <c r="F2386" t="s">
        <v>1372</v>
      </c>
      <c r="G2386">
        <v>-485</v>
      </c>
      <c r="H2386">
        <v>5376</v>
      </c>
      <c r="K2386" t="s">
        <v>1383</v>
      </c>
    </row>
    <row r="2387" spans="1:12" x14ac:dyDescent="0.25">
      <c r="A2387" s="40">
        <v>45918.306689814817</v>
      </c>
      <c r="B2387" t="s">
        <v>1774</v>
      </c>
      <c r="C2387" t="s">
        <v>47</v>
      </c>
      <c r="D2387" t="s">
        <v>395</v>
      </c>
      <c r="E2387" t="s">
        <v>1364</v>
      </c>
      <c r="F2387" t="s">
        <v>1372</v>
      </c>
      <c r="G2387">
        <v>-175</v>
      </c>
      <c r="H2387">
        <v>20963</v>
      </c>
      <c r="K2387" t="s">
        <v>1383</v>
      </c>
    </row>
    <row r="2388" spans="1:12" x14ac:dyDescent="0.25">
      <c r="A2388" s="40">
        <v>45918.306689814817</v>
      </c>
      <c r="B2388" t="s">
        <v>1774</v>
      </c>
      <c r="C2388" t="s">
        <v>27</v>
      </c>
      <c r="D2388" t="s">
        <v>381</v>
      </c>
      <c r="E2388" t="s">
        <v>1364</v>
      </c>
      <c r="F2388" t="s">
        <v>1372</v>
      </c>
      <c r="G2388">
        <v>-135</v>
      </c>
      <c r="H2388">
        <v>39875</v>
      </c>
      <c r="K2388" t="s">
        <v>1383</v>
      </c>
    </row>
    <row r="2389" spans="1:12" x14ac:dyDescent="0.25">
      <c r="A2389" s="40">
        <v>45918.306689814817</v>
      </c>
      <c r="B2389" t="s">
        <v>1774</v>
      </c>
      <c r="C2389" t="s">
        <v>1</v>
      </c>
      <c r="D2389" t="s">
        <v>250</v>
      </c>
      <c r="E2389" t="s">
        <v>1364</v>
      </c>
      <c r="F2389" t="s">
        <v>1372</v>
      </c>
      <c r="G2389">
        <v>-1310</v>
      </c>
      <c r="H2389">
        <v>422</v>
      </c>
      <c r="K2389" t="s">
        <v>1383</v>
      </c>
    </row>
    <row r="2390" spans="1:12" x14ac:dyDescent="0.25">
      <c r="A2390" s="40">
        <v>45922.515034722222</v>
      </c>
      <c r="B2390" t="s">
        <v>1749</v>
      </c>
      <c r="C2390" t="s">
        <v>1775</v>
      </c>
      <c r="E2390" t="s">
        <v>1365</v>
      </c>
      <c r="F2390" t="s">
        <v>695</v>
      </c>
      <c r="G2390">
        <v>10720</v>
      </c>
      <c r="H2390">
        <v>10720</v>
      </c>
      <c r="I2390" t="s">
        <v>1776</v>
      </c>
      <c r="J2390" t="s">
        <v>1494</v>
      </c>
      <c r="K2390" t="s">
        <v>1465</v>
      </c>
      <c r="L2390">
        <v>1039.21</v>
      </c>
    </row>
    <row r="2391" spans="1:12" x14ac:dyDescent="0.25">
      <c r="A2391" s="40">
        <v>45922.515034722222</v>
      </c>
      <c r="B2391" t="s">
        <v>1749</v>
      </c>
      <c r="C2391" t="s">
        <v>1775</v>
      </c>
      <c r="E2391" t="s">
        <v>1365</v>
      </c>
      <c r="F2391" t="s">
        <v>1372</v>
      </c>
      <c r="G2391">
        <v>-5700</v>
      </c>
      <c r="H2391">
        <v>5020</v>
      </c>
      <c r="K2391" t="s">
        <v>1465</v>
      </c>
    </row>
    <row r="2392" spans="1:12" x14ac:dyDescent="0.25">
      <c r="A2392" s="40">
        <v>45925.529108796298</v>
      </c>
      <c r="B2392" t="s">
        <v>1774</v>
      </c>
      <c r="C2392" t="s">
        <v>262</v>
      </c>
      <c r="D2392" t="s">
        <v>263</v>
      </c>
      <c r="E2392" t="s">
        <v>1364</v>
      </c>
      <c r="F2392" t="s">
        <v>695</v>
      </c>
      <c r="G2392">
        <v>3000</v>
      </c>
      <c r="H2392">
        <v>2895</v>
      </c>
      <c r="I2392" t="s">
        <v>696</v>
      </c>
      <c r="K2392" t="s">
        <v>1465</v>
      </c>
    </row>
    <row r="2393" spans="1:12" x14ac:dyDescent="0.25">
      <c r="A2393" s="40">
        <v>45925.529108796298</v>
      </c>
      <c r="B2393" t="s">
        <v>1774</v>
      </c>
      <c r="C2393" t="s">
        <v>1772</v>
      </c>
      <c r="E2393" t="s">
        <v>1365</v>
      </c>
      <c r="F2393" t="s">
        <v>695</v>
      </c>
      <c r="G2393">
        <v>100</v>
      </c>
      <c r="H2393">
        <v>43</v>
      </c>
      <c r="I2393" t="s">
        <v>1780</v>
      </c>
      <c r="K2393" t="s">
        <v>1465</v>
      </c>
    </row>
    <row r="2394" spans="1:12" x14ac:dyDescent="0.25">
      <c r="A2394" s="40">
        <v>45925.529108796298</v>
      </c>
      <c r="B2394" t="s">
        <v>1774</v>
      </c>
      <c r="C2394" t="s">
        <v>1483</v>
      </c>
      <c r="E2394" t="s">
        <v>1365</v>
      </c>
      <c r="F2394" t="s">
        <v>695</v>
      </c>
      <c r="G2394">
        <v>26</v>
      </c>
      <c r="H2394">
        <v>8</v>
      </c>
      <c r="I2394" t="s">
        <v>1505</v>
      </c>
      <c r="K2394" t="s">
        <v>1465</v>
      </c>
    </row>
    <row r="2395" spans="1:12" x14ac:dyDescent="0.25">
      <c r="A2395" s="40">
        <v>45925.529108796298</v>
      </c>
      <c r="B2395" t="s">
        <v>1774</v>
      </c>
      <c r="C2395" t="s">
        <v>1781</v>
      </c>
      <c r="E2395" t="s">
        <v>1365</v>
      </c>
      <c r="F2395" t="s">
        <v>695</v>
      </c>
      <c r="G2395">
        <v>150</v>
      </c>
      <c r="H2395">
        <v>150</v>
      </c>
      <c r="I2395" t="s">
        <v>1782</v>
      </c>
      <c r="J2395" t="s">
        <v>1494</v>
      </c>
      <c r="K2395" t="s">
        <v>1465</v>
      </c>
      <c r="L2395">
        <v>438.69</v>
      </c>
    </row>
    <row r="2396" spans="1:12" x14ac:dyDescent="0.25">
      <c r="A2396" s="40">
        <v>45925.529108796298</v>
      </c>
      <c r="B2396" t="s">
        <v>1774</v>
      </c>
      <c r="C2396" t="s">
        <v>1781</v>
      </c>
      <c r="E2396" t="s">
        <v>1365</v>
      </c>
      <c r="F2396" t="s">
        <v>1372</v>
      </c>
      <c r="G2396">
        <v>-23</v>
      </c>
      <c r="H2396">
        <v>127</v>
      </c>
      <c r="K2396" t="s">
        <v>1465</v>
      </c>
    </row>
    <row r="2397" spans="1:12" x14ac:dyDescent="0.25">
      <c r="A2397" s="40">
        <v>45925.533530092594</v>
      </c>
      <c r="B2397" t="s">
        <v>1783</v>
      </c>
      <c r="C2397" t="s">
        <v>55</v>
      </c>
      <c r="D2397" t="s">
        <v>312</v>
      </c>
      <c r="E2397" t="s">
        <v>1364</v>
      </c>
      <c r="F2397" t="s">
        <v>1372</v>
      </c>
      <c r="G2397">
        <v>-112</v>
      </c>
      <c r="H2397">
        <v>1314</v>
      </c>
      <c r="K2397" t="s">
        <v>1383</v>
      </c>
    </row>
    <row r="2398" spans="1:12" x14ac:dyDescent="0.25">
      <c r="A2398" s="40">
        <v>45925.533530092594</v>
      </c>
      <c r="B2398" t="s">
        <v>1783</v>
      </c>
      <c r="C2398" t="s">
        <v>7</v>
      </c>
      <c r="D2398" t="s">
        <v>307</v>
      </c>
      <c r="E2398" t="s">
        <v>1364</v>
      </c>
      <c r="F2398" t="s">
        <v>1372</v>
      </c>
      <c r="G2398">
        <v>-461</v>
      </c>
      <c r="H2398">
        <v>7788</v>
      </c>
      <c r="K2398" t="s">
        <v>1383</v>
      </c>
    </row>
    <row r="2399" spans="1:12" x14ac:dyDescent="0.25">
      <c r="A2399" s="40">
        <v>45925.533530092594</v>
      </c>
      <c r="B2399" t="s">
        <v>1783</v>
      </c>
      <c r="C2399" t="s">
        <v>229</v>
      </c>
      <c r="D2399" t="s">
        <v>321</v>
      </c>
      <c r="E2399" t="s">
        <v>1364</v>
      </c>
      <c r="F2399" t="s">
        <v>1372</v>
      </c>
      <c r="G2399">
        <v>-246</v>
      </c>
      <c r="H2399">
        <v>7458</v>
      </c>
      <c r="K2399" t="s">
        <v>1383</v>
      </c>
    </row>
    <row r="2400" spans="1:12" x14ac:dyDescent="0.25">
      <c r="A2400" s="40">
        <v>45925.533530092594</v>
      </c>
      <c r="B2400" t="s">
        <v>1783</v>
      </c>
      <c r="C2400" t="s">
        <v>333</v>
      </c>
      <c r="D2400" t="s">
        <v>334</v>
      </c>
      <c r="E2400" t="s">
        <v>1364</v>
      </c>
      <c r="F2400" t="s">
        <v>1372</v>
      </c>
      <c r="G2400">
        <v>-90</v>
      </c>
      <c r="H2400">
        <v>6743</v>
      </c>
      <c r="K2400" t="s">
        <v>1383</v>
      </c>
    </row>
    <row r="2401" spans="1:11" x14ac:dyDescent="0.25">
      <c r="A2401" s="40">
        <v>45925.533530092594</v>
      </c>
      <c r="B2401" t="s">
        <v>1783</v>
      </c>
      <c r="C2401" t="s">
        <v>68</v>
      </c>
      <c r="D2401" t="s">
        <v>374</v>
      </c>
      <c r="E2401" t="s">
        <v>1364</v>
      </c>
      <c r="F2401" t="s">
        <v>1372</v>
      </c>
      <c r="G2401">
        <v>-283</v>
      </c>
      <c r="H2401">
        <v>2196</v>
      </c>
      <c r="K2401" t="s">
        <v>1383</v>
      </c>
    </row>
    <row r="2402" spans="1:11" x14ac:dyDescent="0.25">
      <c r="A2402" s="40">
        <v>45925.533530092594</v>
      </c>
      <c r="B2402" t="s">
        <v>1783</v>
      </c>
      <c r="C2402" t="s">
        <v>70</v>
      </c>
      <c r="D2402" t="s">
        <v>402</v>
      </c>
      <c r="E2402" t="s">
        <v>1364</v>
      </c>
      <c r="F2402" t="s">
        <v>1372</v>
      </c>
      <c r="G2402">
        <v>-651</v>
      </c>
      <c r="H2402">
        <v>20423</v>
      </c>
      <c r="K2402" t="s">
        <v>1383</v>
      </c>
    </row>
    <row r="2403" spans="1:11" x14ac:dyDescent="0.25">
      <c r="A2403" s="40">
        <v>45925.533530092594</v>
      </c>
      <c r="B2403" t="s">
        <v>1783</v>
      </c>
      <c r="C2403" t="s">
        <v>414</v>
      </c>
      <c r="D2403" t="s">
        <v>415</v>
      </c>
      <c r="E2403" t="s">
        <v>1364</v>
      </c>
      <c r="F2403" t="s">
        <v>1372</v>
      </c>
      <c r="G2403">
        <v>-61</v>
      </c>
      <c r="H2403">
        <v>3539</v>
      </c>
      <c r="K2403" t="s">
        <v>1383</v>
      </c>
    </row>
    <row r="2404" spans="1:11" x14ac:dyDescent="0.25">
      <c r="A2404" s="40">
        <v>45925.533530092594</v>
      </c>
      <c r="B2404" t="s">
        <v>1783</v>
      </c>
      <c r="C2404" t="s">
        <v>96</v>
      </c>
      <c r="D2404" t="s">
        <v>406</v>
      </c>
      <c r="E2404" t="s">
        <v>1364</v>
      </c>
      <c r="F2404" t="s">
        <v>1372</v>
      </c>
      <c r="G2404">
        <v>-50</v>
      </c>
      <c r="H2404">
        <v>1955</v>
      </c>
      <c r="K2404" t="s">
        <v>1383</v>
      </c>
    </row>
    <row r="2405" spans="1:11" x14ac:dyDescent="0.25">
      <c r="A2405" s="40">
        <v>45925.533530092594</v>
      </c>
      <c r="B2405" t="s">
        <v>1783</v>
      </c>
      <c r="C2405" t="s">
        <v>38</v>
      </c>
      <c r="D2405" t="s">
        <v>386</v>
      </c>
      <c r="E2405" t="s">
        <v>1364</v>
      </c>
      <c r="F2405" t="s">
        <v>1372</v>
      </c>
      <c r="G2405">
        <v>-1667</v>
      </c>
      <c r="H2405">
        <v>25616</v>
      </c>
      <c r="K2405" t="s">
        <v>1383</v>
      </c>
    </row>
    <row r="2406" spans="1:11" x14ac:dyDescent="0.25">
      <c r="A2406" s="40">
        <v>45925.533530092594</v>
      </c>
      <c r="B2406" t="s">
        <v>1783</v>
      </c>
      <c r="C2406" t="s">
        <v>6</v>
      </c>
      <c r="D2406" t="s">
        <v>400</v>
      </c>
      <c r="E2406" t="s">
        <v>1364</v>
      </c>
      <c r="F2406" t="s">
        <v>1372</v>
      </c>
      <c r="G2406">
        <v>-749</v>
      </c>
      <c r="H2406">
        <v>5628</v>
      </c>
      <c r="K2406" t="s">
        <v>1383</v>
      </c>
    </row>
    <row r="2407" spans="1:11" x14ac:dyDescent="0.25">
      <c r="A2407" s="40">
        <v>45925.533530092594</v>
      </c>
      <c r="B2407" t="s">
        <v>1783</v>
      </c>
      <c r="C2407" t="s">
        <v>77</v>
      </c>
      <c r="D2407" t="s">
        <v>253</v>
      </c>
      <c r="E2407" t="s">
        <v>1364</v>
      </c>
      <c r="F2407" t="s">
        <v>1372</v>
      </c>
      <c r="G2407">
        <v>-262</v>
      </c>
      <c r="H2407">
        <v>4998</v>
      </c>
      <c r="K2407" t="s">
        <v>1383</v>
      </c>
    </row>
    <row r="2408" spans="1:11" x14ac:dyDescent="0.25">
      <c r="A2408" s="40">
        <v>45925.533530092594</v>
      </c>
      <c r="B2408" t="s">
        <v>1783</v>
      </c>
      <c r="C2408" t="s">
        <v>63</v>
      </c>
      <c r="D2408" t="s">
        <v>355</v>
      </c>
      <c r="E2408" t="s">
        <v>1364</v>
      </c>
      <c r="F2408" t="s">
        <v>1372</v>
      </c>
      <c r="G2408">
        <v>-241</v>
      </c>
      <c r="H2408">
        <v>2231</v>
      </c>
      <c r="K2408" t="s">
        <v>1383</v>
      </c>
    </row>
    <row r="2409" spans="1:11" x14ac:dyDescent="0.25">
      <c r="A2409" s="40">
        <v>45925.533530092594</v>
      </c>
      <c r="B2409" t="s">
        <v>1783</v>
      </c>
      <c r="C2409" t="s">
        <v>48</v>
      </c>
      <c r="D2409" t="s">
        <v>396</v>
      </c>
      <c r="E2409" t="s">
        <v>1364</v>
      </c>
      <c r="F2409" t="s">
        <v>1372</v>
      </c>
      <c r="G2409">
        <v>-215</v>
      </c>
      <c r="H2409">
        <v>14170</v>
      </c>
      <c r="K2409" t="s">
        <v>1383</v>
      </c>
    </row>
    <row r="2410" spans="1:11" x14ac:dyDescent="0.25">
      <c r="A2410" s="40">
        <v>45925.533530092594</v>
      </c>
      <c r="B2410" t="s">
        <v>1783</v>
      </c>
      <c r="C2410" t="s">
        <v>99</v>
      </c>
      <c r="D2410" t="s">
        <v>409</v>
      </c>
      <c r="E2410" t="s">
        <v>1364</v>
      </c>
      <c r="F2410" t="s">
        <v>1372</v>
      </c>
      <c r="G2410">
        <v>-60</v>
      </c>
      <c r="H2410">
        <v>4900</v>
      </c>
      <c r="K2410" t="s">
        <v>1383</v>
      </c>
    </row>
    <row r="2411" spans="1:11" x14ac:dyDescent="0.25">
      <c r="A2411" s="40">
        <v>45925.533530092594</v>
      </c>
      <c r="B2411" t="s">
        <v>1783</v>
      </c>
      <c r="C2411" t="s">
        <v>451</v>
      </c>
      <c r="D2411" t="s">
        <v>452</v>
      </c>
      <c r="E2411" t="s">
        <v>1364</v>
      </c>
      <c r="F2411" t="s">
        <v>1372</v>
      </c>
      <c r="G2411">
        <v>-155</v>
      </c>
      <c r="H2411">
        <v>4665</v>
      </c>
      <c r="K2411" t="s">
        <v>1383</v>
      </c>
    </row>
    <row r="2412" spans="1:11" x14ac:dyDescent="0.25">
      <c r="A2412" s="40">
        <v>45925.533530092594</v>
      </c>
      <c r="B2412" t="s">
        <v>1783</v>
      </c>
      <c r="C2412" t="s">
        <v>435</v>
      </c>
      <c r="D2412" t="s">
        <v>436</v>
      </c>
      <c r="E2412" t="s">
        <v>1364</v>
      </c>
      <c r="F2412" t="s">
        <v>1372</v>
      </c>
      <c r="G2412">
        <v>-92</v>
      </c>
      <c r="H2412">
        <v>4344</v>
      </c>
      <c r="K2412" t="s">
        <v>1383</v>
      </c>
    </row>
    <row r="2413" spans="1:11" x14ac:dyDescent="0.25">
      <c r="A2413" s="40">
        <v>45925.533530092594</v>
      </c>
      <c r="B2413" t="s">
        <v>1783</v>
      </c>
      <c r="C2413" t="s">
        <v>76</v>
      </c>
      <c r="D2413" t="s">
        <v>252</v>
      </c>
      <c r="E2413" t="s">
        <v>1364</v>
      </c>
      <c r="F2413" t="s">
        <v>1372</v>
      </c>
      <c r="G2413">
        <v>-110</v>
      </c>
      <c r="H2413">
        <v>2350</v>
      </c>
      <c r="K2413" t="s">
        <v>1383</v>
      </c>
    </row>
    <row r="2414" spans="1:11" x14ac:dyDescent="0.25">
      <c r="A2414" s="40">
        <v>45925.533530092594</v>
      </c>
      <c r="B2414" t="s">
        <v>1783</v>
      </c>
      <c r="C2414" t="s">
        <v>264</v>
      </c>
      <c r="D2414" t="s">
        <v>265</v>
      </c>
      <c r="E2414" t="s">
        <v>1364</v>
      </c>
      <c r="F2414" t="s">
        <v>1372</v>
      </c>
      <c r="G2414">
        <v>-60</v>
      </c>
      <c r="H2414">
        <v>2320</v>
      </c>
      <c r="K2414" t="s">
        <v>1383</v>
      </c>
    </row>
    <row r="2415" spans="1:11" x14ac:dyDescent="0.25">
      <c r="A2415" s="40">
        <v>45925.533530092594</v>
      </c>
      <c r="B2415" t="s">
        <v>1783</v>
      </c>
      <c r="C2415" t="s">
        <v>58</v>
      </c>
      <c r="D2415" t="s">
        <v>315</v>
      </c>
      <c r="E2415" t="s">
        <v>1364</v>
      </c>
      <c r="F2415" t="s">
        <v>1372</v>
      </c>
      <c r="G2415">
        <v>-358</v>
      </c>
      <c r="H2415">
        <v>3930</v>
      </c>
      <c r="K2415" t="s">
        <v>1383</v>
      </c>
    </row>
    <row r="2416" spans="1:11" x14ac:dyDescent="0.25">
      <c r="A2416" s="40">
        <v>45925.533530092594</v>
      </c>
      <c r="B2416" t="s">
        <v>1783</v>
      </c>
      <c r="C2416" t="s">
        <v>304</v>
      </c>
      <c r="D2416" t="s">
        <v>305</v>
      </c>
      <c r="E2416" t="s">
        <v>1364</v>
      </c>
      <c r="F2416" t="s">
        <v>1372</v>
      </c>
      <c r="G2416">
        <v>-326</v>
      </c>
      <c r="H2416">
        <v>2655</v>
      </c>
      <c r="K2416" t="s">
        <v>1383</v>
      </c>
    </row>
    <row r="2417" spans="1:11" x14ac:dyDescent="0.25">
      <c r="A2417" s="40">
        <v>45925.533530092594</v>
      </c>
      <c r="B2417" t="s">
        <v>1783</v>
      </c>
      <c r="C2417" t="s">
        <v>56</v>
      </c>
      <c r="D2417" t="s">
        <v>313</v>
      </c>
      <c r="E2417" t="s">
        <v>1364</v>
      </c>
      <c r="F2417" t="s">
        <v>1372</v>
      </c>
      <c r="G2417">
        <v>-53</v>
      </c>
      <c r="H2417">
        <v>3014</v>
      </c>
      <c r="K2417" t="s">
        <v>1383</v>
      </c>
    </row>
    <row r="2418" spans="1:11" x14ac:dyDescent="0.25">
      <c r="A2418" s="40">
        <v>45925.533530092594</v>
      </c>
      <c r="B2418" t="s">
        <v>1783</v>
      </c>
      <c r="C2418" t="s">
        <v>281</v>
      </c>
      <c r="D2418" t="s">
        <v>282</v>
      </c>
      <c r="E2418" t="s">
        <v>1364</v>
      </c>
      <c r="F2418" t="s">
        <v>1372</v>
      </c>
      <c r="G2418">
        <v>-42</v>
      </c>
      <c r="H2418">
        <v>1198</v>
      </c>
      <c r="K2418" t="s">
        <v>1383</v>
      </c>
    </row>
    <row r="2419" spans="1:11" x14ac:dyDescent="0.25">
      <c r="A2419" s="40">
        <v>45925.533530092594</v>
      </c>
      <c r="B2419" t="s">
        <v>1783</v>
      </c>
      <c r="C2419" t="s">
        <v>75</v>
      </c>
      <c r="D2419" t="s">
        <v>251</v>
      </c>
      <c r="E2419" t="s">
        <v>1364</v>
      </c>
      <c r="F2419" t="s">
        <v>1372</v>
      </c>
      <c r="G2419">
        <v>-31</v>
      </c>
      <c r="H2419">
        <v>2513</v>
      </c>
      <c r="K2419" t="s">
        <v>1383</v>
      </c>
    </row>
    <row r="2420" spans="1:11" x14ac:dyDescent="0.25">
      <c r="A2420" s="40">
        <v>45925.533530092594</v>
      </c>
      <c r="B2420" t="s">
        <v>1783</v>
      </c>
      <c r="C2420" t="s">
        <v>262</v>
      </c>
      <c r="D2420" t="s">
        <v>263</v>
      </c>
      <c r="E2420" t="s">
        <v>1364</v>
      </c>
      <c r="F2420" t="s">
        <v>1372</v>
      </c>
      <c r="G2420">
        <v>-31</v>
      </c>
      <c r="H2420">
        <v>2864</v>
      </c>
      <c r="K2420" t="s">
        <v>1383</v>
      </c>
    </row>
    <row r="2421" spans="1:11" x14ac:dyDescent="0.25">
      <c r="A2421" s="40">
        <v>45925.533530092594</v>
      </c>
      <c r="B2421" t="s">
        <v>1783</v>
      </c>
      <c r="C2421" t="s">
        <v>302</v>
      </c>
      <c r="D2421" t="s">
        <v>303</v>
      </c>
      <c r="E2421" t="s">
        <v>1364</v>
      </c>
      <c r="F2421" t="s">
        <v>1372</v>
      </c>
      <c r="G2421">
        <v>-31</v>
      </c>
      <c r="H2421">
        <v>2594</v>
      </c>
      <c r="K2421" t="s">
        <v>1383</v>
      </c>
    </row>
    <row r="2422" spans="1:11" x14ac:dyDescent="0.25">
      <c r="A2422" s="40">
        <v>45925.533530092594</v>
      </c>
      <c r="B2422" t="s">
        <v>1783</v>
      </c>
      <c r="C2422" t="s">
        <v>277</v>
      </c>
      <c r="D2422" t="s">
        <v>278</v>
      </c>
      <c r="E2422" t="s">
        <v>1364</v>
      </c>
      <c r="F2422" t="s">
        <v>1372</v>
      </c>
      <c r="G2422">
        <v>-42</v>
      </c>
      <c r="H2422">
        <v>2332</v>
      </c>
      <c r="K2422" t="s">
        <v>1383</v>
      </c>
    </row>
    <row r="2423" spans="1:11" x14ac:dyDescent="0.25">
      <c r="A2423" s="40">
        <v>45925.533530092594</v>
      </c>
      <c r="B2423" t="s">
        <v>1783</v>
      </c>
      <c r="C2423" t="s">
        <v>298</v>
      </c>
      <c r="D2423" t="s">
        <v>299</v>
      </c>
      <c r="E2423" t="s">
        <v>1364</v>
      </c>
      <c r="F2423" t="s">
        <v>1372</v>
      </c>
      <c r="G2423">
        <v>-42</v>
      </c>
      <c r="H2423">
        <v>748</v>
      </c>
      <c r="K2423" t="s">
        <v>1383</v>
      </c>
    </row>
    <row r="2424" spans="1:11" x14ac:dyDescent="0.25">
      <c r="A2424" s="40">
        <v>45925.533530092594</v>
      </c>
      <c r="B2424" t="s">
        <v>1783</v>
      </c>
      <c r="C2424" t="s">
        <v>230</v>
      </c>
      <c r="D2424" t="s">
        <v>255</v>
      </c>
      <c r="E2424" t="s">
        <v>1364</v>
      </c>
      <c r="F2424" t="s">
        <v>1372</v>
      </c>
      <c r="G2424">
        <v>-93</v>
      </c>
      <c r="H2424">
        <v>3122</v>
      </c>
      <c r="K2424" t="s">
        <v>1383</v>
      </c>
    </row>
    <row r="2425" spans="1:11" x14ac:dyDescent="0.25">
      <c r="A2425" s="40">
        <v>45925.533530092594</v>
      </c>
      <c r="B2425" t="s">
        <v>1783</v>
      </c>
      <c r="C2425" t="s">
        <v>326</v>
      </c>
      <c r="D2425" t="s">
        <v>327</v>
      </c>
      <c r="E2425" t="s">
        <v>1364</v>
      </c>
      <c r="F2425" t="s">
        <v>1372</v>
      </c>
      <c r="G2425">
        <v>-31</v>
      </c>
      <c r="H2425">
        <v>1249</v>
      </c>
      <c r="K2425" t="s">
        <v>1383</v>
      </c>
    </row>
    <row r="2426" spans="1:11" x14ac:dyDescent="0.25">
      <c r="A2426" s="40">
        <v>45925.533530092594</v>
      </c>
      <c r="B2426" t="s">
        <v>1783</v>
      </c>
      <c r="C2426" t="s">
        <v>328</v>
      </c>
      <c r="D2426" t="s">
        <v>329</v>
      </c>
      <c r="E2426" t="s">
        <v>1364</v>
      </c>
      <c r="F2426" t="s">
        <v>1372</v>
      </c>
      <c r="G2426">
        <v>-42</v>
      </c>
      <c r="H2426">
        <v>3230</v>
      </c>
      <c r="K2426" t="s">
        <v>1383</v>
      </c>
    </row>
    <row r="2427" spans="1:11" x14ac:dyDescent="0.25">
      <c r="A2427" s="40">
        <v>45925.533530092594</v>
      </c>
      <c r="B2427" t="s">
        <v>1783</v>
      </c>
      <c r="C2427" t="s">
        <v>84</v>
      </c>
      <c r="D2427" t="s">
        <v>319</v>
      </c>
      <c r="E2427" t="s">
        <v>1364</v>
      </c>
      <c r="F2427" t="s">
        <v>1372</v>
      </c>
      <c r="G2427">
        <v>-31</v>
      </c>
      <c r="H2427">
        <v>1834</v>
      </c>
      <c r="K2427" t="s">
        <v>1383</v>
      </c>
    </row>
    <row r="2428" spans="1:11" x14ac:dyDescent="0.25">
      <c r="A2428" s="40">
        <v>45925.533530092594</v>
      </c>
      <c r="B2428" t="s">
        <v>1783</v>
      </c>
      <c r="C2428" t="s">
        <v>1351</v>
      </c>
      <c r="E2428" t="s">
        <v>1365</v>
      </c>
      <c r="F2428" t="s">
        <v>1372</v>
      </c>
      <c r="G2428">
        <v>-12</v>
      </c>
      <c r="H2428">
        <v>-66</v>
      </c>
      <c r="K2428" t="s">
        <v>1383</v>
      </c>
    </row>
    <row r="2429" spans="1:11" x14ac:dyDescent="0.25">
      <c r="A2429" s="40">
        <v>45925.533530092594</v>
      </c>
      <c r="B2429" t="s">
        <v>1783</v>
      </c>
      <c r="C2429" t="s">
        <v>1483</v>
      </c>
      <c r="E2429" t="s">
        <v>1365</v>
      </c>
      <c r="F2429" t="s">
        <v>1372</v>
      </c>
      <c r="G2429">
        <v>-12</v>
      </c>
      <c r="H2429">
        <v>-4</v>
      </c>
      <c r="K2429" t="s">
        <v>1383</v>
      </c>
    </row>
    <row r="2430" spans="1:11" x14ac:dyDescent="0.25">
      <c r="A2430" s="40">
        <v>45925.533530092594</v>
      </c>
      <c r="B2430" t="s">
        <v>1783</v>
      </c>
      <c r="C2430" t="s">
        <v>1762</v>
      </c>
      <c r="E2430" t="s">
        <v>1364</v>
      </c>
      <c r="F2430" t="s">
        <v>1372</v>
      </c>
      <c r="G2430">
        <v>-31</v>
      </c>
      <c r="H2430">
        <v>274</v>
      </c>
      <c r="K2430" t="s">
        <v>1383</v>
      </c>
    </row>
    <row r="2431" spans="1:11" x14ac:dyDescent="0.25">
      <c r="A2431" s="40">
        <v>45925.533530092594</v>
      </c>
      <c r="B2431" t="s">
        <v>1783</v>
      </c>
      <c r="C2431" t="s">
        <v>370</v>
      </c>
      <c r="D2431" t="s">
        <v>371</v>
      </c>
      <c r="E2431" t="s">
        <v>1364</v>
      </c>
      <c r="F2431" t="s">
        <v>1372</v>
      </c>
      <c r="G2431">
        <v>-31</v>
      </c>
      <c r="H2431">
        <v>2414</v>
      </c>
      <c r="K2431" t="s">
        <v>1383</v>
      </c>
    </row>
    <row r="2432" spans="1:11" x14ac:dyDescent="0.25">
      <c r="A2432" s="40">
        <v>45925.533530092594</v>
      </c>
      <c r="B2432" t="s">
        <v>1783</v>
      </c>
      <c r="C2432" t="s">
        <v>89</v>
      </c>
      <c r="D2432" t="s">
        <v>359</v>
      </c>
      <c r="E2432" t="s">
        <v>1364</v>
      </c>
      <c r="F2432" t="s">
        <v>1372</v>
      </c>
      <c r="G2432">
        <v>-512</v>
      </c>
      <c r="H2432">
        <v>1111</v>
      </c>
      <c r="K2432" t="s">
        <v>1383</v>
      </c>
    </row>
    <row r="2433" spans="1:11" x14ac:dyDescent="0.25">
      <c r="A2433" s="40">
        <v>45925.533530092594</v>
      </c>
      <c r="B2433" t="s">
        <v>1783</v>
      </c>
      <c r="C2433" t="s">
        <v>69</v>
      </c>
      <c r="D2433" t="s">
        <v>375</v>
      </c>
      <c r="E2433" t="s">
        <v>1364</v>
      </c>
      <c r="F2433" t="s">
        <v>1372</v>
      </c>
      <c r="G2433">
        <v>-284</v>
      </c>
      <c r="H2433">
        <v>5138</v>
      </c>
      <c r="K2433" t="s">
        <v>1383</v>
      </c>
    </row>
    <row r="2434" spans="1:11" x14ac:dyDescent="0.25">
      <c r="A2434" s="40">
        <v>45925.533530092594</v>
      </c>
      <c r="B2434" t="s">
        <v>1783</v>
      </c>
      <c r="C2434" t="s">
        <v>12</v>
      </c>
      <c r="D2434" t="s">
        <v>432</v>
      </c>
      <c r="E2434" t="s">
        <v>1364</v>
      </c>
      <c r="F2434" t="s">
        <v>1372</v>
      </c>
      <c r="G2434">
        <v>-129</v>
      </c>
      <c r="H2434">
        <v>241</v>
      </c>
      <c r="K2434" t="s">
        <v>1383</v>
      </c>
    </row>
    <row r="2435" spans="1:11" x14ac:dyDescent="0.25">
      <c r="A2435" s="40">
        <v>45925.533530092594</v>
      </c>
      <c r="B2435" t="s">
        <v>1783</v>
      </c>
      <c r="C2435" t="s">
        <v>94</v>
      </c>
      <c r="D2435" t="s">
        <v>404</v>
      </c>
      <c r="E2435" t="s">
        <v>1364</v>
      </c>
      <c r="F2435" t="s">
        <v>1372</v>
      </c>
      <c r="G2435">
        <v>-53</v>
      </c>
      <c r="H2435">
        <v>4645</v>
      </c>
      <c r="K2435" t="s">
        <v>1383</v>
      </c>
    </row>
    <row r="2436" spans="1:11" x14ac:dyDescent="0.25">
      <c r="A2436" s="40">
        <v>45925.533530092594</v>
      </c>
      <c r="B2436" t="s">
        <v>1783</v>
      </c>
      <c r="C2436" t="s">
        <v>477</v>
      </c>
      <c r="D2436" t="s">
        <v>478</v>
      </c>
      <c r="E2436" t="s">
        <v>1364</v>
      </c>
      <c r="F2436" t="s">
        <v>1372</v>
      </c>
      <c r="G2436">
        <v>-31</v>
      </c>
      <c r="H2436">
        <v>1812</v>
      </c>
      <c r="K2436" t="s">
        <v>1383</v>
      </c>
    </row>
    <row r="2437" spans="1:11" x14ac:dyDescent="0.25">
      <c r="A2437" s="40">
        <v>45925.533530092594</v>
      </c>
      <c r="B2437" t="s">
        <v>1783</v>
      </c>
      <c r="C2437" t="s">
        <v>28</v>
      </c>
      <c r="D2437" t="s">
        <v>382</v>
      </c>
      <c r="E2437" t="s">
        <v>1364</v>
      </c>
      <c r="F2437" t="s">
        <v>1372</v>
      </c>
      <c r="G2437">
        <v>-31</v>
      </c>
      <c r="H2437">
        <v>2854</v>
      </c>
      <c r="K2437" t="s">
        <v>1383</v>
      </c>
    </row>
    <row r="2438" spans="1:11" x14ac:dyDescent="0.25">
      <c r="A2438" s="40">
        <v>45925.533530092594</v>
      </c>
      <c r="B2438" t="s">
        <v>1783</v>
      </c>
      <c r="C2438" t="s">
        <v>13</v>
      </c>
      <c r="D2438" t="s">
        <v>453</v>
      </c>
      <c r="E2438" t="s">
        <v>1364</v>
      </c>
      <c r="F2438" t="s">
        <v>1372</v>
      </c>
      <c r="G2438">
        <v>-64</v>
      </c>
      <c r="H2438">
        <v>2346</v>
      </c>
      <c r="K2438" t="s">
        <v>1383</v>
      </c>
    </row>
    <row r="2439" spans="1:11" x14ac:dyDescent="0.25">
      <c r="A2439" s="40">
        <v>45925.533530092594</v>
      </c>
      <c r="B2439" t="s">
        <v>1783</v>
      </c>
      <c r="C2439" t="s">
        <v>426</v>
      </c>
      <c r="D2439" t="s">
        <v>427</v>
      </c>
      <c r="E2439" t="s">
        <v>1364</v>
      </c>
      <c r="F2439" t="s">
        <v>1372</v>
      </c>
      <c r="G2439">
        <v>-260</v>
      </c>
      <c r="H2439">
        <v>4874</v>
      </c>
      <c r="K2439" t="s">
        <v>1383</v>
      </c>
    </row>
    <row r="2440" spans="1:11" x14ac:dyDescent="0.25">
      <c r="A2440" s="40">
        <v>45925.533530092594</v>
      </c>
      <c r="B2440" t="s">
        <v>1783</v>
      </c>
      <c r="C2440" t="s">
        <v>420</v>
      </c>
      <c r="D2440" t="s">
        <v>421</v>
      </c>
      <c r="E2440" t="s">
        <v>1364</v>
      </c>
      <c r="F2440" t="s">
        <v>1372</v>
      </c>
      <c r="G2440">
        <v>-107</v>
      </c>
      <c r="H2440">
        <v>7579</v>
      </c>
      <c r="K2440" t="s">
        <v>1383</v>
      </c>
    </row>
    <row r="2441" spans="1:11" x14ac:dyDescent="0.25">
      <c r="A2441" s="40">
        <v>45925.533530092594</v>
      </c>
      <c r="B2441" t="s">
        <v>1783</v>
      </c>
      <c r="C2441" t="s">
        <v>104</v>
      </c>
      <c r="D2441" t="s">
        <v>410</v>
      </c>
      <c r="E2441" t="s">
        <v>1364</v>
      </c>
      <c r="F2441" t="s">
        <v>1372</v>
      </c>
      <c r="G2441">
        <v>-42</v>
      </c>
      <c r="H2441">
        <v>4459</v>
      </c>
      <c r="K2441" t="s">
        <v>1383</v>
      </c>
    </row>
    <row r="2442" spans="1:11" x14ac:dyDescent="0.25">
      <c r="A2442" s="40">
        <v>45925.533530092594</v>
      </c>
      <c r="B2442" t="s">
        <v>1783</v>
      </c>
      <c r="C2442" t="s">
        <v>42</v>
      </c>
      <c r="D2442" t="s">
        <v>391</v>
      </c>
      <c r="E2442" t="s">
        <v>1364</v>
      </c>
      <c r="F2442" t="s">
        <v>1372</v>
      </c>
      <c r="G2442">
        <v>-31</v>
      </c>
      <c r="H2442">
        <v>2496</v>
      </c>
      <c r="K2442" t="s">
        <v>1383</v>
      </c>
    </row>
    <row r="2443" spans="1:11" x14ac:dyDescent="0.25">
      <c r="A2443" s="40">
        <v>45925.533530092594</v>
      </c>
      <c r="B2443" t="s">
        <v>1783</v>
      </c>
      <c r="C2443" t="s">
        <v>26</v>
      </c>
      <c r="D2443" t="s">
        <v>380</v>
      </c>
      <c r="E2443" t="s">
        <v>1364</v>
      </c>
      <c r="F2443" t="s">
        <v>1372</v>
      </c>
      <c r="G2443">
        <v>-31</v>
      </c>
      <c r="H2443">
        <v>3411</v>
      </c>
      <c r="K2443" t="s">
        <v>1383</v>
      </c>
    </row>
    <row r="2444" spans="1:11" x14ac:dyDescent="0.25">
      <c r="A2444" s="40">
        <v>45925.533530092594</v>
      </c>
      <c r="B2444" t="s">
        <v>1783</v>
      </c>
      <c r="C2444" t="s">
        <v>46</v>
      </c>
      <c r="D2444" t="s">
        <v>394</v>
      </c>
      <c r="E2444" t="s">
        <v>1364</v>
      </c>
      <c r="F2444" t="s">
        <v>1372</v>
      </c>
      <c r="G2444">
        <v>-31</v>
      </c>
      <c r="H2444">
        <v>3462</v>
      </c>
      <c r="K2444" t="s">
        <v>1383</v>
      </c>
    </row>
    <row r="2445" spans="1:11" x14ac:dyDescent="0.25">
      <c r="A2445" s="40">
        <v>45925.533530092594</v>
      </c>
      <c r="B2445" t="s">
        <v>1783</v>
      </c>
      <c r="C2445" t="s">
        <v>437</v>
      </c>
      <c r="D2445" t="s">
        <v>438</v>
      </c>
      <c r="E2445" t="s">
        <v>1364</v>
      </c>
      <c r="F2445" t="s">
        <v>1372</v>
      </c>
      <c r="G2445">
        <v>-31</v>
      </c>
      <c r="H2445">
        <v>2544</v>
      </c>
      <c r="K2445" t="s">
        <v>1383</v>
      </c>
    </row>
    <row r="2446" spans="1:11" x14ac:dyDescent="0.25">
      <c r="A2446" s="40">
        <v>45925.533530092594</v>
      </c>
      <c r="B2446" t="s">
        <v>1783</v>
      </c>
      <c r="C2446" t="s">
        <v>456</v>
      </c>
      <c r="D2446" t="s">
        <v>457</v>
      </c>
      <c r="E2446" t="s">
        <v>1364</v>
      </c>
      <c r="F2446" t="s">
        <v>1372</v>
      </c>
      <c r="G2446">
        <v>-189</v>
      </c>
      <c r="H2446">
        <v>3418</v>
      </c>
      <c r="K2446" t="s">
        <v>1383</v>
      </c>
    </row>
    <row r="2447" spans="1:11" x14ac:dyDescent="0.25">
      <c r="A2447" s="40">
        <v>45925.533530092594</v>
      </c>
      <c r="B2447" t="s">
        <v>1783</v>
      </c>
      <c r="C2447" t="s">
        <v>44</v>
      </c>
      <c r="D2447" t="s">
        <v>392</v>
      </c>
      <c r="E2447" t="s">
        <v>1364</v>
      </c>
      <c r="F2447" t="s">
        <v>1372</v>
      </c>
      <c r="G2447">
        <v>-189</v>
      </c>
      <c r="H2447">
        <v>9200</v>
      </c>
      <c r="K2447" t="s">
        <v>1383</v>
      </c>
    </row>
    <row r="2448" spans="1:11" x14ac:dyDescent="0.25">
      <c r="A2448" s="40">
        <v>45925.533530092594</v>
      </c>
      <c r="B2448" t="s">
        <v>1783</v>
      </c>
      <c r="C2448" t="s">
        <v>412</v>
      </c>
      <c r="D2448" t="s">
        <v>413</v>
      </c>
      <c r="E2448" t="s">
        <v>1364</v>
      </c>
      <c r="F2448" t="s">
        <v>1372</v>
      </c>
      <c r="G2448">
        <v>-665</v>
      </c>
      <c r="H2448">
        <v>2538</v>
      </c>
      <c r="K2448" t="s">
        <v>1383</v>
      </c>
    </row>
    <row r="2449" spans="1:11" x14ac:dyDescent="0.25">
      <c r="A2449" s="40">
        <v>45925.533530092594</v>
      </c>
      <c r="B2449" t="s">
        <v>1783</v>
      </c>
      <c r="C2449" t="s">
        <v>1761</v>
      </c>
      <c r="E2449" t="s">
        <v>1365</v>
      </c>
      <c r="F2449" t="s">
        <v>1372</v>
      </c>
      <c r="G2449">
        <v>-12</v>
      </c>
      <c r="H2449">
        <v>351</v>
      </c>
      <c r="K2449" t="s">
        <v>1383</v>
      </c>
    </row>
    <row r="2450" spans="1:11" x14ac:dyDescent="0.25">
      <c r="A2450" s="40">
        <v>45925.533530092594</v>
      </c>
      <c r="B2450" t="s">
        <v>1783</v>
      </c>
      <c r="C2450" t="s">
        <v>1352</v>
      </c>
      <c r="E2450" t="s">
        <v>1365</v>
      </c>
      <c r="F2450" t="s">
        <v>1372</v>
      </c>
      <c r="G2450">
        <v>-362</v>
      </c>
      <c r="H2450">
        <v>395</v>
      </c>
      <c r="K2450" t="s">
        <v>1383</v>
      </c>
    </row>
    <row r="2451" spans="1:11" x14ac:dyDescent="0.25">
      <c r="A2451" s="40">
        <v>45925.533530092594</v>
      </c>
      <c r="B2451" t="s">
        <v>1783</v>
      </c>
      <c r="C2451" t="s">
        <v>360</v>
      </c>
      <c r="D2451" t="s">
        <v>361</v>
      </c>
      <c r="E2451" t="s">
        <v>1364</v>
      </c>
      <c r="F2451" t="s">
        <v>1372</v>
      </c>
      <c r="G2451">
        <v>-31</v>
      </c>
      <c r="H2451">
        <v>480</v>
      </c>
      <c r="K2451" t="s">
        <v>1383</v>
      </c>
    </row>
    <row r="2452" spans="1:11" x14ac:dyDescent="0.25">
      <c r="A2452" s="40">
        <v>45925.533530092594</v>
      </c>
      <c r="B2452" t="s">
        <v>1783</v>
      </c>
      <c r="C2452" t="s">
        <v>296</v>
      </c>
      <c r="D2452" t="s">
        <v>297</v>
      </c>
      <c r="E2452" t="s">
        <v>1364</v>
      </c>
      <c r="F2452" t="s">
        <v>1372</v>
      </c>
      <c r="G2452">
        <v>-56</v>
      </c>
      <c r="H2452">
        <v>4166</v>
      </c>
      <c r="K2452" t="s">
        <v>1383</v>
      </c>
    </row>
    <row r="2453" spans="1:11" x14ac:dyDescent="0.25">
      <c r="A2453" s="40">
        <v>45925.533530092594</v>
      </c>
      <c r="B2453" t="s">
        <v>1783</v>
      </c>
      <c r="C2453" t="s">
        <v>29</v>
      </c>
      <c r="D2453" t="s">
        <v>383</v>
      </c>
      <c r="E2453" t="s">
        <v>1364</v>
      </c>
      <c r="F2453" t="s">
        <v>1372</v>
      </c>
      <c r="G2453">
        <v>-74</v>
      </c>
      <c r="H2453">
        <v>8454</v>
      </c>
      <c r="K2453" t="s">
        <v>1383</v>
      </c>
    </row>
    <row r="2454" spans="1:11" x14ac:dyDescent="0.25">
      <c r="A2454" s="40">
        <v>45925.533530092594</v>
      </c>
      <c r="B2454" t="s">
        <v>1783</v>
      </c>
      <c r="C2454" t="s">
        <v>15</v>
      </c>
      <c r="D2454" t="s">
        <v>474</v>
      </c>
      <c r="E2454" t="s">
        <v>1364</v>
      </c>
      <c r="F2454" t="s">
        <v>1372</v>
      </c>
      <c r="G2454">
        <v>-102</v>
      </c>
      <c r="H2454">
        <v>11506</v>
      </c>
      <c r="K2454" t="s">
        <v>1383</v>
      </c>
    </row>
    <row r="2455" spans="1:11" x14ac:dyDescent="0.25">
      <c r="A2455" s="40">
        <v>45925.533530092594</v>
      </c>
      <c r="B2455" t="s">
        <v>1783</v>
      </c>
      <c r="C2455" t="s">
        <v>428</v>
      </c>
      <c r="D2455" t="s">
        <v>429</v>
      </c>
      <c r="E2455" t="s">
        <v>1364</v>
      </c>
      <c r="F2455" t="s">
        <v>1372</v>
      </c>
      <c r="G2455">
        <v>-155</v>
      </c>
      <c r="H2455">
        <v>5374</v>
      </c>
      <c r="K2455" t="s">
        <v>1383</v>
      </c>
    </row>
    <row r="2456" spans="1:11" x14ac:dyDescent="0.25">
      <c r="A2456" s="40">
        <v>45925.533530092594</v>
      </c>
      <c r="B2456" t="s">
        <v>1783</v>
      </c>
      <c r="C2456" t="s">
        <v>418</v>
      </c>
      <c r="D2456" t="s">
        <v>419</v>
      </c>
      <c r="E2456" t="s">
        <v>1364</v>
      </c>
      <c r="F2456" t="s">
        <v>1372</v>
      </c>
      <c r="G2456">
        <v>-56</v>
      </c>
      <c r="H2456">
        <v>436</v>
      </c>
      <c r="K2456" t="s">
        <v>1383</v>
      </c>
    </row>
    <row r="2457" spans="1:11" x14ac:dyDescent="0.25">
      <c r="A2457" s="40">
        <v>45925.533530092594</v>
      </c>
      <c r="B2457" t="s">
        <v>1783</v>
      </c>
      <c r="C2457" t="s">
        <v>18</v>
      </c>
      <c r="D2457" t="s">
        <v>487</v>
      </c>
      <c r="E2457" t="s">
        <v>1364</v>
      </c>
      <c r="F2457" t="s">
        <v>1372</v>
      </c>
      <c r="G2457">
        <v>-68</v>
      </c>
      <c r="H2457">
        <v>4039</v>
      </c>
      <c r="K2457" t="s">
        <v>1383</v>
      </c>
    </row>
    <row r="2458" spans="1:11" x14ac:dyDescent="0.25">
      <c r="A2458" s="40">
        <v>45925.533530092594</v>
      </c>
      <c r="B2458" t="s">
        <v>1783</v>
      </c>
      <c r="C2458" t="s">
        <v>3</v>
      </c>
      <c r="D2458" t="s">
        <v>287</v>
      </c>
      <c r="E2458" t="s">
        <v>1364</v>
      </c>
      <c r="F2458" t="s">
        <v>1372</v>
      </c>
      <c r="G2458">
        <v>-90</v>
      </c>
      <c r="H2458">
        <v>6787</v>
      </c>
      <c r="K2458" t="s">
        <v>1383</v>
      </c>
    </row>
    <row r="2459" spans="1:11" x14ac:dyDescent="0.25">
      <c r="A2459" s="40">
        <v>45925.533530092594</v>
      </c>
      <c r="B2459" t="s">
        <v>1783</v>
      </c>
      <c r="C2459" t="s">
        <v>82</v>
      </c>
      <c r="D2459" t="s">
        <v>318</v>
      </c>
      <c r="E2459" t="s">
        <v>1364</v>
      </c>
      <c r="F2459" t="s">
        <v>1372</v>
      </c>
      <c r="G2459">
        <v>-68</v>
      </c>
      <c r="H2459">
        <v>3311</v>
      </c>
      <c r="K2459" t="s">
        <v>1383</v>
      </c>
    </row>
    <row r="2460" spans="1:11" x14ac:dyDescent="0.25">
      <c r="A2460" s="40">
        <v>45925.533530092594</v>
      </c>
      <c r="B2460" t="s">
        <v>1783</v>
      </c>
      <c r="C2460" t="s">
        <v>256</v>
      </c>
      <c r="D2460" t="s">
        <v>257</v>
      </c>
      <c r="E2460" t="s">
        <v>1364</v>
      </c>
      <c r="F2460" t="s">
        <v>1372</v>
      </c>
      <c r="G2460">
        <v>-22</v>
      </c>
      <c r="H2460">
        <v>1608</v>
      </c>
      <c r="K2460" t="s">
        <v>1383</v>
      </c>
    </row>
    <row r="2461" spans="1:11" x14ac:dyDescent="0.25">
      <c r="A2461" s="40">
        <v>45925.533530092594</v>
      </c>
      <c r="B2461" t="s">
        <v>1783</v>
      </c>
      <c r="C2461" t="s">
        <v>1</v>
      </c>
      <c r="D2461" t="s">
        <v>250</v>
      </c>
      <c r="E2461" t="s">
        <v>1364</v>
      </c>
      <c r="F2461" t="s">
        <v>1372</v>
      </c>
      <c r="G2461">
        <v>-941</v>
      </c>
      <c r="H2461">
        <v>-519</v>
      </c>
      <c r="K2461" t="s">
        <v>1383</v>
      </c>
    </row>
    <row r="2462" spans="1:11" x14ac:dyDescent="0.25">
      <c r="A2462" s="40">
        <v>45925.533530092594</v>
      </c>
      <c r="B2462" t="s">
        <v>1783</v>
      </c>
      <c r="C2462" t="s">
        <v>36</v>
      </c>
      <c r="D2462" t="s">
        <v>385</v>
      </c>
      <c r="E2462" t="s">
        <v>1364</v>
      </c>
      <c r="F2462" t="s">
        <v>1372</v>
      </c>
      <c r="G2462">
        <v>-1012</v>
      </c>
      <c r="H2462">
        <v>1794</v>
      </c>
      <c r="K2462" t="s">
        <v>1383</v>
      </c>
    </row>
    <row r="2463" spans="1:11" x14ac:dyDescent="0.25">
      <c r="A2463" s="40">
        <v>45925.533530092594</v>
      </c>
      <c r="B2463" t="s">
        <v>1783</v>
      </c>
      <c r="C2463" t="s">
        <v>2</v>
      </c>
      <c r="D2463" t="s">
        <v>266</v>
      </c>
      <c r="E2463" t="s">
        <v>1364</v>
      </c>
      <c r="F2463" t="s">
        <v>1372</v>
      </c>
      <c r="G2463">
        <v>-153</v>
      </c>
      <c r="H2463">
        <v>3354</v>
      </c>
      <c r="K2463" t="s">
        <v>1383</v>
      </c>
    </row>
    <row r="2464" spans="1:11" x14ac:dyDescent="0.25">
      <c r="A2464" s="40">
        <v>45925.533530092594</v>
      </c>
      <c r="B2464" t="s">
        <v>1783</v>
      </c>
      <c r="C2464" t="s">
        <v>62</v>
      </c>
      <c r="D2464" t="s">
        <v>354</v>
      </c>
      <c r="E2464" t="s">
        <v>1364</v>
      </c>
      <c r="F2464" t="s">
        <v>1372</v>
      </c>
      <c r="G2464">
        <v>-123</v>
      </c>
      <c r="H2464">
        <v>3427</v>
      </c>
      <c r="K2464" t="s">
        <v>1383</v>
      </c>
    </row>
    <row r="2465" spans="1:11" x14ac:dyDescent="0.25">
      <c r="A2465" s="40">
        <v>45925.533530092594</v>
      </c>
      <c r="B2465" t="s">
        <v>1783</v>
      </c>
      <c r="C2465" t="s">
        <v>85</v>
      </c>
      <c r="D2465" t="s">
        <v>320</v>
      </c>
      <c r="E2465" t="s">
        <v>1364</v>
      </c>
      <c r="F2465" t="s">
        <v>1372</v>
      </c>
      <c r="G2465">
        <v>-530</v>
      </c>
      <c r="H2465">
        <v>4925</v>
      </c>
      <c r="K2465" t="s">
        <v>1383</v>
      </c>
    </row>
    <row r="2466" spans="1:11" x14ac:dyDescent="0.25">
      <c r="A2466" s="40">
        <v>45925.533530092594</v>
      </c>
      <c r="B2466" t="s">
        <v>1783</v>
      </c>
      <c r="C2466" t="s">
        <v>97</v>
      </c>
      <c r="D2466" t="s">
        <v>407</v>
      </c>
      <c r="E2466" t="s">
        <v>1364</v>
      </c>
      <c r="F2466" t="s">
        <v>1372</v>
      </c>
      <c r="G2466">
        <v>-60</v>
      </c>
      <c r="H2466">
        <v>5316</v>
      </c>
      <c r="K2466" t="s">
        <v>1383</v>
      </c>
    </row>
    <row r="2467" spans="1:11" x14ac:dyDescent="0.25">
      <c r="A2467" s="40">
        <v>45925.533530092594</v>
      </c>
      <c r="B2467" t="s">
        <v>1783</v>
      </c>
      <c r="C2467" t="s">
        <v>102</v>
      </c>
      <c r="D2467" t="s">
        <v>508</v>
      </c>
      <c r="E2467" t="s">
        <v>1364</v>
      </c>
      <c r="F2467" t="s">
        <v>1372</v>
      </c>
      <c r="G2467">
        <v>-60</v>
      </c>
      <c r="H2467">
        <v>4509</v>
      </c>
      <c r="K2467" t="s">
        <v>1383</v>
      </c>
    </row>
    <row r="2468" spans="1:11" x14ac:dyDescent="0.25">
      <c r="A2468" s="40">
        <v>45925.533530092594</v>
      </c>
      <c r="B2468" t="s">
        <v>1783</v>
      </c>
      <c r="C2468" t="s">
        <v>61</v>
      </c>
      <c r="D2468" t="s">
        <v>353</v>
      </c>
      <c r="E2468" t="s">
        <v>1364</v>
      </c>
      <c r="F2468" t="s">
        <v>1372</v>
      </c>
      <c r="G2468">
        <v>-219</v>
      </c>
      <c r="H2468">
        <v>4437</v>
      </c>
      <c r="K2468" t="s">
        <v>1383</v>
      </c>
    </row>
    <row r="2469" spans="1:11" x14ac:dyDescent="0.25">
      <c r="A2469" s="40">
        <v>45925.533530092594</v>
      </c>
      <c r="B2469" t="s">
        <v>1783</v>
      </c>
      <c r="C2469" t="s">
        <v>60</v>
      </c>
      <c r="D2469" t="s">
        <v>350</v>
      </c>
      <c r="E2469" t="s">
        <v>1364</v>
      </c>
      <c r="F2469" t="s">
        <v>1372</v>
      </c>
      <c r="G2469">
        <v>-391</v>
      </c>
      <c r="H2469">
        <v>2651</v>
      </c>
      <c r="K2469" t="s">
        <v>1383</v>
      </c>
    </row>
    <row r="2470" spans="1:11" x14ac:dyDescent="0.25">
      <c r="A2470" s="40">
        <v>45925.533530092594</v>
      </c>
      <c r="B2470" t="s">
        <v>1783</v>
      </c>
      <c r="C2470" t="s">
        <v>47</v>
      </c>
      <c r="D2470" t="s">
        <v>395</v>
      </c>
      <c r="E2470" t="s">
        <v>1364</v>
      </c>
      <c r="F2470" t="s">
        <v>1372</v>
      </c>
      <c r="G2470">
        <v>-167</v>
      </c>
      <c r="H2470">
        <v>20796</v>
      </c>
      <c r="K2470" t="s">
        <v>1383</v>
      </c>
    </row>
    <row r="2471" spans="1:11" x14ac:dyDescent="0.25">
      <c r="A2471" s="40">
        <v>45925.533530092594</v>
      </c>
      <c r="B2471" t="s">
        <v>1783</v>
      </c>
      <c r="C2471" t="s">
        <v>445</v>
      </c>
      <c r="D2471" t="s">
        <v>446</v>
      </c>
      <c r="E2471" t="s">
        <v>1364</v>
      </c>
      <c r="F2471" t="s">
        <v>1372</v>
      </c>
      <c r="G2471">
        <v>-42</v>
      </c>
      <c r="H2471">
        <v>2868</v>
      </c>
      <c r="K2471" t="s">
        <v>1383</v>
      </c>
    </row>
    <row r="2472" spans="1:11" x14ac:dyDescent="0.25">
      <c r="A2472" s="40">
        <v>45925.533530092594</v>
      </c>
      <c r="B2472" t="s">
        <v>1783</v>
      </c>
      <c r="C2472" t="s">
        <v>92</v>
      </c>
      <c r="D2472" t="s">
        <v>403</v>
      </c>
      <c r="E2472" t="s">
        <v>1364</v>
      </c>
      <c r="F2472" t="s">
        <v>1372</v>
      </c>
      <c r="G2472">
        <v>-107</v>
      </c>
      <c r="H2472">
        <v>2722</v>
      </c>
      <c r="K2472" t="s">
        <v>1383</v>
      </c>
    </row>
    <row r="2473" spans="1:11" x14ac:dyDescent="0.25">
      <c r="A2473" s="40">
        <v>45925.533530092594</v>
      </c>
      <c r="B2473" t="s">
        <v>1783</v>
      </c>
      <c r="C2473" t="s">
        <v>1751</v>
      </c>
      <c r="E2473" t="s">
        <v>1364</v>
      </c>
      <c r="F2473" t="s">
        <v>1372</v>
      </c>
      <c r="G2473">
        <v>-14</v>
      </c>
      <c r="H2473">
        <v>418</v>
      </c>
      <c r="K2473" t="s">
        <v>1383</v>
      </c>
    </row>
    <row r="2474" spans="1:11" x14ac:dyDescent="0.25">
      <c r="A2474" s="40">
        <v>45925.533530092594</v>
      </c>
      <c r="B2474" t="s">
        <v>1783</v>
      </c>
      <c r="C2474" t="s">
        <v>1353</v>
      </c>
      <c r="E2474" t="s">
        <v>1365</v>
      </c>
      <c r="F2474" t="s">
        <v>1372</v>
      </c>
      <c r="G2474">
        <v>-155</v>
      </c>
      <c r="H2474">
        <v>1812</v>
      </c>
      <c r="K2474" t="s">
        <v>1383</v>
      </c>
    </row>
    <row r="2475" spans="1:11" x14ac:dyDescent="0.25">
      <c r="A2475" s="40">
        <v>45925.533530092594</v>
      </c>
      <c r="B2475" t="s">
        <v>1783</v>
      </c>
      <c r="C2475" t="s">
        <v>8</v>
      </c>
      <c r="D2475" t="s">
        <v>311</v>
      </c>
      <c r="E2475" t="s">
        <v>1364</v>
      </c>
      <c r="F2475" t="s">
        <v>1372</v>
      </c>
      <c r="G2475">
        <v>-38</v>
      </c>
      <c r="H2475">
        <v>534</v>
      </c>
      <c r="K2475" t="s">
        <v>1383</v>
      </c>
    </row>
    <row r="2476" spans="1:11" x14ac:dyDescent="0.25">
      <c r="A2476" s="40">
        <v>45925.533530092594</v>
      </c>
      <c r="B2476" t="s">
        <v>1783</v>
      </c>
      <c r="C2476" t="s">
        <v>339</v>
      </c>
      <c r="D2476" t="s">
        <v>340</v>
      </c>
      <c r="E2476" t="s">
        <v>1364</v>
      </c>
      <c r="F2476" t="s">
        <v>1372</v>
      </c>
      <c r="G2476">
        <v>-62</v>
      </c>
      <c r="H2476">
        <v>2093</v>
      </c>
      <c r="K2476" t="s">
        <v>1383</v>
      </c>
    </row>
    <row r="2477" spans="1:11" x14ac:dyDescent="0.25">
      <c r="A2477" s="40">
        <v>45925.533530092594</v>
      </c>
      <c r="B2477" t="s">
        <v>1783</v>
      </c>
      <c r="C2477" t="s">
        <v>27</v>
      </c>
      <c r="D2477" t="s">
        <v>381</v>
      </c>
      <c r="E2477" t="s">
        <v>1364</v>
      </c>
      <c r="F2477" t="s">
        <v>1372</v>
      </c>
      <c r="G2477">
        <v>-155</v>
      </c>
      <c r="H2477">
        <v>39720</v>
      </c>
      <c r="K2477" t="s">
        <v>1383</v>
      </c>
    </row>
    <row r="2478" spans="1:11" x14ac:dyDescent="0.25">
      <c r="A2478" s="40">
        <v>45925.533530092594</v>
      </c>
      <c r="B2478" t="s">
        <v>1783</v>
      </c>
      <c r="C2478" t="s">
        <v>32</v>
      </c>
      <c r="D2478" t="s">
        <v>384</v>
      </c>
      <c r="E2478" t="s">
        <v>1364</v>
      </c>
      <c r="F2478" t="s">
        <v>1372</v>
      </c>
      <c r="G2478">
        <v>-38</v>
      </c>
      <c r="H2478">
        <v>3098</v>
      </c>
      <c r="K2478" t="s">
        <v>1383</v>
      </c>
    </row>
    <row r="2479" spans="1:11" x14ac:dyDescent="0.25">
      <c r="A2479" s="40">
        <v>45925.533530092594</v>
      </c>
      <c r="B2479" t="s">
        <v>1783</v>
      </c>
      <c r="C2479" t="s">
        <v>460</v>
      </c>
      <c r="D2479" t="s">
        <v>461</v>
      </c>
      <c r="E2479" t="s">
        <v>1364</v>
      </c>
      <c r="F2479" t="s">
        <v>1372</v>
      </c>
      <c r="G2479">
        <v>-38</v>
      </c>
      <c r="H2479">
        <v>3154</v>
      </c>
      <c r="K2479" t="s">
        <v>1383</v>
      </c>
    </row>
    <row r="2480" spans="1:11" x14ac:dyDescent="0.25">
      <c r="A2480" s="40">
        <v>45925.533530092594</v>
      </c>
      <c r="B2480" t="s">
        <v>1783</v>
      </c>
      <c r="C2480" t="s">
        <v>31</v>
      </c>
      <c r="D2480" t="s">
        <v>493</v>
      </c>
      <c r="E2480" t="s">
        <v>1364</v>
      </c>
      <c r="F2480" t="s">
        <v>1372</v>
      </c>
      <c r="G2480">
        <v>-114</v>
      </c>
      <c r="H2480">
        <v>3029</v>
      </c>
      <c r="K2480" t="s">
        <v>1383</v>
      </c>
    </row>
    <row r="2481" spans="1:11" x14ac:dyDescent="0.25">
      <c r="A2481" s="40">
        <v>45925.533530092594</v>
      </c>
      <c r="B2481" t="s">
        <v>1783</v>
      </c>
      <c r="C2481" t="s">
        <v>20</v>
      </c>
      <c r="D2481" t="s">
        <v>498</v>
      </c>
      <c r="E2481" t="s">
        <v>1364</v>
      </c>
      <c r="F2481" t="s">
        <v>1372</v>
      </c>
      <c r="G2481">
        <v>-256</v>
      </c>
      <c r="H2481">
        <v>21526</v>
      </c>
      <c r="K2481" t="s">
        <v>1383</v>
      </c>
    </row>
    <row r="2482" spans="1:11" x14ac:dyDescent="0.25">
      <c r="A2482" s="40">
        <v>45925.533530092594</v>
      </c>
      <c r="B2482" t="s">
        <v>1783</v>
      </c>
      <c r="C2482" t="s">
        <v>5</v>
      </c>
      <c r="D2482" t="s">
        <v>389</v>
      </c>
      <c r="E2482" t="s">
        <v>1364</v>
      </c>
      <c r="F2482" t="s">
        <v>1372</v>
      </c>
      <c r="G2482">
        <v>-90</v>
      </c>
      <c r="H2482">
        <v>10070</v>
      </c>
      <c r="K2482" t="s">
        <v>1383</v>
      </c>
    </row>
    <row r="2483" spans="1:11" x14ac:dyDescent="0.25">
      <c r="A2483" s="40">
        <v>45925.533530092594</v>
      </c>
      <c r="B2483" t="s">
        <v>1783</v>
      </c>
      <c r="C2483" t="s">
        <v>1750</v>
      </c>
      <c r="E2483" t="s">
        <v>1365</v>
      </c>
      <c r="F2483" t="s">
        <v>1372</v>
      </c>
      <c r="G2483">
        <v>-66</v>
      </c>
      <c r="H2483">
        <v>34</v>
      </c>
      <c r="K2483" t="s">
        <v>1383</v>
      </c>
    </row>
    <row r="2484" spans="1:11" x14ac:dyDescent="0.25">
      <c r="A2484" s="40">
        <v>45925.564756944441</v>
      </c>
      <c r="B2484" t="s">
        <v>1784</v>
      </c>
      <c r="C2484" t="s">
        <v>296</v>
      </c>
      <c r="D2484" t="s">
        <v>297</v>
      </c>
      <c r="E2484" t="s">
        <v>1364</v>
      </c>
      <c r="F2484" t="s">
        <v>1372</v>
      </c>
      <c r="G2484">
        <v>-58</v>
      </c>
      <c r="H2484">
        <v>4108</v>
      </c>
      <c r="K2484" t="s">
        <v>1383</v>
      </c>
    </row>
    <row r="2485" spans="1:11" x14ac:dyDescent="0.25">
      <c r="A2485" s="40">
        <v>45925.564756944441</v>
      </c>
      <c r="B2485" t="s">
        <v>1784</v>
      </c>
      <c r="C2485" t="s">
        <v>279</v>
      </c>
      <c r="D2485" t="s">
        <v>280</v>
      </c>
      <c r="E2485" t="s">
        <v>1364</v>
      </c>
      <c r="F2485" t="s">
        <v>1372</v>
      </c>
      <c r="G2485">
        <v>-38</v>
      </c>
      <c r="H2485">
        <v>613</v>
      </c>
      <c r="K2485" t="s">
        <v>1383</v>
      </c>
    </row>
    <row r="2486" spans="1:11" x14ac:dyDescent="0.25">
      <c r="A2486" s="40">
        <v>45925.564756944441</v>
      </c>
      <c r="B2486" t="s">
        <v>1784</v>
      </c>
      <c r="C2486" t="s">
        <v>7</v>
      </c>
      <c r="D2486" t="s">
        <v>307</v>
      </c>
      <c r="E2486" t="s">
        <v>1364</v>
      </c>
      <c r="F2486" t="s">
        <v>1372</v>
      </c>
      <c r="G2486">
        <v>-98</v>
      </c>
      <c r="H2486">
        <v>7690</v>
      </c>
      <c r="K2486" t="s">
        <v>1383</v>
      </c>
    </row>
    <row r="2487" spans="1:11" x14ac:dyDescent="0.25">
      <c r="A2487" s="40">
        <v>45925.564756944441</v>
      </c>
      <c r="B2487" t="s">
        <v>1784</v>
      </c>
      <c r="C2487" t="s">
        <v>57</v>
      </c>
      <c r="D2487" t="s">
        <v>314</v>
      </c>
      <c r="E2487" t="s">
        <v>1364</v>
      </c>
      <c r="F2487" t="s">
        <v>1372</v>
      </c>
      <c r="G2487">
        <v>-26</v>
      </c>
      <c r="H2487">
        <v>4881</v>
      </c>
      <c r="K2487" t="s">
        <v>1383</v>
      </c>
    </row>
    <row r="2488" spans="1:11" x14ac:dyDescent="0.25">
      <c r="A2488" s="40">
        <v>45925.564756944441</v>
      </c>
      <c r="B2488" t="s">
        <v>1784</v>
      </c>
      <c r="C2488" t="s">
        <v>56</v>
      </c>
      <c r="D2488" t="s">
        <v>313</v>
      </c>
      <c r="E2488" t="s">
        <v>1364</v>
      </c>
      <c r="F2488" t="s">
        <v>1372</v>
      </c>
      <c r="G2488">
        <v>-37</v>
      </c>
      <c r="H2488">
        <v>2977</v>
      </c>
      <c r="K2488" t="s">
        <v>1383</v>
      </c>
    </row>
    <row r="2489" spans="1:11" x14ac:dyDescent="0.25">
      <c r="A2489" s="40">
        <v>45925.564756944441</v>
      </c>
      <c r="B2489" t="s">
        <v>1784</v>
      </c>
      <c r="C2489" t="s">
        <v>230</v>
      </c>
      <c r="D2489" t="s">
        <v>255</v>
      </c>
      <c r="E2489" t="s">
        <v>1364</v>
      </c>
      <c r="F2489" t="s">
        <v>1372</v>
      </c>
      <c r="G2489">
        <v>-31</v>
      </c>
      <c r="H2489">
        <v>3091</v>
      </c>
      <c r="K2489" t="s">
        <v>1383</v>
      </c>
    </row>
    <row r="2490" spans="1:11" x14ac:dyDescent="0.25">
      <c r="A2490" s="40">
        <v>45925.564756944441</v>
      </c>
      <c r="B2490" t="s">
        <v>1784</v>
      </c>
      <c r="C2490" t="s">
        <v>75</v>
      </c>
      <c r="D2490" t="s">
        <v>251</v>
      </c>
      <c r="E2490" t="s">
        <v>1364</v>
      </c>
      <c r="F2490" t="s">
        <v>1372</v>
      </c>
      <c r="G2490">
        <v>-35</v>
      </c>
      <c r="H2490">
        <v>2478</v>
      </c>
      <c r="K2490" t="s">
        <v>1383</v>
      </c>
    </row>
    <row r="2491" spans="1:11" x14ac:dyDescent="0.25">
      <c r="A2491" s="40">
        <v>45925.564756944441</v>
      </c>
      <c r="B2491" t="s">
        <v>1784</v>
      </c>
      <c r="C2491" t="s">
        <v>326</v>
      </c>
      <c r="D2491" t="s">
        <v>327</v>
      </c>
      <c r="E2491" t="s">
        <v>1364</v>
      </c>
      <c r="F2491" t="s">
        <v>1372</v>
      </c>
      <c r="G2491">
        <v>-23</v>
      </c>
      <c r="H2491">
        <v>1226</v>
      </c>
      <c r="K2491" t="s">
        <v>1383</v>
      </c>
    </row>
    <row r="2492" spans="1:11" x14ac:dyDescent="0.25">
      <c r="A2492" s="40">
        <v>45925.564756944441</v>
      </c>
      <c r="B2492" t="s">
        <v>1784</v>
      </c>
      <c r="C2492" t="s">
        <v>330</v>
      </c>
      <c r="D2492" t="s">
        <v>331</v>
      </c>
      <c r="E2492" t="s">
        <v>1364</v>
      </c>
      <c r="F2492" t="s">
        <v>1372</v>
      </c>
      <c r="G2492">
        <v>-39</v>
      </c>
      <c r="H2492">
        <v>964</v>
      </c>
      <c r="K2492" t="s">
        <v>1383</v>
      </c>
    </row>
    <row r="2493" spans="1:11" x14ac:dyDescent="0.25">
      <c r="A2493" s="40">
        <v>45925.564756944441</v>
      </c>
      <c r="B2493" t="s">
        <v>1784</v>
      </c>
      <c r="C2493" t="s">
        <v>82</v>
      </c>
      <c r="D2493" t="s">
        <v>318</v>
      </c>
      <c r="E2493" t="s">
        <v>1364</v>
      </c>
      <c r="F2493" t="s">
        <v>1372</v>
      </c>
      <c r="G2493">
        <v>-175</v>
      </c>
      <c r="H2493">
        <v>3136</v>
      </c>
      <c r="K2493" t="s">
        <v>1383</v>
      </c>
    </row>
    <row r="2494" spans="1:11" x14ac:dyDescent="0.25">
      <c r="A2494" s="40">
        <v>45925.564756944441</v>
      </c>
      <c r="B2494" t="s">
        <v>1784</v>
      </c>
      <c r="C2494" t="s">
        <v>335</v>
      </c>
      <c r="D2494" t="s">
        <v>336</v>
      </c>
      <c r="E2494" t="s">
        <v>1364</v>
      </c>
      <c r="F2494" t="s">
        <v>1372</v>
      </c>
      <c r="G2494">
        <v>-33</v>
      </c>
      <c r="H2494">
        <v>5308</v>
      </c>
      <c r="K2494" t="s">
        <v>1383</v>
      </c>
    </row>
    <row r="2495" spans="1:11" x14ac:dyDescent="0.25">
      <c r="A2495" s="40">
        <v>45925.564756944441</v>
      </c>
      <c r="B2495" t="s">
        <v>1784</v>
      </c>
      <c r="C2495" t="s">
        <v>229</v>
      </c>
      <c r="D2495" t="s">
        <v>321</v>
      </c>
      <c r="E2495" t="s">
        <v>1364</v>
      </c>
      <c r="F2495" t="s">
        <v>1372</v>
      </c>
      <c r="G2495">
        <v>-26</v>
      </c>
      <c r="H2495">
        <v>7432</v>
      </c>
      <c r="K2495" t="s">
        <v>1383</v>
      </c>
    </row>
    <row r="2496" spans="1:11" x14ac:dyDescent="0.25">
      <c r="A2496" s="40">
        <v>45925.564756944441</v>
      </c>
      <c r="B2496" t="s">
        <v>1784</v>
      </c>
      <c r="C2496" t="s">
        <v>63</v>
      </c>
      <c r="D2496" t="s">
        <v>355</v>
      </c>
      <c r="E2496" t="s">
        <v>1364</v>
      </c>
      <c r="F2496" t="s">
        <v>1372</v>
      </c>
      <c r="G2496">
        <v>-36</v>
      </c>
      <c r="H2496">
        <v>2195</v>
      </c>
      <c r="K2496" t="s">
        <v>1383</v>
      </c>
    </row>
    <row r="2497" spans="1:11" x14ac:dyDescent="0.25">
      <c r="A2497" s="40">
        <v>45925.564756944441</v>
      </c>
      <c r="B2497" t="s">
        <v>1784</v>
      </c>
      <c r="C2497" t="s">
        <v>370</v>
      </c>
      <c r="D2497" t="s">
        <v>371</v>
      </c>
      <c r="E2497" t="s">
        <v>1364</v>
      </c>
      <c r="F2497" t="s">
        <v>1372</v>
      </c>
      <c r="G2497">
        <v>-23</v>
      </c>
      <c r="H2497">
        <v>2391</v>
      </c>
      <c r="K2497" t="s">
        <v>1383</v>
      </c>
    </row>
    <row r="2498" spans="1:11" x14ac:dyDescent="0.25">
      <c r="A2498" s="40">
        <v>45925.564756944441</v>
      </c>
      <c r="B2498" t="s">
        <v>1784</v>
      </c>
      <c r="C2498" t="s">
        <v>1762</v>
      </c>
      <c r="E2498" t="s">
        <v>1364</v>
      </c>
      <c r="F2498" t="s">
        <v>1372</v>
      </c>
      <c r="G2498">
        <v>-26</v>
      </c>
      <c r="H2498">
        <v>248</v>
      </c>
      <c r="K2498" t="s">
        <v>1383</v>
      </c>
    </row>
    <row r="2499" spans="1:11" x14ac:dyDescent="0.25">
      <c r="A2499" s="40">
        <v>45925.564756944441</v>
      </c>
      <c r="B2499" t="s">
        <v>1784</v>
      </c>
      <c r="C2499" t="s">
        <v>68</v>
      </c>
      <c r="D2499" t="s">
        <v>374</v>
      </c>
      <c r="E2499" t="s">
        <v>1364</v>
      </c>
      <c r="F2499" t="s">
        <v>1372</v>
      </c>
      <c r="G2499">
        <v>-118</v>
      </c>
      <c r="H2499">
        <v>2078</v>
      </c>
      <c r="K2499" t="s">
        <v>1383</v>
      </c>
    </row>
    <row r="2500" spans="1:11" x14ac:dyDescent="0.25">
      <c r="A2500" s="40">
        <v>45925.564756944441</v>
      </c>
      <c r="B2500" t="s">
        <v>1784</v>
      </c>
      <c r="C2500" t="s">
        <v>69</v>
      </c>
      <c r="D2500" t="s">
        <v>375</v>
      </c>
      <c r="E2500" t="s">
        <v>1364</v>
      </c>
      <c r="F2500" t="s">
        <v>1372</v>
      </c>
      <c r="G2500">
        <v>-115</v>
      </c>
      <c r="H2500">
        <v>5023</v>
      </c>
      <c r="K2500" t="s">
        <v>1383</v>
      </c>
    </row>
    <row r="2501" spans="1:11" x14ac:dyDescent="0.25">
      <c r="A2501" s="40">
        <v>45925.564756944441</v>
      </c>
      <c r="B2501" t="s">
        <v>1784</v>
      </c>
      <c r="C2501" t="s">
        <v>47</v>
      </c>
      <c r="D2501" t="s">
        <v>395</v>
      </c>
      <c r="E2501" t="s">
        <v>1364</v>
      </c>
      <c r="F2501" t="s">
        <v>1372</v>
      </c>
      <c r="G2501">
        <v>-52</v>
      </c>
      <c r="H2501">
        <v>20744</v>
      </c>
      <c r="K2501" t="s">
        <v>1383</v>
      </c>
    </row>
    <row r="2502" spans="1:11" x14ac:dyDescent="0.25">
      <c r="A2502" s="40">
        <v>45925.564756944441</v>
      </c>
      <c r="B2502" t="s">
        <v>1784</v>
      </c>
      <c r="C2502" t="s">
        <v>29</v>
      </c>
      <c r="D2502" t="s">
        <v>383</v>
      </c>
      <c r="E2502" t="s">
        <v>1364</v>
      </c>
      <c r="F2502" t="s">
        <v>1372</v>
      </c>
      <c r="G2502">
        <v>-323</v>
      </c>
      <c r="H2502">
        <v>8131</v>
      </c>
      <c r="K2502" t="s">
        <v>1383</v>
      </c>
    </row>
    <row r="2503" spans="1:11" x14ac:dyDescent="0.25">
      <c r="A2503" s="40">
        <v>45925.564756944441</v>
      </c>
      <c r="B2503" t="s">
        <v>1784</v>
      </c>
      <c r="C2503" t="s">
        <v>32</v>
      </c>
      <c r="D2503" t="s">
        <v>384</v>
      </c>
      <c r="E2503" t="s">
        <v>1364</v>
      </c>
      <c r="F2503" t="s">
        <v>1372</v>
      </c>
      <c r="G2503">
        <v>-99</v>
      </c>
      <c r="H2503">
        <v>2999</v>
      </c>
      <c r="K2503" t="s">
        <v>1383</v>
      </c>
    </row>
    <row r="2504" spans="1:11" x14ac:dyDescent="0.25">
      <c r="A2504" s="40">
        <v>45925.564756944441</v>
      </c>
      <c r="B2504" t="s">
        <v>1784</v>
      </c>
      <c r="C2504" t="s">
        <v>462</v>
      </c>
      <c r="D2504" t="s">
        <v>463</v>
      </c>
      <c r="E2504" t="s">
        <v>1364</v>
      </c>
      <c r="F2504" t="s">
        <v>1372</v>
      </c>
      <c r="G2504">
        <v>-33</v>
      </c>
      <c r="H2504">
        <v>2677</v>
      </c>
      <c r="K2504" t="s">
        <v>1383</v>
      </c>
    </row>
    <row r="2505" spans="1:11" x14ac:dyDescent="0.25">
      <c r="A2505" s="40">
        <v>45925.564756944441</v>
      </c>
      <c r="B2505" t="s">
        <v>1784</v>
      </c>
      <c r="C2505" t="s">
        <v>18</v>
      </c>
      <c r="D2505" t="s">
        <v>487</v>
      </c>
      <c r="E2505" t="s">
        <v>1364</v>
      </c>
      <c r="F2505" t="s">
        <v>1372</v>
      </c>
      <c r="G2505">
        <v>-115</v>
      </c>
      <c r="H2505">
        <v>3924</v>
      </c>
      <c r="K2505" t="s">
        <v>1383</v>
      </c>
    </row>
    <row r="2506" spans="1:11" x14ac:dyDescent="0.25">
      <c r="A2506" s="40">
        <v>45925.564756944441</v>
      </c>
      <c r="B2506" t="s">
        <v>1784</v>
      </c>
      <c r="C2506" t="s">
        <v>90</v>
      </c>
      <c r="D2506" t="s">
        <v>503</v>
      </c>
      <c r="E2506" t="s">
        <v>1364</v>
      </c>
      <c r="F2506" t="s">
        <v>1372</v>
      </c>
      <c r="G2506">
        <v>-29</v>
      </c>
      <c r="H2506">
        <v>4135</v>
      </c>
      <c r="K2506" t="s">
        <v>1383</v>
      </c>
    </row>
    <row r="2507" spans="1:11" x14ac:dyDescent="0.25">
      <c r="A2507" s="40">
        <v>45925.564756944441</v>
      </c>
      <c r="B2507" t="s">
        <v>1784</v>
      </c>
      <c r="C2507" t="s">
        <v>435</v>
      </c>
      <c r="D2507" t="s">
        <v>436</v>
      </c>
      <c r="E2507" t="s">
        <v>1364</v>
      </c>
      <c r="F2507" t="s">
        <v>1372</v>
      </c>
      <c r="G2507">
        <v>-32</v>
      </c>
      <c r="H2507">
        <v>4312</v>
      </c>
      <c r="K2507" t="s">
        <v>1383</v>
      </c>
    </row>
    <row r="2508" spans="1:11" x14ac:dyDescent="0.25">
      <c r="A2508" s="40">
        <v>45925.564756944441</v>
      </c>
      <c r="B2508" t="s">
        <v>1784</v>
      </c>
      <c r="C2508" t="s">
        <v>26</v>
      </c>
      <c r="D2508" t="s">
        <v>380</v>
      </c>
      <c r="E2508" t="s">
        <v>1364</v>
      </c>
      <c r="F2508" t="s">
        <v>1372</v>
      </c>
      <c r="G2508">
        <v>-23</v>
      </c>
      <c r="H2508">
        <v>3388</v>
      </c>
      <c r="K2508" t="s">
        <v>1383</v>
      </c>
    </row>
    <row r="2509" spans="1:11" x14ac:dyDescent="0.25">
      <c r="A2509" s="40">
        <v>45925.564756944441</v>
      </c>
      <c r="B2509" t="s">
        <v>1784</v>
      </c>
      <c r="C2509" t="s">
        <v>13</v>
      </c>
      <c r="D2509" t="s">
        <v>453</v>
      </c>
      <c r="E2509" t="s">
        <v>1364</v>
      </c>
      <c r="F2509" t="s">
        <v>1372</v>
      </c>
      <c r="G2509">
        <v>-32</v>
      </c>
      <c r="H2509">
        <v>2314</v>
      </c>
      <c r="K2509" t="s">
        <v>1383</v>
      </c>
    </row>
    <row r="2510" spans="1:11" x14ac:dyDescent="0.25">
      <c r="A2510" s="40">
        <v>45925.564756944441</v>
      </c>
      <c r="B2510" t="s">
        <v>1784</v>
      </c>
      <c r="C2510" t="s">
        <v>28</v>
      </c>
      <c r="D2510" t="s">
        <v>382</v>
      </c>
      <c r="E2510" t="s">
        <v>1364</v>
      </c>
      <c r="F2510" t="s">
        <v>1372</v>
      </c>
      <c r="G2510">
        <v>-23</v>
      </c>
      <c r="H2510">
        <v>2831</v>
      </c>
      <c r="K2510" t="s">
        <v>1383</v>
      </c>
    </row>
    <row r="2511" spans="1:11" x14ac:dyDescent="0.25">
      <c r="A2511" s="40">
        <v>45925.564756944441</v>
      </c>
      <c r="B2511" t="s">
        <v>1784</v>
      </c>
      <c r="C2511" t="s">
        <v>89</v>
      </c>
      <c r="D2511" t="s">
        <v>359</v>
      </c>
      <c r="E2511" t="s">
        <v>1364</v>
      </c>
      <c r="F2511" t="s">
        <v>1372</v>
      </c>
      <c r="G2511">
        <v>-38</v>
      </c>
      <c r="H2511">
        <v>1073</v>
      </c>
      <c r="K2511" t="s">
        <v>1383</v>
      </c>
    </row>
    <row r="2512" spans="1:11" x14ac:dyDescent="0.25">
      <c r="A2512" s="40">
        <v>45925.564756944441</v>
      </c>
      <c r="B2512" t="s">
        <v>1784</v>
      </c>
      <c r="C2512" t="s">
        <v>24</v>
      </c>
      <c r="D2512" t="s">
        <v>378</v>
      </c>
      <c r="E2512" t="s">
        <v>1364</v>
      </c>
      <c r="F2512" t="s">
        <v>1372</v>
      </c>
      <c r="G2512">
        <v>-50</v>
      </c>
      <c r="H2512">
        <v>216</v>
      </c>
      <c r="K2512" t="s">
        <v>1383</v>
      </c>
    </row>
    <row r="2513" spans="1:11" x14ac:dyDescent="0.25">
      <c r="A2513" s="40">
        <v>45925.564756944441</v>
      </c>
      <c r="B2513" t="s">
        <v>1784</v>
      </c>
      <c r="C2513" t="s">
        <v>15</v>
      </c>
      <c r="D2513" t="s">
        <v>474</v>
      </c>
      <c r="E2513" t="s">
        <v>1364</v>
      </c>
      <c r="F2513" t="s">
        <v>1372</v>
      </c>
      <c r="G2513">
        <v>-191</v>
      </c>
      <c r="H2513">
        <v>11315</v>
      </c>
      <c r="K2513" t="s">
        <v>1383</v>
      </c>
    </row>
    <row r="2514" spans="1:11" x14ac:dyDescent="0.25">
      <c r="A2514" s="40">
        <v>45925.564756944441</v>
      </c>
      <c r="B2514" t="s">
        <v>1784</v>
      </c>
      <c r="C2514" t="s">
        <v>1761</v>
      </c>
      <c r="E2514" t="s">
        <v>1365</v>
      </c>
      <c r="F2514" t="s">
        <v>1372</v>
      </c>
      <c r="G2514">
        <v>-4</v>
      </c>
      <c r="H2514">
        <v>347</v>
      </c>
      <c r="K2514" t="s">
        <v>1383</v>
      </c>
    </row>
    <row r="2515" spans="1:11" x14ac:dyDescent="0.25">
      <c r="A2515" s="40">
        <v>45925.564756944441</v>
      </c>
      <c r="B2515" t="s">
        <v>1784</v>
      </c>
      <c r="C2515" t="s">
        <v>1351</v>
      </c>
      <c r="E2515" t="s">
        <v>1365</v>
      </c>
      <c r="F2515" t="s">
        <v>1372</v>
      </c>
      <c r="G2515">
        <v>-4</v>
      </c>
      <c r="H2515">
        <v>-70</v>
      </c>
      <c r="K2515" t="s">
        <v>1383</v>
      </c>
    </row>
    <row r="2516" spans="1:11" x14ac:dyDescent="0.25">
      <c r="A2516" s="40">
        <v>45925.564756944441</v>
      </c>
      <c r="B2516" t="s">
        <v>1784</v>
      </c>
      <c r="C2516" t="s">
        <v>8</v>
      </c>
      <c r="D2516" t="s">
        <v>311</v>
      </c>
      <c r="E2516" t="s">
        <v>1364</v>
      </c>
      <c r="F2516" t="s">
        <v>1372</v>
      </c>
      <c r="G2516">
        <v>-102</v>
      </c>
      <c r="H2516">
        <v>432</v>
      </c>
      <c r="K2516" t="s">
        <v>1383</v>
      </c>
    </row>
    <row r="2517" spans="1:11" x14ac:dyDescent="0.25">
      <c r="A2517" s="40">
        <v>45925.564756944441</v>
      </c>
      <c r="B2517" t="s">
        <v>1784</v>
      </c>
      <c r="C2517" t="s">
        <v>1</v>
      </c>
      <c r="D2517" t="s">
        <v>250</v>
      </c>
      <c r="E2517" t="s">
        <v>1364</v>
      </c>
      <c r="F2517" t="s">
        <v>1372</v>
      </c>
      <c r="G2517">
        <v>-350</v>
      </c>
      <c r="H2517">
        <v>-869</v>
      </c>
      <c r="K2517" t="s">
        <v>1383</v>
      </c>
    </row>
    <row r="2518" spans="1:11" x14ac:dyDescent="0.25">
      <c r="A2518" s="40">
        <v>45925.564756944441</v>
      </c>
      <c r="B2518" t="s">
        <v>1784</v>
      </c>
      <c r="C2518" t="s">
        <v>60</v>
      </c>
      <c r="D2518" t="s">
        <v>350</v>
      </c>
      <c r="E2518" t="s">
        <v>1364</v>
      </c>
      <c r="F2518" t="s">
        <v>1372</v>
      </c>
      <c r="G2518">
        <v>-52</v>
      </c>
      <c r="H2518">
        <v>2599</v>
      </c>
      <c r="K2518" t="s">
        <v>1383</v>
      </c>
    </row>
    <row r="2519" spans="1:11" x14ac:dyDescent="0.25">
      <c r="A2519" s="40">
        <v>45925.564756944441</v>
      </c>
      <c r="B2519" t="s">
        <v>1784</v>
      </c>
      <c r="C2519" t="s">
        <v>339</v>
      </c>
      <c r="D2519" t="s">
        <v>340</v>
      </c>
      <c r="E2519" t="s">
        <v>1364</v>
      </c>
      <c r="F2519" t="s">
        <v>1372</v>
      </c>
      <c r="G2519">
        <v>-26</v>
      </c>
      <c r="H2519">
        <v>2067</v>
      </c>
      <c r="K2519" t="s">
        <v>1383</v>
      </c>
    </row>
    <row r="2520" spans="1:11" x14ac:dyDescent="0.25">
      <c r="A2520" s="40">
        <v>45925.564756944441</v>
      </c>
      <c r="B2520" t="s">
        <v>1784</v>
      </c>
      <c r="C2520" t="s">
        <v>62</v>
      </c>
      <c r="D2520" t="s">
        <v>354</v>
      </c>
      <c r="E2520" t="s">
        <v>1364</v>
      </c>
      <c r="F2520" t="s">
        <v>1372</v>
      </c>
      <c r="G2520">
        <v>-28</v>
      </c>
      <c r="H2520">
        <v>3399</v>
      </c>
      <c r="K2520" t="s">
        <v>1383</v>
      </c>
    </row>
    <row r="2521" spans="1:11" x14ac:dyDescent="0.25">
      <c r="A2521" s="40">
        <v>45925.564756944441</v>
      </c>
      <c r="B2521" t="s">
        <v>1784</v>
      </c>
      <c r="C2521" t="s">
        <v>11</v>
      </c>
      <c r="D2521" t="s">
        <v>411</v>
      </c>
      <c r="E2521" t="s">
        <v>1364</v>
      </c>
      <c r="F2521" t="s">
        <v>1372</v>
      </c>
      <c r="G2521">
        <v>-53</v>
      </c>
      <c r="H2521">
        <v>3203</v>
      </c>
      <c r="K2521" t="s">
        <v>1383</v>
      </c>
    </row>
    <row r="2522" spans="1:11" x14ac:dyDescent="0.25">
      <c r="A2522" s="40">
        <v>45925.564756944441</v>
      </c>
      <c r="B2522" t="s">
        <v>1784</v>
      </c>
      <c r="C2522" t="s">
        <v>27</v>
      </c>
      <c r="D2522" t="s">
        <v>381</v>
      </c>
      <c r="E2522" t="s">
        <v>1364</v>
      </c>
      <c r="F2522" t="s">
        <v>1372</v>
      </c>
      <c r="G2522">
        <v>-327</v>
      </c>
      <c r="H2522">
        <v>39393</v>
      </c>
      <c r="K2522" t="s">
        <v>1383</v>
      </c>
    </row>
    <row r="2523" spans="1:11" x14ac:dyDescent="0.25">
      <c r="A2523" s="40">
        <v>45925.564756944441</v>
      </c>
      <c r="B2523" t="s">
        <v>1784</v>
      </c>
      <c r="C2523" t="s">
        <v>21</v>
      </c>
      <c r="D2523" t="s">
        <v>488</v>
      </c>
      <c r="E2523" t="s">
        <v>1364</v>
      </c>
      <c r="F2523" t="s">
        <v>1372</v>
      </c>
      <c r="G2523">
        <v>-23</v>
      </c>
      <c r="H2523">
        <v>12317</v>
      </c>
      <c r="K2523" t="s">
        <v>1383</v>
      </c>
    </row>
    <row r="2524" spans="1:11" x14ac:dyDescent="0.25">
      <c r="A2524" s="40">
        <v>45925.564756944441</v>
      </c>
      <c r="B2524" t="s">
        <v>1784</v>
      </c>
      <c r="C2524" t="s">
        <v>31</v>
      </c>
      <c r="D2524" t="s">
        <v>493</v>
      </c>
      <c r="E2524" t="s">
        <v>1364</v>
      </c>
      <c r="F2524" t="s">
        <v>1372</v>
      </c>
      <c r="G2524">
        <v>-58</v>
      </c>
      <c r="H2524">
        <v>2971</v>
      </c>
      <c r="K2524" t="s">
        <v>1383</v>
      </c>
    </row>
    <row r="2525" spans="1:11" x14ac:dyDescent="0.25">
      <c r="A2525" s="40">
        <v>45925.564756944441</v>
      </c>
      <c r="B2525" t="s">
        <v>1784</v>
      </c>
      <c r="C2525" t="s">
        <v>101</v>
      </c>
      <c r="D2525" t="s">
        <v>507</v>
      </c>
      <c r="E2525" t="s">
        <v>1364</v>
      </c>
      <c r="F2525" t="s">
        <v>1372</v>
      </c>
      <c r="G2525">
        <v>-23</v>
      </c>
      <c r="H2525">
        <v>4755</v>
      </c>
      <c r="K2525" t="s">
        <v>1383</v>
      </c>
    </row>
    <row r="2526" spans="1:11" x14ac:dyDescent="0.25">
      <c r="A2526" s="40">
        <v>45925.564756944441</v>
      </c>
      <c r="B2526" t="s">
        <v>1784</v>
      </c>
      <c r="C2526" t="s">
        <v>92</v>
      </c>
      <c r="D2526" t="s">
        <v>403</v>
      </c>
      <c r="E2526" t="s">
        <v>1364</v>
      </c>
      <c r="F2526" t="s">
        <v>1372</v>
      </c>
      <c r="G2526">
        <v>-32</v>
      </c>
      <c r="H2526">
        <v>2690</v>
      </c>
      <c r="K2526" t="s">
        <v>1383</v>
      </c>
    </row>
    <row r="2527" spans="1:11" x14ac:dyDescent="0.25">
      <c r="A2527" s="40">
        <v>45925.564756944441</v>
      </c>
      <c r="B2527" t="s">
        <v>1784</v>
      </c>
      <c r="C2527" t="s">
        <v>14</v>
      </c>
      <c r="D2527" t="s">
        <v>483</v>
      </c>
      <c r="E2527" t="s">
        <v>1364</v>
      </c>
      <c r="F2527" t="s">
        <v>1372</v>
      </c>
      <c r="G2527">
        <v>-26</v>
      </c>
      <c r="H2527">
        <v>1394</v>
      </c>
      <c r="K2527" t="s">
        <v>1383</v>
      </c>
    </row>
    <row r="2528" spans="1:11" x14ac:dyDescent="0.25">
      <c r="A2528" s="40">
        <v>45925.564756944441</v>
      </c>
      <c r="B2528" t="s">
        <v>1784</v>
      </c>
      <c r="C2528" t="s">
        <v>20</v>
      </c>
      <c r="D2528" t="s">
        <v>498</v>
      </c>
      <c r="E2528" t="s">
        <v>1364</v>
      </c>
      <c r="F2528" t="s">
        <v>1372</v>
      </c>
      <c r="G2528">
        <v>-197</v>
      </c>
      <c r="H2528">
        <v>21329</v>
      </c>
      <c r="K2528" t="s">
        <v>1383</v>
      </c>
    </row>
    <row r="2529" spans="1:12" x14ac:dyDescent="0.25">
      <c r="A2529" s="40">
        <v>45925.564756944441</v>
      </c>
      <c r="B2529" t="s">
        <v>1784</v>
      </c>
      <c r="C2529" t="s">
        <v>1353</v>
      </c>
      <c r="E2529" t="s">
        <v>1365</v>
      </c>
      <c r="F2529" t="s">
        <v>1372</v>
      </c>
      <c r="G2529">
        <v>-34</v>
      </c>
      <c r="H2529">
        <v>1778</v>
      </c>
      <c r="K2529" t="s">
        <v>1383</v>
      </c>
    </row>
    <row r="2530" spans="1:12" x14ac:dyDescent="0.25">
      <c r="A2530" s="40">
        <v>45925.564756944441</v>
      </c>
      <c r="B2530" t="s">
        <v>1784</v>
      </c>
      <c r="C2530" t="s">
        <v>1750</v>
      </c>
      <c r="E2530" t="s">
        <v>1365</v>
      </c>
      <c r="F2530" t="s">
        <v>1372</v>
      </c>
      <c r="G2530">
        <v>-127</v>
      </c>
      <c r="H2530">
        <v>-93</v>
      </c>
      <c r="K2530" t="s">
        <v>1383</v>
      </c>
    </row>
    <row r="2531" spans="1:12" x14ac:dyDescent="0.25">
      <c r="A2531" s="40">
        <v>45925.564756944441</v>
      </c>
      <c r="B2531" t="s">
        <v>1784</v>
      </c>
      <c r="C2531" t="s">
        <v>1751</v>
      </c>
      <c r="E2531" t="s">
        <v>1364</v>
      </c>
      <c r="F2531" t="s">
        <v>1372</v>
      </c>
      <c r="G2531">
        <v>-5</v>
      </c>
      <c r="H2531">
        <v>413</v>
      </c>
      <c r="K2531" t="s">
        <v>1383</v>
      </c>
    </row>
    <row r="2532" spans="1:12" x14ac:dyDescent="0.25">
      <c r="A2532" s="40">
        <v>45925.564756944441</v>
      </c>
      <c r="B2532" t="s">
        <v>1784</v>
      </c>
      <c r="C2532" t="s">
        <v>418</v>
      </c>
      <c r="D2532" t="s">
        <v>419</v>
      </c>
      <c r="E2532" t="s">
        <v>1364</v>
      </c>
      <c r="F2532" t="s">
        <v>1372</v>
      </c>
      <c r="G2532">
        <v>-30</v>
      </c>
      <c r="H2532">
        <v>406</v>
      </c>
      <c r="K2532" t="s">
        <v>1383</v>
      </c>
    </row>
    <row r="2533" spans="1:12" x14ac:dyDescent="0.25">
      <c r="A2533" s="40">
        <v>45925.564756944441</v>
      </c>
      <c r="B2533" t="s">
        <v>1784</v>
      </c>
      <c r="C2533" t="s">
        <v>441</v>
      </c>
      <c r="D2533" t="s">
        <v>442</v>
      </c>
      <c r="E2533" t="s">
        <v>1364</v>
      </c>
      <c r="F2533" t="s">
        <v>1372</v>
      </c>
      <c r="G2533">
        <v>-25</v>
      </c>
      <c r="H2533">
        <v>335</v>
      </c>
      <c r="K2533" t="s">
        <v>1383</v>
      </c>
    </row>
    <row r="2534" spans="1:12" x14ac:dyDescent="0.25">
      <c r="A2534" s="40">
        <v>45925.564756944441</v>
      </c>
      <c r="B2534" t="s">
        <v>1784</v>
      </c>
      <c r="C2534" t="s">
        <v>343</v>
      </c>
      <c r="D2534" t="s">
        <v>344</v>
      </c>
      <c r="E2534" t="s">
        <v>1364</v>
      </c>
      <c r="F2534" t="s">
        <v>1372</v>
      </c>
      <c r="G2534">
        <v>-25</v>
      </c>
      <c r="H2534">
        <v>1597</v>
      </c>
      <c r="K2534" t="s">
        <v>1383</v>
      </c>
    </row>
    <row r="2535" spans="1:12" x14ac:dyDescent="0.25">
      <c r="A2535" s="40">
        <v>45925.564756944441</v>
      </c>
      <c r="B2535" t="s">
        <v>1784</v>
      </c>
      <c r="C2535" t="s">
        <v>1763</v>
      </c>
      <c r="E2535" t="s">
        <v>1364</v>
      </c>
      <c r="F2535" t="s">
        <v>1372</v>
      </c>
      <c r="G2535">
        <v>-25</v>
      </c>
      <c r="H2535">
        <v>2420</v>
      </c>
      <c r="K2535" t="s">
        <v>1383</v>
      </c>
    </row>
    <row r="2536" spans="1:12" x14ac:dyDescent="0.25">
      <c r="A2536" s="40">
        <v>45926.481354166666</v>
      </c>
      <c r="B2536" t="s">
        <v>1783</v>
      </c>
      <c r="C2536" t="s">
        <v>1351</v>
      </c>
      <c r="E2536" t="s">
        <v>1365</v>
      </c>
      <c r="F2536" t="s">
        <v>695</v>
      </c>
      <c r="G2536">
        <v>100</v>
      </c>
      <c r="H2536">
        <v>30</v>
      </c>
      <c r="I2536" t="s">
        <v>1410</v>
      </c>
      <c r="K2536" t="s">
        <v>1465</v>
      </c>
      <c r="L2536">
        <v>1440</v>
      </c>
    </row>
    <row r="2537" spans="1:12" x14ac:dyDescent="0.25">
      <c r="A2537" s="40">
        <v>45926.481354166666</v>
      </c>
      <c r="B2537" t="s">
        <v>1783</v>
      </c>
      <c r="C2537" t="s">
        <v>1483</v>
      </c>
      <c r="E2537" t="s">
        <v>1365</v>
      </c>
      <c r="F2537" t="s">
        <v>695</v>
      </c>
      <c r="G2537">
        <v>18</v>
      </c>
      <c r="H2537">
        <v>14</v>
      </c>
      <c r="I2537" t="s">
        <v>1505</v>
      </c>
      <c r="K2537" t="s">
        <v>1465</v>
      </c>
      <c r="L2537">
        <v>53.55</v>
      </c>
    </row>
    <row r="2538" spans="1:12" x14ac:dyDescent="0.25">
      <c r="A2538" s="40">
        <v>45926.564027777778</v>
      </c>
      <c r="B2538" t="s">
        <v>1784</v>
      </c>
      <c r="C2538" t="s">
        <v>1750</v>
      </c>
      <c r="E2538" t="s">
        <v>1365</v>
      </c>
      <c r="F2538" t="s">
        <v>695</v>
      </c>
      <c r="G2538">
        <v>2500</v>
      </c>
      <c r="H2538">
        <v>2407</v>
      </c>
      <c r="I2538" t="s">
        <v>699</v>
      </c>
      <c r="K2538" t="s">
        <v>1465</v>
      </c>
      <c r="L2538">
        <v>482.99999999999994</v>
      </c>
    </row>
    <row r="2539" spans="1:12" x14ac:dyDescent="0.25">
      <c r="A2539" s="40">
        <v>45929.345682870371</v>
      </c>
      <c r="B2539" t="s">
        <v>1785</v>
      </c>
      <c r="C2539" t="s">
        <v>1772</v>
      </c>
      <c r="E2539" t="s">
        <v>1365</v>
      </c>
      <c r="F2539" t="s">
        <v>1372</v>
      </c>
      <c r="G2539">
        <v>-16</v>
      </c>
      <c r="H2539">
        <v>27</v>
      </c>
      <c r="K2539" t="s">
        <v>1383</v>
      </c>
    </row>
    <row r="2540" spans="1:12" x14ac:dyDescent="0.25">
      <c r="A2540" s="40">
        <v>45929.345682870371</v>
      </c>
      <c r="B2540" t="s">
        <v>1785</v>
      </c>
      <c r="C2540" t="s">
        <v>472</v>
      </c>
      <c r="D2540" t="s">
        <v>473</v>
      </c>
      <c r="E2540" t="s">
        <v>1364</v>
      </c>
      <c r="F2540" t="s">
        <v>1372</v>
      </c>
      <c r="G2540">
        <v>-25</v>
      </c>
      <c r="H2540">
        <v>4740</v>
      </c>
      <c r="K2540" t="s">
        <v>1383</v>
      </c>
    </row>
    <row r="2541" spans="1:12" x14ac:dyDescent="0.25">
      <c r="A2541" s="40">
        <v>45929.345682870371</v>
      </c>
      <c r="B2541" t="s">
        <v>1785</v>
      </c>
      <c r="C2541" t="s">
        <v>62</v>
      </c>
      <c r="D2541" t="s">
        <v>354</v>
      </c>
      <c r="E2541" t="s">
        <v>1364</v>
      </c>
      <c r="F2541" t="s">
        <v>1372</v>
      </c>
      <c r="G2541">
        <v>-22</v>
      </c>
      <c r="H2541">
        <v>3377</v>
      </c>
      <c r="K2541" t="s">
        <v>1383</v>
      </c>
    </row>
    <row r="2542" spans="1:12" x14ac:dyDescent="0.25">
      <c r="A2542" s="40">
        <v>45929.345682870371</v>
      </c>
      <c r="B2542" t="s">
        <v>1785</v>
      </c>
      <c r="C2542" t="s">
        <v>437</v>
      </c>
      <c r="D2542" t="s">
        <v>438</v>
      </c>
      <c r="E2542" t="s">
        <v>1364</v>
      </c>
      <c r="F2542" t="s">
        <v>1372</v>
      </c>
      <c r="G2542">
        <v>-40</v>
      </c>
      <c r="H2542">
        <v>2504</v>
      </c>
      <c r="K2542" t="s">
        <v>1383</v>
      </c>
    </row>
    <row r="2543" spans="1:12" x14ac:dyDescent="0.25">
      <c r="A2543" s="40">
        <v>45929.345682870371</v>
      </c>
      <c r="B2543" t="s">
        <v>1785</v>
      </c>
      <c r="C2543" t="s">
        <v>294</v>
      </c>
      <c r="D2543" t="s">
        <v>295</v>
      </c>
      <c r="E2543" t="s">
        <v>1364</v>
      </c>
      <c r="F2543" t="s">
        <v>1372</v>
      </c>
      <c r="G2543">
        <v>-60</v>
      </c>
      <c r="H2543">
        <v>2210</v>
      </c>
      <c r="K2543" t="s">
        <v>1383</v>
      </c>
    </row>
    <row r="2544" spans="1:12" x14ac:dyDescent="0.25">
      <c r="A2544" s="40">
        <v>45929.345682870371</v>
      </c>
      <c r="B2544" t="s">
        <v>1785</v>
      </c>
      <c r="C2544" t="s">
        <v>285</v>
      </c>
      <c r="D2544" t="s">
        <v>286</v>
      </c>
      <c r="E2544" t="s">
        <v>1364</v>
      </c>
      <c r="F2544" t="s">
        <v>1372</v>
      </c>
      <c r="G2544">
        <v>-25</v>
      </c>
      <c r="H2544">
        <v>2700</v>
      </c>
      <c r="K2544" t="s">
        <v>1383</v>
      </c>
    </row>
    <row r="2545" spans="1:11" x14ac:dyDescent="0.25">
      <c r="A2545" s="40">
        <v>45929.345682870371</v>
      </c>
      <c r="B2545" t="s">
        <v>1785</v>
      </c>
      <c r="C2545" t="s">
        <v>290</v>
      </c>
      <c r="D2545" t="s">
        <v>291</v>
      </c>
      <c r="E2545" t="s">
        <v>1364</v>
      </c>
      <c r="F2545" t="s">
        <v>1372</v>
      </c>
      <c r="G2545">
        <v>-25</v>
      </c>
      <c r="H2545">
        <v>1760</v>
      </c>
      <c r="K2545" t="s">
        <v>1383</v>
      </c>
    </row>
    <row r="2546" spans="1:11" x14ac:dyDescent="0.25">
      <c r="A2546" s="40">
        <v>45929.345682870371</v>
      </c>
      <c r="B2546" t="s">
        <v>1785</v>
      </c>
      <c r="C2546" t="s">
        <v>84</v>
      </c>
      <c r="D2546" t="s">
        <v>319</v>
      </c>
      <c r="E2546" t="s">
        <v>1364</v>
      </c>
      <c r="F2546" t="s">
        <v>1372</v>
      </c>
      <c r="G2546">
        <v>-40</v>
      </c>
      <c r="H2546">
        <v>1794</v>
      </c>
      <c r="K2546" t="s">
        <v>1383</v>
      </c>
    </row>
    <row r="2547" spans="1:11" x14ac:dyDescent="0.25">
      <c r="A2547" s="40">
        <v>45929.345682870371</v>
      </c>
      <c r="B2547" t="s">
        <v>1785</v>
      </c>
      <c r="C2547" t="s">
        <v>362</v>
      </c>
      <c r="D2547" t="s">
        <v>363</v>
      </c>
      <c r="E2547" t="s">
        <v>1364</v>
      </c>
      <c r="F2547" t="s">
        <v>1372</v>
      </c>
      <c r="G2547">
        <v>-35</v>
      </c>
      <c r="H2547">
        <v>1690</v>
      </c>
      <c r="K2547" t="s">
        <v>1383</v>
      </c>
    </row>
    <row r="2548" spans="1:11" x14ac:dyDescent="0.25">
      <c r="A2548" s="40">
        <v>45929.345682870371</v>
      </c>
      <c r="B2548" t="s">
        <v>1785</v>
      </c>
      <c r="C2548" t="s">
        <v>283</v>
      </c>
      <c r="D2548" t="s">
        <v>284</v>
      </c>
      <c r="E2548" t="s">
        <v>1364</v>
      </c>
      <c r="F2548" t="s">
        <v>1372</v>
      </c>
      <c r="G2548">
        <v>-40</v>
      </c>
      <c r="H2548">
        <v>2110</v>
      </c>
      <c r="K2548" t="s">
        <v>1383</v>
      </c>
    </row>
    <row r="2549" spans="1:11" x14ac:dyDescent="0.25">
      <c r="A2549" s="40">
        <v>45929.345682870371</v>
      </c>
      <c r="B2549" t="s">
        <v>1785</v>
      </c>
      <c r="C2549" t="s">
        <v>81</v>
      </c>
      <c r="D2549" t="s">
        <v>317</v>
      </c>
      <c r="E2549" t="s">
        <v>1364</v>
      </c>
      <c r="F2549" t="s">
        <v>1372</v>
      </c>
      <c r="G2549">
        <v>-70</v>
      </c>
      <c r="H2549">
        <v>3494</v>
      </c>
      <c r="K2549" t="s">
        <v>1383</v>
      </c>
    </row>
    <row r="2550" spans="1:11" x14ac:dyDescent="0.25">
      <c r="A2550" s="40">
        <v>45929.345682870371</v>
      </c>
      <c r="B2550" t="s">
        <v>1785</v>
      </c>
      <c r="C2550" t="s">
        <v>256</v>
      </c>
      <c r="D2550" t="s">
        <v>257</v>
      </c>
      <c r="E2550" t="s">
        <v>1364</v>
      </c>
      <c r="F2550" t="s">
        <v>1372</v>
      </c>
      <c r="G2550">
        <v>-60</v>
      </c>
      <c r="H2550">
        <v>1548</v>
      </c>
      <c r="K2550" t="s">
        <v>1383</v>
      </c>
    </row>
    <row r="2551" spans="1:11" x14ac:dyDescent="0.25">
      <c r="A2551" s="40">
        <v>45929.345682870371</v>
      </c>
      <c r="B2551" t="s">
        <v>1785</v>
      </c>
      <c r="C2551" t="s">
        <v>53</v>
      </c>
      <c r="D2551" t="s">
        <v>398</v>
      </c>
      <c r="E2551" t="s">
        <v>1364</v>
      </c>
      <c r="F2551" t="s">
        <v>1372</v>
      </c>
      <c r="G2551">
        <v>-30</v>
      </c>
      <c r="H2551">
        <v>1160</v>
      </c>
      <c r="K2551" t="s">
        <v>1383</v>
      </c>
    </row>
    <row r="2552" spans="1:11" x14ac:dyDescent="0.25">
      <c r="A2552" s="40">
        <v>45929.345682870371</v>
      </c>
      <c r="B2552" t="s">
        <v>1785</v>
      </c>
      <c r="C2552" t="s">
        <v>433</v>
      </c>
      <c r="D2552" t="s">
        <v>434</v>
      </c>
      <c r="E2552" t="s">
        <v>1364</v>
      </c>
      <c r="F2552" t="s">
        <v>1372</v>
      </c>
      <c r="G2552">
        <v>-40</v>
      </c>
      <c r="H2552">
        <v>4220</v>
      </c>
      <c r="K2552" t="s">
        <v>1383</v>
      </c>
    </row>
    <row r="2553" spans="1:11" x14ac:dyDescent="0.25">
      <c r="A2553" s="40">
        <v>45929.345682870371</v>
      </c>
      <c r="B2553" t="s">
        <v>1785</v>
      </c>
      <c r="C2553" t="s">
        <v>337</v>
      </c>
      <c r="D2553" t="s">
        <v>338</v>
      </c>
      <c r="E2553" t="s">
        <v>1364</v>
      </c>
      <c r="F2553" t="s">
        <v>1372</v>
      </c>
      <c r="G2553">
        <v>-50</v>
      </c>
      <c r="H2553">
        <v>2724</v>
      </c>
      <c r="K2553" t="s">
        <v>1383</v>
      </c>
    </row>
    <row r="2554" spans="1:11" x14ac:dyDescent="0.25">
      <c r="A2554" s="40">
        <v>45929.345682870371</v>
      </c>
      <c r="B2554" t="s">
        <v>1785</v>
      </c>
      <c r="C2554" t="s">
        <v>422</v>
      </c>
      <c r="D2554" t="s">
        <v>423</v>
      </c>
      <c r="E2554" t="s">
        <v>1364</v>
      </c>
      <c r="F2554" t="s">
        <v>1372</v>
      </c>
      <c r="G2554">
        <v>-25</v>
      </c>
      <c r="H2554">
        <v>4750</v>
      </c>
      <c r="K2554" t="s">
        <v>1383</v>
      </c>
    </row>
    <row r="2555" spans="1:11" x14ac:dyDescent="0.25">
      <c r="A2555" s="40">
        <v>45929.345682870371</v>
      </c>
      <c r="B2555" t="s">
        <v>1785</v>
      </c>
      <c r="C2555" t="s">
        <v>60</v>
      </c>
      <c r="D2555" t="s">
        <v>350</v>
      </c>
      <c r="E2555" t="s">
        <v>1364</v>
      </c>
      <c r="F2555" t="s">
        <v>1372</v>
      </c>
      <c r="G2555">
        <v>-25</v>
      </c>
      <c r="H2555">
        <v>2574</v>
      </c>
      <c r="K2555" t="s">
        <v>1383</v>
      </c>
    </row>
    <row r="2556" spans="1:11" x14ac:dyDescent="0.25">
      <c r="A2556" s="40">
        <v>45929.345682870371</v>
      </c>
      <c r="B2556" t="s">
        <v>1785</v>
      </c>
      <c r="C2556" t="s">
        <v>54</v>
      </c>
      <c r="D2556" t="s">
        <v>399</v>
      </c>
      <c r="E2556" t="s">
        <v>1364</v>
      </c>
      <c r="F2556" t="s">
        <v>1372</v>
      </c>
      <c r="G2556">
        <v>-30</v>
      </c>
      <c r="H2556">
        <v>1633</v>
      </c>
      <c r="K2556" t="s">
        <v>1383</v>
      </c>
    </row>
    <row r="2557" spans="1:11" x14ac:dyDescent="0.25">
      <c r="A2557" s="40">
        <v>45929.345682870371</v>
      </c>
      <c r="B2557" t="s">
        <v>1785</v>
      </c>
      <c r="C2557" t="s">
        <v>82</v>
      </c>
      <c r="D2557" t="s">
        <v>318</v>
      </c>
      <c r="E2557" t="s">
        <v>1364</v>
      </c>
      <c r="F2557" t="s">
        <v>1372</v>
      </c>
      <c r="G2557">
        <v>-25</v>
      </c>
      <c r="H2557">
        <v>3111</v>
      </c>
      <c r="K2557" t="s">
        <v>1383</v>
      </c>
    </row>
    <row r="2558" spans="1:11" x14ac:dyDescent="0.25">
      <c r="A2558" s="40">
        <v>45929.345682870371</v>
      </c>
      <c r="B2558" t="s">
        <v>1785</v>
      </c>
      <c r="C2558" t="s">
        <v>67</v>
      </c>
      <c r="D2558" t="s">
        <v>373</v>
      </c>
      <c r="E2558" t="s">
        <v>1364</v>
      </c>
      <c r="F2558" t="s">
        <v>1372</v>
      </c>
      <c r="G2558">
        <v>-25</v>
      </c>
      <c r="H2558">
        <v>3350</v>
      </c>
      <c r="K2558" t="s">
        <v>1383</v>
      </c>
    </row>
    <row r="2559" spans="1:11" x14ac:dyDescent="0.25">
      <c r="A2559" s="40">
        <v>45929.345682870371</v>
      </c>
      <c r="B2559" t="s">
        <v>1785</v>
      </c>
      <c r="C2559" t="s">
        <v>264</v>
      </c>
      <c r="D2559" t="s">
        <v>265</v>
      </c>
      <c r="E2559" t="s">
        <v>1364</v>
      </c>
      <c r="F2559" t="s">
        <v>1372</v>
      </c>
      <c r="G2559">
        <v>-45</v>
      </c>
      <c r="H2559">
        <v>2275</v>
      </c>
      <c r="K2559" t="s">
        <v>1383</v>
      </c>
    </row>
    <row r="2560" spans="1:11" x14ac:dyDescent="0.25">
      <c r="A2560" s="40">
        <v>45929.345682870371</v>
      </c>
      <c r="B2560" t="s">
        <v>1785</v>
      </c>
      <c r="C2560" t="s">
        <v>99</v>
      </c>
      <c r="D2560" t="s">
        <v>409</v>
      </c>
      <c r="E2560" t="s">
        <v>1364</v>
      </c>
      <c r="F2560" t="s">
        <v>1372</v>
      </c>
      <c r="G2560">
        <v>-25</v>
      </c>
      <c r="H2560">
        <v>4875</v>
      </c>
      <c r="K2560" t="s">
        <v>1383</v>
      </c>
    </row>
    <row r="2561" spans="1:11" x14ac:dyDescent="0.25">
      <c r="A2561" s="40">
        <v>45929.345682870371</v>
      </c>
      <c r="B2561" t="s">
        <v>1785</v>
      </c>
      <c r="C2561" t="s">
        <v>77</v>
      </c>
      <c r="D2561" t="s">
        <v>253</v>
      </c>
      <c r="E2561" t="s">
        <v>1364</v>
      </c>
      <c r="F2561" t="s">
        <v>1372</v>
      </c>
      <c r="G2561">
        <v>-115</v>
      </c>
      <c r="H2561">
        <v>4883</v>
      </c>
      <c r="K2561" t="s">
        <v>1383</v>
      </c>
    </row>
    <row r="2562" spans="1:11" x14ac:dyDescent="0.25">
      <c r="A2562" s="40">
        <v>45929.345682870371</v>
      </c>
      <c r="B2562" t="s">
        <v>1785</v>
      </c>
      <c r="C2562" t="s">
        <v>97</v>
      </c>
      <c r="D2562" t="s">
        <v>407</v>
      </c>
      <c r="E2562" t="s">
        <v>1364</v>
      </c>
      <c r="F2562" t="s">
        <v>1372</v>
      </c>
      <c r="G2562">
        <v>-65</v>
      </c>
      <c r="H2562">
        <v>5251</v>
      </c>
      <c r="K2562" t="s">
        <v>1383</v>
      </c>
    </row>
    <row r="2563" spans="1:11" x14ac:dyDescent="0.25">
      <c r="A2563" s="40">
        <v>45931.5934837963</v>
      </c>
      <c r="B2563" t="s">
        <v>1786</v>
      </c>
      <c r="C2563" t="s">
        <v>1751</v>
      </c>
      <c r="E2563" t="s">
        <v>1364</v>
      </c>
      <c r="F2563" t="s">
        <v>1372</v>
      </c>
      <c r="G2563">
        <v>-15</v>
      </c>
      <c r="H2563">
        <v>398</v>
      </c>
      <c r="K2563" t="s">
        <v>1383</v>
      </c>
    </row>
    <row r="2564" spans="1:11" x14ac:dyDescent="0.25">
      <c r="A2564" s="40">
        <v>45931.5934837963</v>
      </c>
      <c r="B2564" t="s">
        <v>1786</v>
      </c>
      <c r="C2564" t="s">
        <v>1351</v>
      </c>
      <c r="E2564" t="s">
        <v>1365</v>
      </c>
      <c r="F2564" t="s">
        <v>1372</v>
      </c>
      <c r="G2564">
        <v>-42</v>
      </c>
      <c r="H2564">
        <v>-12</v>
      </c>
      <c r="K2564" t="s">
        <v>1383</v>
      </c>
    </row>
    <row r="2565" spans="1:11" x14ac:dyDescent="0.25">
      <c r="A2565" s="40">
        <v>45931.5934837963</v>
      </c>
      <c r="B2565" t="s">
        <v>1786</v>
      </c>
      <c r="C2565" t="s">
        <v>456</v>
      </c>
      <c r="D2565" t="s">
        <v>457</v>
      </c>
      <c r="E2565" t="s">
        <v>1364</v>
      </c>
      <c r="F2565" t="s">
        <v>1372</v>
      </c>
      <c r="G2565">
        <v>-273</v>
      </c>
      <c r="H2565">
        <v>3145</v>
      </c>
      <c r="K2565" t="s">
        <v>1383</v>
      </c>
    </row>
    <row r="2566" spans="1:11" x14ac:dyDescent="0.25">
      <c r="A2566" s="40">
        <v>45931.5934837963</v>
      </c>
      <c r="B2566" t="s">
        <v>1786</v>
      </c>
      <c r="C2566" t="s">
        <v>62</v>
      </c>
      <c r="D2566" t="s">
        <v>354</v>
      </c>
      <c r="E2566" t="s">
        <v>1364</v>
      </c>
      <c r="F2566" t="s">
        <v>1372</v>
      </c>
      <c r="G2566">
        <v>-32</v>
      </c>
      <c r="H2566">
        <v>3345</v>
      </c>
      <c r="K2566" t="s">
        <v>1383</v>
      </c>
    </row>
    <row r="2567" spans="1:11" x14ac:dyDescent="0.25">
      <c r="A2567" s="40">
        <v>45931.5934837963</v>
      </c>
      <c r="B2567" t="s">
        <v>1786</v>
      </c>
      <c r="C2567" t="s">
        <v>435</v>
      </c>
      <c r="D2567" t="s">
        <v>436</v>
      </c>
      <c r="E2567" t="s">
        <v>1364</v>
      </c>
      <c r="F2567" t="s">
        <v>1372</v>
      </c>
      <c r="G2567">
        <v>-90</v>
      </c>
      <c r="H2567">
        <v>4222</v>
      </c>
      <c r="K2567" t="s">
        <v>1383</v>
      </c>
    </row>
    <row r="2568" spans="1:11" x14ac:dyDescent="0.25">
      <c r="A2568" s="40">
        <v>45931.5934837963</v>
      </c>
      <c r="B2568" t="s">
        <v>1786</v>
      </c>
      <c r="C2568" t="s">
        <v>428</v>
      </c>
      <c r="D2568" t="s">
        <v>429</v>
      </c>
      <c r="E2568" t="s">
        <v>1364</v>
      </c>
      <c r="F2568" t="s">
        <v>1372</v>
      </c>
      <c r="G2568">
        <v>-155</v>
      </c>
      <c r="H2568">
        <v>5219</v>
      </c>
      <c r="K2568" t="s">
        <v>1383</v>
      </c>
    </row>
    <row r="2569" spans="1:11" x14ac:dyDescent="0.25">
      <c r="A2569" s="40">
        <v>45931.5934837963</v>
      </c>
      <c r="B2569" t="s">
        <v>1786</v>
      </c>
      <c r="C2569" t="s">
        <v>412</v>
      </c>
      <c r="D2569" t="s">
        <v>413</v>
      </c>
      <c r="E2569" t="s">
        <v>1364</v>
      </c>
      <c r="F2569" t="s">
        <v>1372</v>
      </c>
      <c r="G2569">
        <v>-32</v>
      </c>
      <c r="H2569">
        <v>2506</v>
      </c>
      <c r="K2569" t="s">
        <v>1383</v>
      </c>
    </row>
    <row r="2570" spans="1:11" x14ac:dyDescent="0.25">
      <c r="A2570" s="40">
        <v>45931.5934837963</v>
      </c>
      <c r="B2570" t="s">
        <v>1786</v>
      </c>
      <c r="C2570" t="s">
        <v>90</v>
      </c>
      <c r="D2570" t="s">
        <v>503</v>
      </c>
      <c r="E2570" t="s">
        <v>1364</v>
      </c>
      <c r="F2570" t="s">
        <v>1372</v>
      </c>
      <c r="G2570">
        <v>-32</v>
      </c>
      <c r="H2570">
        <v>4103</v>
      </c>
      <c r="K2570" t="s">
        <v>1383</v>
      </c>
    </row>
    <row r="2571" spans="1:11" x14ac:dyDescent="0.25">
      <c r="A2571" s="40">
        <v>45931.5934837963</v>
      </c>
      <c r="B2571" t="s">
        <v>1786</v>
      </c>
      <c r="C2571" t="s">
        <v>75</v>
      </c>
      <c r="D2571" t="s">
        <v>251</v>
      </c>
      <c r="E2571" t="s">
        <v>1364</v>
      </c>
      <c r="F2571" t="s">
        <v>1372</v>
      </c>
      <c r="G2571">
        <v>-90</v>
      </c>
      <c r="H2571">
        <v>2388</v>
      </c>
      <c r="K2571" t="s">
        <v>1383</v>
      </c>
    </row>
    <row r="2572" spans="1:11" x14ac:dyDescent="0.25">
      <c r="A2572" s="40">
        <v>45931.5934837963</v>
      </c>
      <c r="B2572" t="s">
        <v>1786</v>
      </c>
      <c r="C2572" t="s">
        <v>23</v>
      </c>
      <c r="D2572" t="s">
        <v>490</v>
      </c>
      <c r="E2572" t="s">
        <v>1364</v>
      </c>
      <c r="F2572" t="s">
        <v>1372</v>
      </c>
      <c r="G2572">
        <v>-32</v>
      </c>
      <c r="H2572">
        <v>3232</v>
      </c>
      <c r="K2572" t="s">
        <v>1383</v>
      </c>
    </row>
    <row r="2573" spans="1:11" x14ac:dyDescent="0.25">
      <c r="A2573" s="40">
        <v>45931.5934837963</v>
      </c>
      <c r="B2573" t="s">
        <v>1786</v>
      </c>
      <c r="C2573" t="s">
        <v>330</v>
      </c>
      <c r="D2573" t="s">
        <v>331</v>
      </c>
      <c r="E2573" t="s">
        <v>1364</v>
      </c>
      <c r="F2573" t="s">
        <v>1372</v>
      </c>
      <c r="G2573">
        <v>-249</v>
      </c>
      <c r="H2573">
        <v>715</v>
      </c>
      <c r="K2573" t="s">
        <v>1383</v>
      </c>
    </row>
    <row r="2574" spans="1:11" x14ac:dyDescent="0.25">
      <c r="A2574" s="40">
        <v>45931.5934837963</v>
      </c>
      <c r="B2574" t="s">
        <v>1786</v>
      </c>
      <c r="C2574" t="s">
        <v>101</v>
      </c>
      <c r="D2574" t="s">
        <v>507</v>
      </c>
      <c r="E2574" t="s">
        <v>1364</v>
      </c>
      <c r="F2574" t="s">
        <v>1372</v>
      </c>
      <c r="G2574">
        <v>-32</v>
      </c>
      <c r="H2574">
        <v>4723</v>
      </c>
      <c r="K2574" t="s">
        <v>1383</v>
      </c>
    </row>
    <row r="2575" spans="1:11" x14ac:dyDescent="0.25">
      <c r="A2575" s="40">
        <v>45931.5934837963</v>
      </c>
      <c r="B2575" t="s">
        <v>1786</v>
      </c>
      <c r="C2575" t="s">
        <v>339</v>
      </c>
      <c r="D2575" t="s">
        <v>340</v>
      </c>
      <c r="E2575" t="s">
        <v>1364</v>
      </c>
      <c r="F2575" t="s">
        <v>1372</v>
      </c>
      <c r="G2575">
        <v>-56</v>
      </c>
      <c r="H2575">
        <v>2011</v>
      </c>
      <c r="K2575" t="s">
        <v>1383</v>
      </c>
    </row>
    <row r="2576" spans="1:11" x14ac:dyDescent="0.25">
      <c r="A2576" s="40">
        <v>45931.5934837963</v>
      </c>
      <c r="B2576" t="s">
        <v>1786</v>
      </c>
      <c r="C2576" t="s">
        <v>1353</v>
      </c>
      <c r="E2576" t="s">
        <v>1365</v>
      </c>
      <c r="F2576" t="s">
        <v>1372</v>
      </c>
      <c r="G2576">
        <v>-102</v>
      </c>
      <c r="H2576">
        <v>1676</v>
      </c>
      <c r="K2576" t="s">
        <v>1383</v>
      </c>
    </row>
    <row r="2577" spans="1:11" x14ac:dyDescent="0.25">
      <c r="A2577" s="40">
        <v>45931.5934837963</v>
      </c>
      <c r="B2577" t="s">
        <v>1786</v>
      </c>
      <c r="C2577" t="s">
        <v>102</v>
      </c>
      <c r="D2577" t="s">
        <v>508</v>
      </c>
      <c r="E2577" t="s">
        <v>1364</v>
      </c>
      <c r="F2577" t="s">
        <v>1372</v>
      </c>
      <c r="G2577">
        <v>-102</v>
      </c>
      <c r="H2577">
        <v>4407</v>
      </c>
      <c r="K2577" t="s">
        <v>1383</v>
      </c>
    </row>
    <row r="2578" spans="1:11" x14ac:dyDescent="0.25">
      <c r="A2578" s="40">
        <v>45931.5934837963</v>
      </c>
      <c r="B2578" t="s">
        <v>1786</v>
      </c>
      <c r="C2578" t="s">
        <v>335</v>
      </c>
      <c r="D2578" t="s">
        <v>336</v>
      </c>
      <c r="E2578" t="s">
        <v>1364</v>
      </c>
      <c r="F2578" t="s">
        <v>1372</v>
      </c>
      <c r="G2578">
        <v>-32</v>
      </c>
      <c r="H2578">
        <v>5276</v>
      </c>
      <c r="K2578" t="s">
        <v>1383</v>
      </c>
    </row>
    <row r="2579" spans="1:11" x14ac:dyDescent="0.25">
      <c r="A2579" s="40">
        <v>45931.5934837963</v>
      </c>
      <c r="B2579" t="s">
        <v>1786</v>
      </c>
      <c r="C2579" t="s">
        <v>18</v>
      </c>
      <c r="D2579" t="s">
        <v>487</v>
      </c>
      <c r="E2579" t="s">
        <v>1364</v>
      </c>
      <c r="F2579" t="s">
        <v>1372</v>
      </c>
      <c r="G2579">
        <v>-852</v>
      </c>
      <c r="H2579">
        <v>3072</v>
      </c>
      <c r="K2579" t="s">
        <v>1383</v>
      </c>
    </row>
    <row r="2580" spans="1:11" x14ac:dyDescent="0.25">
      <c r="A2580" s="40">
        <v>45931.5934837963</v>
      </c>
      <c r="B2580" t="s">
        <v>1786</v>
      </c>
      <c r="C2580" t="s">
        <v>8</v>
      </c>
      <c r="D2580" t="s">
        <v>311</v>
      </c>
      <c r="E2580" t="s">
        <v>1364</v>
      </c>
      <c r="F2580" t="s">
        <v>1372</v>
      </c>
      <c r="G2580">
        <v>-504</v>
      </c>
      <c r="H2580">
        <v>-72</v>
      </c>
      <c r="K2580" t="s">
        <v>1383</v>
      </c>
    </row>
    <row r="2581" spans="1:11" x14ac:dyDescent="0.25">
      <c r="A2581" s="40">
        <v>45931.5934837963</v>
      </c>
      <c r="B2581" t="s">
        <v>1786</v>
      </c>
      <c r="C2581" t="s">
        <v>326</v>
      </c>
      <c r="D2581" t="s">
        <v>327</v>
      </c>
      <c r="E2581" t="s">
        <v>1364</v>
      </c>
      <c r="F2581" t="s">
        <v>1372</v>
      </c>
      <c r="G2581">
        <v>-60</v>
      </c>
      <c r="H2581">
        <v>1166</v>
      </c>
      <c r="K2581" t="s">
        <v>1383</v>
      </c>
    </row>
    <row r="2582" spans="1:11" x14ac:dyDescent="0.25">
      <c r="A2582" s="40">
        <v>45931.5934837963</v>
      </c>
      <c r="B2582" t="s">
        <v>1786</v>
      </c>
      <c r="C2582" t="s">
        <v>26</v>
      </c>
      <c r="D2582" t="s">
        <v>380</v>
      </c>
      <c r="E2582" t="s">
        <v>1364</v>
      </c>
      <c r="F2582" t="s">
        <v>1372</v>
      </c>
      <c r="G2582">
        <v>-44</v>
      </c>
      <c r="H2582">
        <v>3344</v>
      </c>
      <c r="K2582" t="s">
        <v>1383</v>
      </c>
    </row>
    <row r="2583" spans="1:11" x14ac:dyDescent="0.25">
      <c r="A2583" s="40">
        <v>45931.5934837963</v>
      </c>
      <c r="B2583" t="s">
        <v>1786</v>
      </c>
      <c r="C2583" t="s">
        <v>296</v>
      </c>
      <c r="D2583" t="s">
        <v>297</v>
      </c>
      <c r="E2583" t="s">
        <v>1364</v>
      </c>
      <c r="F2583" t="s">
        <v>1372</v>
      </c>
      <c r="G2583">
        <v>-203</v>
      </c>
      <c r="H2583">
        <v>3905</v>
      </c>
      <c r="K2583" t="s">
        <v>1383</v>
      </c>
    </row>
    <row r="2584" spans="1:11" x14ac:dyDescent="0.25">
      <c r="A2584" s="40">
        <v>45931.5934837963</v>
      </c>
      <c r="B2584" t="s">
        <v>1786</v>
      </c>
      <c r="C2584" t="s">
        <v>1762</v>
      </c>
      <c r="E2584" t="s">
        <v>1364</v>
      </c>
      <c r="F2584" t="s">
        <v>1372</v>
      </c>
      <c r="G2584">
        <v>-110</v>
      </c>
      <c r="H2584">
        <v>138</v>
      </c>
      <c r="K2584" t="s">
        <v>1383</v>
      </c>
    </row>
    <row r="2585" spans="1:11" x14ac:dyDescent="0.25">
      <c r="A2585" s="40">
        <v>45931.5934837963</v>
      </c>
      <c r="B2585" t="s">
        <v>1786</v>
      </c>
      <c r="C2585" t="s">
        <v>56</v>
      </c>
      <c r="D2585" t="s">
        <v>313</v>
      </c>
      <c r="E2585" t="s">
        <v>1364</v>
      </c>
      <c r="F2585" t="s">
        <v>1372</v>
      </c>
      <c r="G2585">
        <v>-56</v>
      </c>
      <c r="H2585">
        <v>2921</v>
      </c>
      <c r="K2585" t="s">
        <v>1383</v>
      </c>
    </row>
    <row r="2586" spans="1:11" x14ac:dyDescent="0.25">
      <c r="A2586" s="40">
        <v>45931.5934837963</v>
      </c>
      <c r="B2586" t="s">
        <v>1786</v>
      </c>
      <c r="C2586" t="s">
        <v>89</v>
      </c>
      <c r="D2586" t="s">
        <v>359</v>
      </c>
      <c r="E2586" t="s">
        <v>1364</v>
      </c>
      <c r="F2586" t="s">
        <v>1372</v>
      </c>
      <c r="G2586">
        <v>-191</v>
      </c>
      <c r="H2586">
        <v>882</v>
      </c>
      <c r="K2586" t="s">
        <v>1383</v>
      </c>
    </row>
    <row r="2587" spans="1:11" x14ac:dyDescent="0.25">
      <c r="A2587" s="40">
        <v>45931.5934837963</v>
      </c>
      <c r="B2587" t="s">
        <v>1786</v>
      </c>
      <c r="C2587" t="s">
        <v>32</v>
      </c>
      <c r="D2587" t="s">
        <v>384</v>
      </c>
      <c r="E2587" t="s">
        <v>1364</v>
      </c>
      <c r="F2587" t="s">
        <v>1372</v>
      </c>
      <c r="G2587">
        <v>-32</v>
      </c>
      <c r="H2587">
        <v>2967</v>
      </c>
      <c r="K2587" t="s">
        <v>1383</v>
      </c>
    </row>
    <row r="2588" spans="1:11" x14ac:dyDescent="0.25">
      <c r="A2588" s="40">
        <v>45931.5934837963</v>
      </c>
      <c r="B2588" t="s">
        <v>1786</v>
      </c>
      <c r="C2588" t="s">
        <v>370</v>
      </c>
      <c r="D2588" t="s">
        <v>371</v>
      </c>
      <c r="E2588" t="s">
        <v>1364</v>
      </c>
      <c r="F2588" t="s">
        <v>1372</v>
      </c>
      <c r="G2588">
        <v>-40</v>
      </c>
      <c r="H2588">
        <v>2351</v>
      </c>
      <c r="K2588" t="s">
        <v>1383</v>
      </c>
    </row>
    <row r="2589" spans="1:11" x14ac:dyDescent="0.25">
      <c r="A2589" s="40">
        <v>45931.5934837963</v>
      </c>
      <c r="B2589" t="s">
        <v>1786</v>
      </c>
      <c r="C2589" t="s">
        <v>343</v>
      </c>
      <c r="D2589" t="s">
        <v>344</v>
      </c>
      <c r="E2589" t="s">
        <v>1364</v>
      </c>
      <c r="F2589" t="s">
        <v>1372</v>
      </c>
      <c r="G2589">
        <v>-479</v>
      </c>
      <c r="H2589">
        <v>1118</v>
      </c>
      <c r="K2589" t="s">
        <v>1383</v>
      </c>
    </row>
    <row r="2590" spans="1:11" x14ac:dyDescent="0.25">
      <c r="A2590" s="40">
        <v>45931.5934837963</v>
      </c>
      <c r="B2590" t="s">
        <v>1786</v>
      </c>
      <c r="C2590" t="s">
        <v>14</v>
      </c>
      <c r="D2590" t="s">
        <v>483</v>
      </c>
      <c r="E2590" t="s">
        <v>1364</v>
      </c>
      <c r="F2590" t="s">
        <v>1372</v>
      </c>
      <c r="G2590">
        <v>-110</v>
      </c>
      <c r="H2590">
        <v>1284</v>
      </c>
      <c r="K2590" t="s">
        <v>1383</v>
      </c>
    </row>
    <row r="2591" spans="1:11" x14ac:dyDescent="0.25">
      <c r="A2591" s="40">
        <v>45931.5934837963</v>
      </c>
      <c r="B2591" t="s">
        <v>1786</v>
      </c>
      <c r="C2591" t="s">
        <v>1750</v>
      </c>
      <c r="E2591" t="s">
        <v>1365</v>
      </c>
      <c r="F2591" t="s">
        <v>1372</v>
      </c>
      <c r="G2591">
        <v>-482</v>
      </c>
      <c r="H2591">
        <v>1925</v>
      </c>
      <c r="K2591" t="s">
        <v>1383</v>
      </c>
    </row>
    <row r="2592" spans="1:11" x14ac:dyDescent="0.25">
      <c r="A2592" s="40">
        <v>45931.5934837963</v>
      </c>
      <c r="B2592" t="s">
        <v>1786</v>
      </c>
      <c r="C2592" t="s">
        <v>324</v>
      </c>
      <c r="D2592" t="s">
        <v>325</v>
      </c>
      <c r="E2592" t="s">
        <v>1364</v>
      </c>
      <c r="F2592" t="s">
        <v>1372</v>
      </c>
      <c r="G2592">
        <v>-55</v>
      </c>
      <c r="H2592">
        <v>1400</v>
      </c>
      <c r="K2592" t="s">
        <v>1383</v>
      </c>
    </row>
    <row r="2593" spans="1:11" x14ac:dyDescent="0.25">
      <c r="A2593" s="40">
        <v>45931.5934837963</v>
      </c>
      <c r="B2593" t="s">
        <v>1786</v>
      </c>
      <c r="C2593" t="s">
        <v>279</v>
      </c>
      <c r="D2593" t="s">
        <v>280</v>
      </c>
      <c r="E2593" t="s">
        <v>1364</v>
      </c>
      <c r="F2593" t="s">
        <v>1372</v>
      </c>
      <c r="G2593">
        <v>-32</v>
      </c>
      <c r="H2593">
        <v>581</v>
      </c>
      <c r="K2593" t="s">
        <v>1383</v>
      </c>
    </row>
    <row r="2594" spans="1:11" x14ac:dyDescent="0.25">
      <c r="A2594" s="40">
        <v>45931.5934837963</v>
      </c>
      <c r="B2594" t="s">
        <v>1786</v>
      </c>
      <c r="C2594" t="s">
        <v>104</v>
      </c>
      <c r="D2594" t="s">
        <v>410</v>
      </c>
      <c r="E2594" t="s">
        <v>1364</v>
      </c>
      <c r="F2594" t="s">
        <v>1372</v>
      </c>
      <c r="G2594">
        <v>-32</v>
      </c>
      <c r="H2594">
        <v>4427</v>
      </c>
      <c r="K2594" t="s">
        <v>1383</v>
      </c>
    </row>
    <row r="2595" spans="1:11" x14ac:dyDescent="0.25">
      <c r="A2595" s="40">
        <v>45931.5934837963</v>
      </c>
      <c r="B2595" t="s">
        <v>1786</v>
      </c>
      <c r="C2595" t="s">
        <v>68</v>
      </c>
      <c r="D2595" t="s">
        <v>374</v>
      </c>
      <c r="E2595" t="s">
        <v>1364</v>
      </c>
      <c r="F2595" t="s">
        <v>1372</v>
      </c>
      <c r="G2595">
        <v>-367</v>
      </c>
      <c r="H2595">
        <v>1711</v>
      </c>
      <c r="K2595" t="s">
        <v>1383</v>
      </c>
    </row>
    <row r="2596" spans="1:11" x14ac:dyDescent="0.25">
      <c r="A2596" s="40">
        <v>45931.5934837963</v>
      </c>
      <c r="B2596" t="s">
        <v>1786</v>
      </c>
      <c r="C2596" t="s">
        <v>64</v>
      </c>
      <c r="D2596" t="s">
        <v>356</v>
      </c>
      <c r="E2596" t="s">
        <v>1364</v>
      </c>
      <c r="F2596" t="s">
        <v>1372</v>
      </c>
      <c r="G2596">
        <v>-56</v>
      </c>
      <c r="H2596">
        <v>3756</v>
      </c>
      <c r="K2596" t="s">
        <v>1383</v>
      </c>
    </row>
    <row r="2597" spans="1:11" x14ac:dyDescent="0.25">
      <c r="A2597" s="40">
        <v>45931.5934837963</v>
      </c>
      <c r="B2597" t="s">
        <v>1786</v>
      </c>
      <c r="C2597" t="s">
        <v>60</v>
      </c>
      <c r="D2597" t="s">
        <v>350</v>
      </c>
      <c r="E2597" t="s">
        <v>1364</v>
      </c>
      <c r="F2597" t="s">
        <v>1372</v>
      </c>
      <c r="G2597">
        <v>-328</v>
      </c>
      <c r="H2597">
        <v>2246</v>
      </c>
      <c r="K2597" t="s">
        <v>1383</v>
      </c>
    </row>
    <row r="2598" spans="1:11" x14ac:dyDescent="0.25">
      <c r="A2598" s="40">
        <v>45931.5934837963</v>
      </c>
      <c r="B2598" t="s">
        <v>1786</v>
      </c>
      <c r="C2598" t="s">
        <v>15</v>
      </c>
      <c r="D2598" t="s">
        <v>474</v>
      </c>
      <c r="E2598" t="s">
        <v>1364</v>
      </c>
      <c r="F2598" t="s">
        <v>1372</v>
      </c>
      <c r="G2598">
        <v>-44</v>
      </c>
      <c r="H2598">
        <v>11271</v>
      </c>
      <c r="K2598" t="s">
        <v>1383</v>
      </c>
    </row>
    <row r="2599" spans="1:11" x14ac:dyDescent="0.25">
      <c r="A2599" s="40">
        <v>45931.5934837963</v>
      </c>
      <c r="B2599" t="s">
        <v>1786</v>
      </c>
      <c r="C2599" t="s">
        <v>69</v>
      </c>
      <c r="D2599" t="s">
        <v>375</v>
      </c>
      <c r="E2599" t="s">
        <v>1364</v>
      </c>
      <c r="F2599" t="s">
        <v>1372</v>
      </c>
      <c r="G2599">
        <v>-321</v>
      </c>
      <c r="H2599">
        <v>4702</v>
      </c>
      <c r="K2599" t="s">
        <v>1383</v>
      </c>
    </row>
    <row r="2600" spans="1:11" x14ac:dyDescent="0.25">
      <c r="A2600" s="40">
        <v>45931.5934837963</v>
      </c>
      <c r="B2600" t="s">
        <v>1786</v>
      </c>
      <c r="C2600" t="s">
        <v>24</v>
      </c>
      <c r="D2600" t="s">
        <v>378</v>
      </c>
      <c r="E2600" t="s">
        <v>1364</v>
      </c>
      <c r="F2600" t="s">
        <v>1372</v>
      </c>
      <c r="G2600">
        <v>-135</v>
      </c>
      <c r="H2600">
        <v>81</v>
      </c>
      <c r="K2600" t="s">
        <v>1383</v>
      </c>
    </row>
    <row r="2601" spans="1:11" x14ac:dyDescent="0.25">
      <c r="A2601" s="40">
        <v>45931.5934837963</v>
      </c>
      <c r="B2601" t="s">
        <v>1786</v>
      </c>
      <c r="C2601" t="s">
        <v>11</v>
      </c>
      <c r="D2601" t="s">
        <v>411</v>
      </c>
      <c r="E2601" t="s">
        <v>1364</v>
      </c>
      <c r="F2601" t="s">
        <v>1372</v>
      </c>
      <c r="G2601">
        <v>-44</v>
      </c>
      <c r="H2601">
        <v>3159</v>
      </c>
      <c r="K2601" t="s">
        <v>1383</v>
      </c>
    </row>
    <row r="2602" spans="1:11" x14ac:dyDescent="0.25">
      <c r="A2602" s="40">
        <v>45931.5934837963</v>
      </c>
      <c r="B2602" t="s">
        <v>1786</v>
      </c>
      <c r="C2602" t="s">
        <v>229</v>
      </c>
      <c r="D2602" t="s">
        <v>321</v>
      </c>
      <c r="E2602" t="s">
        <v>1364</v>
      </c>
      <c r="F2602" t="s">
        <v>1372</v>
      </c>
      <c r="G2602">
        <v>-102</v>
      </c>
      <c r="H2602">
        <v>7330</v>
      </c>
      <c r="K2602" t="s">
        <v>1383</v>
      </c>
    </row>
    <row r="2603" spans="1:11" x14ac:dyDescent="0.25">
      <c r="A2603" s="40">
        <v>45931.5934837963</v>
      </c>
      <c r="B2603" t="s">
        <v>1786</v>
      </c>
      <c r="C2603" t="s">
        <v>25</v>
      </c>
      <c r="D2603" t="s">
        <v>491</v>
      </c>
      <c r="E2603" t="s">
        <v>1364</v>
      </c>
      <c r="F2603" t="s">
        <v>1372</v>
      </c>
      <c r="G2603">
        <v>-110</v>
      </c>
      <c r="H2603">
        <v>331</v>
      </c>
      <c r="K2603" t="s">
        <v>1383</v>
      </c>
    </row>
    <row r="2604" spans="1:11" x14ac:dyDescent="0.25">
      <c r="A2604" s="40">
        <v>45931.5934837963</v>
      </c>
      <c r="B2604" t="s">
        <v>1786</v>
      </c>
      <c r="C2604" t="s">
        <v>29</v>
      </c>
      <c r="D2604" t="s">
        <v>383</v>
      </c>
      <c r="E2604" t="s">
        <v>1364</v>
      </c>
      <c r="F2604" t="s">
        <v>1372</v>
      </c>
      <c r="G2604">
        <v>-60</v>
      </c>
      <c r="H2604">
        <v>8071</v>
      </c>
      <c r="K2604" t="s">
        <v>1383</v>
      </c>
    </row>
    <row r="2605" spans="1:11" x14ac:dyDescent="0.25">
      <c r="A2605" s="40">
        <v>45931.5934837963</v>
      </c>
      <c r="B2605" t="s">
        <v>1786</v>
      </c>
      <c r="C2605" t="s">
        <v>31</v>
      </c>
      <c r="D2605" t="s">
        <v>493</v>
      </c>
      <c r="E2605" t="s">
        <v>1364</v>
      </c>
      <c r="F2605" t="s">
        <v>1372</v>
      </c>
      <c r="G2605">
        <v>-90</v>
      </c>
      <c r="H2605">
        <v>2881</v>
      </c>
      <c r="K2605" t="s">
        <v>1383</v>
      </c>
    </row>
    <row r="2606" spans="1:11" x14ac:dyDescent="0.25">
      <c r="A2606" s="40">
        <v>45931.5934837963</v>
      </c>
      <c r="B2606" t="s">
        <v>1786</v>
      </c>
      <c r="C2606" t="s">
        <v>63</v>
      </c>
      <c r="D2606" t="s">
        <v>355</v>
      </c>
      <c r="E2606" t="s">
        <v>1364</v>
      </c>
      <c r="F2606" t="s">
        <v>1372</v>
      </c>
      <c r="G2606">
        <v>-52</v>
      </c>
      <c r="H2606">
        <v>2143</v>
      </c>
      <c r="K2606" t="s">
        <v>1383</v>
      </c>
    </row>
    <row r="2607" spans="1:11" x14ac:dyDescent="0.25">
      <c r="A2607" s="40">
        <v>45931.5934837963</v>
      </c>
      <c r="B2607" t="s">
        <v>1786</v>
      </c>
      <c r="C2607" t="s">
        <v>47</v>
      </c>
      <c r="D2607" t="s">
        <v>395</v>
      </c>
      <c r="E2607" t="s">
        <v>1364</v>
      </c>
      <c r="F2607" t="s">
        <v>1372</v>
      </c>
      <c r="G2607">
        <v>-56</v>
      </c>
      <c r="H2607">
        <v>20688</v>
      </c>
      <c r="K2607" t="s">
        <v>1383</v>
      </c>
    </row>
    <row r="2608" spans="1:11" x14ac:dyDescent="0.25">
      <c r="A2608" s="40">
        <v>45931.5934837963</v>
      </c>
      <c r="B2608" t="s">
        <v>1786</v>
      </c>
      <c r="C2608" t="s">
        <v>57</v>
      </c>
      <c r="D2608" t="s">
        <v>314</v>
      </c>
      <c r="E2608" t="s">
        <v>1364</v>
      </c>
      <c r="F2608" t="s">
        <v>1372</v>
      </c>
      <c r="G2608">
        <v>-44</v>
      </c>
      <c r="H2608">
        <v>4837</v>
      </c>
      <c r="K2608" t="s">
        <v>1383</v>
      </c>
    </row>
    <row r="2609" spans="1:12" x14ac:dyDescent="0.25">
      <c r="A2609" s="40">
        <v>45931.5934837963</v>
      </c>
      <c r="B2609" t="s">
        <v>1786</v>
      </c>
      <c r="C2609" t="s">
        <v>20</v>
      </c>
      <c r="D2609" t="s">
        <v>498</v>
      </c>
      <c r="E2609" t="s">
        <v>1364</v>
      </c>
      <c r="F2609" t="s">
        <v>1372</v>
      </c>
      <c r="G2609">
        <v>-463</v>
      </c>
      <c r="H2609">
        <v>20866</v>
      </c>
      <c r="K2609" t="s">
        <v>1383</v>
      </c>
    </row>
    <row r="2610" spans="1:12" x14ac:dyDescent="0.25">
      <c r="A2610" s="40">
        <v>45931.5934837963</v>
      </c>
      <c r="B2610" t="s">
        <v>1786</v>
      </c>
      <c r="C2610" t="s">
        <v>27</v>
      </c>
      <c r="D2610" t="s">
        <v>381</v>
      </c>
      <c r="E2610" t="s">
        <v>1364</v>
      </c>
      <c r="F2610" t="s">
        <v>1372</v>
      </c>
      <c r="G2610">
        <v>-1840</v>
      </c>
      <c r="H2610">
        <v>37553</v>
      </c>
      <c r="K2610" t="s">
        <v>1383</v>
      </c>
    </row>
    <row r="2611" spans="1:12" x14ac:dyDescent="0.25">
      <c r="A2611" s="40">
        <v>45931.5934837963</v>
      </c>
      <c r="B2611" t="s">
        <v>1786</v>
      </c>
      <c r="C2611" t="s">
        <v>5</v>
      </c>
      <c r="D2611" t="s">
        <v>389</v>
      </c>
      <c r="E2611" t="s">
        <v>1364</v>
      </c>
      <c r="F2611" t="s">
        <v>1372</v>
      </c>
      <c r="G2611">
        <v>-44</v>
      </c>
      <c r="H2611">
        <v>10026</v>
      </c>
      <c r="K2611" t="s">
        <v>1383</v>
      </c>
    </row>
    <row r="2612" spans="1:12" x14ac:dyDescent="0.25">
      <c r="A2612" s="40">
        <v>45931.5934837963</v>
      </c>
      <c r="B2612" t="s">
        <v>1786</v>
      </c>
      <c r="C2612" t="s">
        <v>1</v>
      </c>
      <c r="D2612" t="s">
        <v>250</v>
      </c>
      <c r="E2612" t="s">
        <v>1364</v>
      </c>
      <c r="F2612" t="s">
        <v>1372</v>
      </c>
      <c r="G2612">
        <v>-1222</v>
      </c>
      <c r="H2612">
        <v>-2091</v>
      </c>
      <c r="K2612" t="s">
        <v>1383</v>
      </c>
    </row>
    <row r="2613" spans="1:12" x14ac:dyDescent="0.25">
      <c r="A2613" s="40">
        <v>45932.276504629626</v>
      </c>
      <c r="B2613" t="s">
        <v>1786</v>
      </c>
      <c r="C2613" t="s">
        <v>8</v>
      </c>
      <c r="D2613" t="s">
        <v>311</v>
      </c>
      <c r="E2613" t="s">
        <v>1364</v>
      </c>
      <c r="F2613" t="s">
        <v>695</v>
      </c>
      <c r="G2613">
        <v>8000</v>
      </c>
      <c r="H2613">
        <v>7928</v>
      </c>
      <c r="I2613" t="s">
        <v>696</v>
      </c>
      <c r="K2613" t="s">
        <v>1465</v>
      </c>
      <c r="L2613">
        <v>34.72</v>
      </c>
    </row>
    <row r="2614" spans="1:12" x14ac:dyDescent="0.25">
      <c r="A2614" s="40">
        <v>45932.276504629626</v>
      </c>
      <c r="B2614" t="s">
        <v>1786</v>
      </c>
      <c r="C2614" t="s">
        <v>1</v>
      </c>
      <c r="D2614" t="s">
        <v>250</v>
      </c>
      <c r="E2614" t="s">
        <v>1364</v>
      </c>
      <c r="F2614" t="s">
        <v>695</v>
      </c>
      <c r="G2614">
        <v>12000</v>
      </c>
      <c r="H2614">
        <v>9909</v>
      </c>
      <c r="I2614" t="s">
        <v>696</v>
      </c>
      <c r="K2614" t="s">
        <v>1465</v>
      </c>
      <c r="L2614">
        <v>21.84</v>
      </c>
    </row>
    <row r="2615" spans="1:12" x14ac:dyDescent="0.25">
      <c r="A2615" s="40">
        <v>45939.549618055556</v>
      </c>
      <c r="B2615" t="s">
        <v>1787</v>
      </c>
      <c r="C2615" t="s">
        <v>296</v>
      </c>
      <c r="D2615" t="s">
        <v>297</v>
      </c>
      <c r="E2615" t="s">
        <v>1364</v>
      </c>
      <c r="F2615" t="s">
        <v>1372</v>
      </c>
      <c r="G2615">
        <v>-14</v>
      </c>
      <c r="H2615">
        <v>3891</v>
      </c>
      <c r="J2615" t="s">
        <v>1788</v>
      </c>
      <c r="K2615" t="s">
        <v>1383</v>
      </c>
    </row>
    <row r="2616" spans="1:12" x14ac:dyDescent="0.25">
      <c r="A2616" s="40">
        <v>45939.549618055556</v>
      </c>
      <c r="B2616" t="s">
        <v>1787</v>
      </c>
      <c r="C2616" t="s">
        <v>1750</v>
      </c>
      <c r="E2616" t="s">
        <v>1365</v>
      </c>
      <c r="F2616" t="s">
        <v>1372</v>
      </c>
      <c r="G2616">
        <v>-26</v>
      </c>
      <c r="H2616">
        <v>1899</v>
      </c>
      <c r="J2616" t="s">
        <v>1788</v>
      </c>
      <c r="K2616" t="s">
        <v>1383</v>
      </c>
    </row>
    <row r="2617" spans="1:12" x14ac:dyDescent="0.25">
      <c r="A2617" s="40">
        <v>45939.549618055556</v>
      </c>
      <c r="B2617" t="s">
        <v>1787</v>
      </c>
      <c r="C2617" t="s">
        <v>1353</v>
      </c>
      <c r="E2617" t="s">
        <v>1365</v>
      </c>
      <c r="F2617" t="s">
        <v>1372</v>
      </c>
      <c r="G2617">
        <v>-6</v>
      </c>
      <c r="H2617">
        <v>1670</v>
      </c>
      <c r="J2617" t="s">
        <v>1788</v>
      </c>
      <c r="K2617" t="s">
        <v>1383</v>
      </c>
    </row>
    <row r="2618" spans="1:12" x14ac:dyDescent="0.25">
      <c r="A2618" s="40">
        <v>45939.549618055556</v>
      </c>
      <c r="B2618" t="s">
        <v>1787</v>
      </c>
      <c r="C2618" t="s">
        <v>8</v>
      </c>
      <c r="D2618" t="s">
        <v>311</v>
      </c>
      <c r="E2618" t="s">
        <v>1364</v>
      </c>
      <c r="F2618" t="s">
        <v>1372</v>
      </c>
      <c r="G2618">
        <v>-27</v>
      </c>
      <c r="H2618">
        <v>7901</v>
      </c>
      <c r="J2618" t="s">
        <v>1788</v>
      </c>
      <c r="K2618" t="s">
        <v>1383</v>
      </c>
    </row>
    <row r="2619" spans="1:12" x14ac:dyDescent="0.25">
      <c r="A2619" s="40">
        <v>45939.549618055556</v>
      </c>
      <c r="B2619" t="s">
        <v>1787</v>
      </c>
      <c r="C2619" t="s">
        <v>343</v>
      </c>
      <c r="D2619" t="s">
        <v>344</v>
      </c>
      <c r="E2619" t="s">
        <v>1364</v>
      </c>
      <c r="F2619" t="s">
        <v>1372</v>
      </c>
      <c r="G2619">
        <v>-27</v>
      </c>
      <c r="H2619">
        <v>1091</v>
      </c>
      <c r="J2619" t="s">
        <v>1788</v>
      </c>
      <c r="K2619" t="s">
        <v>1383</v>
      </c>
    </row>
    <row r="2620" spans="1:12" x14ac:dyDescent="0.25">
      <c r="A2620" s="40">
        <v>45939.549618055556</v>
      </c>
      <c r="B2620" t="s">
        <v>1787</v>
      </c>
      <c r="C2620" t="s">
        <v>89</v>
      </c>
      <c r="D2620" t="s">
        <v>359</v>
      </c>
      <c r="E2620" t="s">
        <v>1364</v>
      </c>
      <c r="F2620" t="s">
        <v>1372</v>
      </c>
      <c r="G2620">
        <v>-13</v>
      </c>
      <c r="H2620">
        <v>869</v>
      </c>
      <c r="J2620" t="s">
        <v>1788</v>
      </c>
      <c r="K2620" t="s">
        <v>1383</v>
      </c>
    </row>
    <row r="2621" spans="1:12" x14ac:dyDescent="0.25">
      <c r="A2621" s="40">
        <v>45939.549618055556</v>
      </c>
      <c r="B2621" t="s">
        <v>1787</v>
      </c>
      <c r="C2621" t="s">
        <v>60</v>
      </c>
      <c r="D2621" t="s">
        <v>350</v>
      </c>
      <c r="E2621" t="s">
        <v>1364</v>
      </c>
      <c r="F2621" t="s">
        <v>1372</v>
      </c>
      <c r="G2621">
        <v>-24</v>
      </c>
      <c r="H2621">
        <v>2222</v>
      </c>
      <c r="J2621" t="s">
        <v>1788</v>
      </c>
      <c r="K2621" t="s">
        <v>1383</v>
      </c>
    </row>
    <row r="2622" spans="1:12" x14ac:dyDescent="0.25">
      <c r="A2622" s="40">
        <v>45939.549618055556</v>
      </c>
      <c r="B2622" t="s">
        <v>1787</v>
      </c>
      <c r="C2622" t="s">
        <v>339</v>
      </c>
      <c r="D2622" t="s">
        <v>340</v>
      </c>
      <c r="E2622" t="s">
        <v>1364</v>
      </c>
      <c r="F2622" t="s">
        <v>1372</v>
      </c>
      <c r="G2622">
        <v>-3</v>
      </c>
      <c r="H2622">
        <v>2008</v>
      </c>
      <c r="J2622" t="s">
        <v>1788</v>
      </c>
      <c r="K2622" t="s">
        <v>1383</v>
      </c>
    </row>
    <row r="2623" spans="1:12" x14ac:dyDescent="0.25">
      <c r="A2623" s="40">
        <v>45939.549618055556</v>
      </c>
      <c r="B2623" t="s">
        <v>1787</v>
      </c>
      <c r="C2623" t="s">
        <v>69</v>
      </c>
      <c r="D2623" t="s">
        <v>375</v>
      </c>
      <c r="E2623" t="s">
        <v>1364</v>
      </c>
      <c r="F2623" t="s">
        <v>1372</v>
      </c>
      <c r="G2623">
        <v>-18</v>
      </c>
      <c r="H2623">
        <v>4684</v>
      </c>
      <c r="J2623" t="s">
        <v>1788</v>
      </c>
      <c r="K2623" t="s">
        <v>1383</v>
      </c>
    </row>
    <row r="2624" spans="1:12" x14ac:dyDescent="0.25">
      <c r="A2624" s="40">
        <v>45939.549618055556</v>
      </c>
      <c r="B2624" t="s">
        <v>1787</v>
      </c>
      <c r="C2624" t="s">
        <v>102</v>
      </c>
      <c r="D2624" t="s">
        <v>508</v>
      </c>
      <c r="E2624" t="s">
        <v>1364</v>
      </c>
      <c r="F2624" t="s">
        <v>1372</v>
      </c>
      <c r="G2624">
        <v>-6</v>
      </c>
      <c r="H2624">
        <v>4401</v>
      </c>
      <c r="J2624" t="s">
        <v>1788</v>
      </c>
      <c r="K2624" t="s">
        <v>1383</v>
      </c>
    </row>
    <row r="2625" spans="1:11" x14ac:dyDescent="0.25">
      <c r="A2625" s="40">
        <v>45939.549618055556</v>
      </c>
      <c r="B2625" t="s">
        <v>1787</v>
      </c>
      <c r="C2625" t="s">
        <v>1</v>
      </c>
      <c r="D2625" t="s">
        <v>250</v>
      </c>
      <c r="E2625" t="s">
        <v>1364</v>
      </c>
      <c r="F2625" t="s">
        <v>1372</v>
      </c>
      <c r="G2625">
        <v>-71</v>
      </c>
      <c r="H2625">
        <v>9838</v>
      </c>
      <c r="J2625" t="s">
        <v>1788</v>
      </c>
      <c r="K2625" t="s">
        <v>1383</v>
      </c>
    </row>
    <row r="2626" spans="1:11" x14ac:dyDescent="0.25">
      <c r="A2626" s="40">
        <v>45939.549618055556</v>
      </c>
      <c r="B2626" t="s">
        <v>1787</v>
      </c>
      <c r="C2626" t="s">
        <v>68</v>
      </c>
      <c r="D2626" t="s">
        <v>374</v>
      </c>
      <c r="E2626" t="s">
        <v>1364</v>
      </c>
      <c r="F2626" t="s">
        <v>1372</v>
      </c>
      <c r="G2626">
        <v>-21</v>
      </c>
      <c r="H2626">
        <v>1690</v>
      </c>
      <c r="J2626" t="s">
        <v>1788</v>
      </c>
      <c r="K2626" t="s">
        <v>1383</v>
      </c>
    </row>
    <row r="2627" spans="1:11" x14ac:dyDescent="0.25">
      <c r="A2627" s="40">
        <v>45939.549618055556</v>
      </c>
      <c r="B2627" t="s">
        <v>1787</v>
      </c>
      <c r="C2627" t="s">
        <v>456</v>
      </c>
      <c r="D2627" t="s">
        <v>457</v>
      </c>
      <c r="E2627" t="s">
        <v>1364</v>
      </c>
      <c r="F2627" t="s">
        <v>1372</v>
      </c>
      <c r="G2627">
        <v>-14</v>
      </c>
      <c r="H2627">
        <v>3131</v>
      </c>
      <c r="J2627" t="s">
        <v>1788</v>
      </c>
      <c r="K2627" t="s">
        <v>1383</v>
      </c>
    </row>
    <row r="2628" spans="1:11" x14ac:dyDescent="0.25">
      <c r="A2628" s="40">
        <v>45939.549618055556</v>
      </c>
      <c r="B2628" t="s">
        <v>1787</v>
      </c>
      <c r="C2628" t="s">
        <v>27</v>
      </c>
      <c r="D2628" t="s">
        <v>381</v>
      </c>
      <c r="E2628" t="s">
        <v>1364</v>
      </c>
      <c r="F2628" t="s">
        <v>1372</v>
      </c>
      <c r="G2628">
        <v>-120</v>
      </c>
      <c r="H2628">
        <v>37433</v>
      </c>
      <c r="J2628" t="s">
        <v>1788</v>
      </c>
      <c r="K2628" t="s">
        <v>1383</v>
      </c>
    </row>
    <row r="2629" spans="1:11" x14ac:dyDescent="0.25">
      <c r="A2629" s="40">
        <v>45939.549618055556</v>
      </c>
      <c r="B2629" t="s">
        <v>1787</v>
      </c>
      <c r="C2629" t="s">
        <v>428</v>
      </c>
      <c r="D2629" t="s">
        <v>429</v>
      </c>
      <c r="E2629" t="s">
        <v>1364</v>
      </c>
      <c r="F2629" t="s">
        <v>1372</v>
      </c>
      <c r="G2629">
        <v>-10</v>
      </c>
      <c r="H2629">
        <v>5209</v>
      </c>
      <c r="J2629" t="s">
        <v>1788</v>
      </c>
      <c r="K2629" t="s">
        <v>1383</v>
      </c>
    </row>
    <row r="2630" spans="1:11" x14ac:dyDescent="0.25">
      <c r="A2630" s="40">
        <v>45939.549618055556</v>
      </c>
      <c r="B2630" t="s">
        <v>1787</v>
      </c>
      <c r="C2630" t="s">
        <v>330</v>
      </c>
      <c r="D2630" t="s">
        <v>331</v>
      </c>
      <c r="E2630" t="s">
        <v>1364</v>
      </c>
      <c r="F2630" t="s">
        <v>1372</v>
      </c>
      <c r="G2630">
        <v>-12</v>
      </c>
      <c r="H2630">
        <v>703</v>
      </c>
      <c r="J2630" t="s">
        <v>1788</v>
      </c>
      <c r="K2630" t="s">
        <v>1383</v>
      </c>
    </row>
    <row r="2631" spans="1:11" x14ac:dyDescent="0.25">
      <c r="A2631" s="40">
        <v>45939.549618055556</v>
      </c>
      <c r="B2631" t="s">
        <v>1787</v>
      </c>
      <c r="C2631" t="s">
        <v>75</v>
      </c>
      <c r="D2631" t="s">
        <v>251</v>
      </c>
      <c r="E2631" t="s">
        <v>1364</v>
      </c>
      <c r="F2631" t="s">
        <v>1372</v>
      </c>
      <c r="G2631">
        <v>-5</v>
      </c>
      <c r="H2631">
        <v>2383</v>
      </c>
      <c r="J2631" t="s">
        <v>1788</v>
      </c>
      <c r="K2631" t="s">
        <v>1383</v>
      </c>
    </row>
    <row r="2632" spans="1:11" x14ac:dyDescent="0.25">
      <c r="A2632" s="40">
        <v>45939.549618055556</v>
      </c>
      <c r="B2632" t="s">
        <v>1787</v>
      </c>
      <c r="C2632" t="s">
        <v>229</v>
      </c>
      <c r="D2632" t="s">
        <v>321</v>
      </c>
      <c r="E2632" t="s">
        <v>1364</v>
      </c>
      <c r="F2632" t="s">
        <v>1372</v>
      </c>
      <c r="G2632">
        <v>-6</v>
      </c>
      <c r="H2632">
        <v>7324</v>
      </c>
      <c r="J2632" t="s">
        <v>1788</v>
      </c>
      <c r="K2632" t="s">
        <v>1383</v>
      </c>
    </row>
    <row r="2633" spans="1:11" x14ac:dyDescent="0.25">
      <c r="A2633" s="40">
        <v>45939.549618055556</v>
      </c>
      <c r="B2633" t="s">
        <v>1787</v>
      </c>
      <c r="C2633" t="s">
        <v>335</v>
      </c>
      <c r="D2633" t="s">
        <v>336</v>
      </c>
      <c r="E2633" t="s">
        <v>1364</v>
      </c>
      <c r="F2633" t="s">
        <v>1372</v>
      </c>
      <c r="G2633">
        <v>-1</v>
      </c>
      <c r="H2633">
        <v>5275</v>
      </c>
      <c r="J2633" t="s">
        <v>1788</v>
      </c>
      <c r="K2633" t="s">
        <v>1383</v>
      </c>
    </row>
    <row r="2634" spans="1:11" x14ac:dyDescent="0.25">
      <c r="A2634" s="40">
        <v>45939.549618055556</v>
      </c>
      <c r="B2634" t="s">
        <v>1787</v>
      </c>
      <c r="C2634" t="s">
        <v>435</v>
      </c>
      <c r="D2634" t="s">
        <v>436</v>
      </c>
      <c r="E2634" t="s">
        <v>1364</v>
      </c>
      <c r="F2634" t="s">
        <v>1372</v>
      </c>
      <c r="G2634">
        <v>-5</v>
      </c>
      <c r="H2634">
        <v>4217</v>
      </c>
      <c r="J2634" t="s">
        <v>1788</v>
      </c>
      <c r="K2634" t="s">
        <v>1383</v>
      </c>
    </row>
    <row r="2635" spans="1:11" x14ac:dyDescent="0.25">
      <c r="A2635" s="40">
        <v>45939.549618055556</v>
      </c>
      <c r="B2635" t="s">
        <v>1787</v>
      </c>
      <c r="C2635" t="s">
        <v>62</v>
      </c>
      <c r="D2635" t="s">
        <v>354</v>
      </c>
      <c r="E2635" t="s">
        <v>1364</v>
      </c>
      <c r="F2635" t="s">
        <v>1372</v>
      </c>
      <c r="G2635">
        <v>-1</v>
      </c>
      <c r="H2635">
        <v>3344</v>
      </c>
      <c r="J2635" t="s">
        <v>1788</v>
      </c>
      <c r="K2635" t="s">
        <v>1383</v>
      </c>
    </row>
    <row r="2636" spans="1:11" x14ac:dyDescent="0.25">
      <c r="A2636" s="40">
        <v>45939.549618055556</v>
      </c>
      <c r="B2636" t="s">
        <v>1787</v>
      </c>
      <c r="C2636" t="s">
        <v>18</v>
      </c>
      <c r="D2636" t="s">
        <v>487</v>
      </c>
      <c r="E2636" t="s">
        <v>1364</v>
      </c>
      <c r="F2636" t="s">
        <v>1372</v>
      </c>
      <c r="G2636">
        <v>-51</v>
      </c>
      <c r="H2636">
        <v>3021</v>
      </c>
      <c r="J2636" t="s">
        <v>1788</v>
      </c>
      <c r="K2636" t="s">
        <v>1383</v>
      </c>
    </row>
    <row r="2637" spans="1:11" x14ac:dyDescent="0.25">
      <c r="A2637" s="40">
        <v>45939.549618055556</v>
      </c>
      <c r="B2637" t="s">
        <v>1787</v>
      </c>
      <c r="C2637" t="s">
        <v>20</v>
      </c>
      <c r="D2637" t="s">
        <v>498</v>
      </c>
      <c r="E2637" t="s">
        <v>1364</v>
      </c>
      <c r="F2637" t="s">
        <v>1372</v>
      </c>
      <c r="G2637">
        <v>-24</v>
      </c>
      <c r="H2637">
        <v>20842</v>
      </c>
      <c r="J2637" t="s">
        <v>1788</v>
      </c>
      <c r="K2637" t="s">
        <v>1383</v>
      </c>
    </row>
    <row r="2638" spans="1:11" x14ac:dyDescent="0.25">
      <c r="A2638" s="40">
        <v>45939.549618055556</v>
      </c>
      <c r="B2638" t="s">
        <v>1787</v>
      </c>
      <c r="C2638" t="s">
        <v>279</v>
      </c>
      <c r="D2638" t="s">
        <v>280</v>
      </c>
      <c r="E2638" t="s">
        <v>1364</v>
      </c>
      <c r="F2638" t="s">
        <v>1372</v>
      </c>
      <c r="G2638">
        <v>-1</v>
      </c>
      <c r="H2638">
        <v>580</v>
      </c>
      <c r="J2638" t="s">
        <v>1788</v>
      </c>
      <c r="K2638" t="s">
        <v>1383</v>
      </c>
    </row>
    <row r="2639" spans="1:11" x14ac:dyDescent="0.25">
      <c r="A2639" s="40">
        <v>45939.549618055556</v>
      </c>
      <c r="B2639" t="s">
        <v>1787</v>
      </c>
      <c r="C2639" t="s">
        <v>63</v>
      </c>
      <c r="D2639" t="s">
        <v>355</v>
      </c>
      <c r="E2639" t="s">
        <v>1364</v>
      </c>
      <c r="F2639" t="s">
        <v>1372</v>
      </c>
      <c r="G2639">
        <v>-1</v>
      </c>
      <c r="H2639">
        <v>2142</v>
      </c>
      <c r="J2639" t="s">
        <v>1788</v>
      </c>
      <c r="K2639" t="s">
        <v>1383</v>
      </c>
    </row>
    <row r="2640" spans="1:11" x14ac:dyDescent="0.25">
      <c r="A2640" s="40">
        <v>45939.549618055556</v>
      </c>
      <c r="B2640" t="s">
        <v>1787</v>
      </c>
      <c r="C2640" t="s">
        <v>412</v>
      </c>
      <c r="D2640" t="s">
        <v>413</v>
      </c>
      <c r="E2640" t="s">
        <v>1364</v>
      </c>
      <c r="F2640" t="s">
        <v>1372</v>
      </c>
      <c r="G2640">
        <v>-1</v>
      </c>
      <c r="H2640">
        <v>2505</v>
      </c>
      <c r="J2640" t="s">
        <v>1788</v>
      </c>
      <c r="K2640" t="s">
        <v>1383</v>
      </c>
    </row>
    <row r="2641" spans="1:11" x14ac:dyDescent="0.25">
      <c r="A2641" s="40">
        <v>45939.549618055556</v>
      </c>
      <c r="B2641" t="s">
        <v>1787</v>
      </c>
      <c r="C2641" t="s">
        <v>104</v>
      </c>
      <c r="D2641" t="s">
        <v>410</v>
      </c>
      <c r="E2641" t="s">
        <v>1364</v>
      </c>
      <c r="F2641" t="s">
        <v>1372</v>
      </c>
      <c r="G2641">
        <v>-1</v>
      </c>
      <c r="H2641">
        <v>4426</v>
      </c>
      <c r="J2641" t="s">
        <v>1788</v>
      </c>
      <c r="K2641" t="s">
        <v>1383</v>
      </c>
    </row>
    <row r="2642" spans="1:11" x14ac:dyDescent="0.25">
      <c r="A2642" s="40">
        <v>45939.549618055556</v>
      </c>
      <c r="B2642" t="s">
        <v>1787</v>
      </c>
      <c r="C2642" t="s">
        <v>64</v>
      </c>
      <c r="D2642" t="s">
        <v>356</v>
      </c>
      <c r="E2642" t="s">
        <v>1364</v>
      </c>
      <c r="F2642" t="s">
        <v>1372</v>
      </c>
      <c r="G2642">
        <v>-3</v>
      </c>
      <c r="H2642">
        <v>3753</v>
      </c>
      <c r="J2642" t="s">
        <v>1788</v>
      </c>
      <c r="K2642" t="s">
        <v>1383</v>
      </c>
    </row>
    <row r="2643" spans="1:11" x14ac:dyDescent="0.25">
      <c r="A2643" s="40">
        <v>45939.549618055556</v>
      </c>
      <c r="B2643" t="s">
        <v>1787</v>
      </c>
      <c r="C2643" t="s">
        <v>101</v>
      </c>
      <c r="D2643" t="s">
        <v>507</v>
      </c>
      <c r="E2643" t="s">
        <v>1364</v>
      </c>
      <c r="F2643" t="s">
        <v>1372</v>
      </c>
      <c r="G2643">
        <v>-1</v>
      </c>
      <c r="H2643">
        <v>4722</v>
      </c>
      <c r="J2643" t="s">
        <v>1788</v>
      </c>
      <c r="K2643" t="s">
        <v>1383</v>
      </c>
    </row>
    <row r="2644" spans="1:11" x14ac:dyDescent="0.25">
      <c r="A2644" s="40">
        <v>45939.549618055556</v>
      </c>
      <c r="B2644" t="s">
        <v>1787</v>
      </c>
      <c r="C2644" t="s">
        <v>56</v>
      </c>
      <c r="D2644" t="s">
        <v>313</v>
      </c>
      <c r="E2644" t="s">
        <v>1364</v>
      </c>
      <c r="F2644" t="s">
        <v>1372</v>
      </c>
      <c r="G2644">
        <v>-3</v>
      </c>
      <c r="H2644">
        <v>2918</v>
      </c>
      <c r="J2644" t="s">
        <v>1788</v>
      </c>
      <c r="K2644" t="s">
        <v>1383</v>
      </c>
    </row>
    <row r="2645" spans="1:11" x14ac:dyDescent="0.25">
      <c r="A2645" s="40">
        <v>45939.549618055556</v>
      </c>
      <c r="B2645" t="s">
        <v>1787</v>
      </c>
      <c r="C2645" t="s">
        <v>24</v>
      </c>
      <c r="D2645" t="s">
        <v>378</v>
      </c>
      <c r="E2645" t="s">
        <v>1364</v>
      </c>
      <c r="F2645" t="s">
        <v>1372</v>
      </c>
      <c r="G2645">
        <v>-5</v>
      </c>
      <c r="H2645">
        <v>76</v>
      </c>
      <c r="J2645" t="s">
        <v>1788</v>
      </c>
      <c r="K2645" t="s">
        <v>1383</v>
      </c>
    </row>
    <row r="2646" spans="1:11" x14ac:dyDescent="0.25">
      <c r="A2646" s="40">
        <v>45939.549618055556</v>
      </c>
      <c r="B2646" t="s">
        <v>1787</v>
      </c>
      <c r="C2646" t="s">
        <v>11</v>
      </c>
      <c r="D2646" t="s">
        <v>411</v>
      </c>
      <c r="E2646" t="s">
        <v>1364</v>
      </c>
      <c r="F2646" t="s">
        <v>1372</v>
      </c>
      <c r="G2646">
        <v>-2</v>
      </c>
      <c r="H2646">
        <v>3157</v>
      </c>
      <c r="J2646" t="s">
        <v>1788</v>
      </c>
      <c r="K2646" t="s">
        <v>1383</v>
      </c>
    </row>
    <row r="2647" spans="1:11" x14ac:dyDescent="0.25">
      <c r="A2647" s="40">
        <v>45939.549618055556</v>
      </c>
      <c r="B2647" t="s">
        <v>1787</v>
      </c>
      <c r="C2647" t="s">
        <v>31</v>
      </c>
      <c r="D2647" t="s">
        <v>493</v>
      </c>
      <c r="E2647" t="s">
        <v>1364</v>
      </c>
      <c r="F2647" t="s">
        <v>1372</v>
      </c>
      <c r="G2647">
        <v>-5</v>
      </c>
      <c r="H2647">
        <v>2876</v>
      </c>
      <c r="J2647" t="s">
        <v>1788</v>
      </c>
      <c r="K2647" t="s">
        <v>1383</v>
      </c>
    </row>
    <row r="2648" spans="1:11" x14ac:dyDescent="0.25">
      <c r="A2648" s="40">
        <v>45939.549618055556</v>
      </c>
      <c r="B2648" t="s">
        <v>1787</v>
      </c>
      <c r="C2648" t="s">
        <v>15</v>
      </c>
      <c r="D2648" t="s">
        <v>474</v>
      </c>
      <c r="E2648" t="s">
        <v>1364</v>
      </c>
      <c r="F2648" t="s">
        <v>1372</v>
      </c>
      <c r="G2648">
        <v>-2</v>
      </c>
      <c r="H2648">
        <v>11269</v>
      </c>
      <c r="J2648" t="s">
        <v>1788</v>
      </c>
      <c r="K2648" t="s">
        <v>1383</v>
      </c>
    </row>
    <row r="2649" spans="1:11" x14ac:dyDescent="0.25">
      <c r="A2649" s="40">
        <v>45939.549618055556</v>
      </c>
      <c r="B2649" t="s">
        <v>1787</v>
      </c>
      <c r="C2649" t="s">
        <v>47</v>
      </c>
      <c r="D2649" t="s">
        <v>395</v>
      </c>
      <c r="E2649" t="s">
        <v>1364</v>
      </c>
      <c r="F2649" t="s">
        <v>1372</v>
      </c>
      <c r="G2649">
        <v>-3</v>
      </c>
      <c r="H2649">
        <v>20685</v>
      </c>
      <c r="J2649" t="s">
        <v>1788</v>
      </c>
      <c r="K2649" t="s">
        <v>1383</v>
      </c>
    </row>
    <row r="2650" spans="1:11" x14ac:dyDescent="0.25">
      <c r="A2650" s="40">
        <v>45939.549618055556</v>
      </c>
      <c r="B2650" t="s">
        <v>1787</v>
      </c>
      <c r="C2650" t="s">
        <v>57</v>
      </c>
      <c r="D2650" t="s">
        <v>314</v>
      </c>
      <c r="E2650" t="s">
        <v>1364</v>
      </c>
      <c r="F2650" t="s">
        <v>1372</v>
      </c>
      <c r="G2650">
        <v>-2</v>
      </c>
      <c r="H2650">
        <v>4835</v>
      </c>
      <c r="J2650" t="s">
        <v>1788</v>
      </c>
      <c r="K2650" t="s">
        <v>1383</v>
      </c>
    </row>
    <row r="2651" spans="1:11" x14ac:dyDescent="0.25">
      <c r="A2651" s="40">
        <v>45939.549618055556</v>
      </c>
      <c r="B2651" t="s">
        <v>1787</v>
      </c>
      <c r="C2651" t="s">
        <v>32</v>
      </c>
      <c r="D2651" t="s">
        <v>384</v>
      </c>
      <c r="E2651" t="s">
        <v>1364</v>
      </c>
      <c r="F2651" t="s">
        <v>1372</v>
      </c>
      <c r="G2651">
        <v>-1</v>
      </c>
      <c r="H2651">
        <v>2966</v>
      </c>
      <c r="J2651" t="s">
        <v>1788</v>
      </c>
      <c r="K2651" t="s">
        <v>1383</v>
      </c>
    </row>
    <row r="2652" spans="1:11" x14ac:dyDescent="0.25">
      <c r="A2652" s="40">
        <v>45939.549618055556</v>
      </c>
      <c r="B2652" t="s">
        <v>1787</v>
      </c>
      <c r="C2652" t="s">
        <v>5</v>
      </c>
      <c r="D2652" t="s">
        <v>389</v>
      </c>
      <c r="E2652" t="s">
        <v>1364</v>
      </c>
      <c r="F2652" t="s">
        <v>1372</v>
      </c>
      <c r="G2652">
        <v>-2</v>
      </c>
      <c r="H2652">
        <v>10024</v>
      </c>
      <c r="J2652" t="s">
        <v>1788</v>
      </c>
      <c r="K2652" t="s">
        <v>1383</v>
      </c>
    </row>
    <row r="2653" spans="1:11" x14ac:dyDescent="0.25">
      <c r="A2653" s="40">
        <v>45939.549618055556</v>
      </c>
      <c r="B2653" t="s">
        <v>1787</v>
      </c>
      <c r="C2653" t="s">
        <v>26</v>
      </c>
      <c r="D2653" t="s">
        <v>380</v>
      </c>
      <c r="E2653" t="s">
        <v>1364</v>
      </c>
      <c r="F2653" t="s">
        <v>1372</v>
      </c>
      <c r="G2653">
        <v>-2</v>
      </c>
      <c r="H2653">
        <v>3342</v>
      </c>
      <c r="J2653" t="s">
        <v>1788</v>
      </c>
      <c r="K2653" t="s">
        <v>1383</v>
      </c>
    </row>
    <row r="2654" spans="1:11" x14ac:dyDescent="0.25">
      <c r="A2654" s="40">
        <v>45939.549618055556</v>
      </c>
      <c r="B2654" t="s">
        <v>1787</v>
      </c>
      <c r="C2654" t="s">
        <v>23</v>
      </c>
      <c r="D2654" t="s">
        <v>490</v>
      </c>
      <c r="E2654" t="s">
        <v>1364</v>
      </c>
      <c r="F2654" t="s">
        <v>1372</v>
      </c>
      <c r="G2654">
        <v>-1</v>
      </c>
      <c r="H2654">
        <v>3231</v>
      </c>
      <c r="J2654" t="s">
        <v>1788</v>
      </c>
      <c r="K2654" t="s">
        <v>1383</v>
      </c>
    </row>
    <row r="2655" spans="1:11" x14ac:dyDescent="0.25">
      <c r="A2655" s="40">
        <v>45939.549618055556</v>
      </c>
      <c r="B2655" t="s">
        <v>1787</v>
      </c>
      <c r="C2655" t="s">
        <v>90</v>
      </c>
      <c r="D2655" t="s">
        <v>503</v>
      </c>
      <c r="E2655" t="s">
        <v>1364</v>
      </c>
      <c r="F2655" t="s">
        <v>1372</v>
      </c>
      <c r="G2655">
        <v>-1</v>
      </c>
      <c r="H2655">
        <v>4102</v>
      </c>
      <c r="J2655" t="s">
        <v>1788</v>
      </c>
      <c r="K2655" t="s">
        <v>1383</v>
      </c>
    </row>
    <row r="2656" spans="1:11" x14ac:dyDescent="0.25">
      <c r="A2656" s="40">
        <v>45939.549618055556</v>
      </c>
      <c r="B2656" t="s">
        <v>1787</v>
      </c>
      <c r="C2656" t="s">
        <v>1751</v>
      </c>
      <c r="E2656" t="s">
        <v>1364</v>
      </c>
      <c r="F2656" t="s">
        <v>1372</v>
      </c>
      <c r="G2656">
        <v>-1</v>
      </c>
      <c r="H2656">
        <v>397</v>
      </c>
      <c r="J2656" t="s">
        <v>1788</v>
      </c>
      <c r="K2656" t="s">
        <v>1383</v>
      </c>
    </row>
    <row r="2657" spans="1:11" x14ac:dyDescent="0.25">
      <c r="A2657" s="40">
        <v>45940.264224537037</v>
      </c>
      <c r="B2657" t="s">
        <v>1789</v>
      </c>
      <c r="C2657" t="s">
        <v>1483</v>
      </c>
      <c r="E2657" t="s">
        <v>1365</v>
      </c>
      <c r="F2657" t="s">
        <v>1372</v>
      </c>
      <c r="G2657">
        <v>-36</v>
      </c>
      <c r="H2657">
        <v>-22</v>
      </c>
      <c r="K2657" t="s">
        <v>1383</v>
      </c>
    </row>
    <row r="2658" spans="1:11" x14ac:dyDescent="0.25">
      <c r="A2658" s="40">
        <v>45940.264224537037</v>
      </c>
      <c r="B2658" t="s">
        <v>1789</v>
      </c>
      <c r="C2658" t="s">
        <v>1751</v>
      </c>
      <c r="E2658" t="s">
        <v>1364</v>
      </c>
      <c r="F2658" t="s">
        <v>1372</v>
      </c>
      <c r="G2658">
        <v>-39</v>
      </c>
      <c r="H2658">
        <v>358</v>
      </c>
      <c r="K2658" t="s">
        <v>1383</v>
      </c>
    </row>
    <row r="2659" spans="1:11" x14ac:dyDescent="0.25">
      <c r="A2659" s="40">
        <v>45940.264224537037</v>
      </c>
      <c r="B2659" t="s">
        <v>1789</v>
      </c>
      <c r="C2659" t="s">
        <v>62</v>
      </c>
      <c r="D2659" t="s">
        <v>354</v>
      </c>
      <c r="E2659" t="s">
        <v>1364</v>
      </c>
      <c r="F2659" t="s">
        <v>1372</v>
      </c>
      <c r="G2659">
        <v>-54</v>
      </c>
      <c r="H2659">
        <v>3290</v>
      </c>
      <c r="K2659" t="s">
        <v>1383</v>
      </c>
    </row>
    <row r="2660" spans="1:11" x14ac:dyDescent="0.25">
      <c r="A2660" s="40">
        <v>45940.264224537037</v>
      </c>
      <c r="B2660" t="s">
        <v>1789</v>
      </c>
      <c r="C2660" t="s">
        <v>435</v>
      </c>
      <c r="D2660" t="s">
        <v>436</v>
      </c>
      <c r="E2660" t="s">
        <v>1364</v>
      </c>
      <c r="F2660" t="s">
        <v>1372</v>
      </c>
      <c r="G2660">
        <v>-151</v>
      </c>
      <c r="H2660">
        <v>4066</v>
      </c>
      <c r="K2660" t="s">
        <v>1383</v>
      </c>
    </row>
    <row r="2661" spans="1:11" x14ac:dyDescent="0.25">
      <c r="A2661" s="40">
        <v>45940.264224537037</v>
      </c>
      <c r="B2661" t="s">
        <v>1789</v>
      </c>
      <c r="C2661" t="s">
        <v>267</v>
      </c>
      <c r="D2661" t="s">
        <v>268</v>
      </c>
      <c r="E2661" t="s">
        <v>1364</v>
      </c>
      <c r="F2661" t="s">
        <v>1372</v>
      </c>
      <c r="G2661">
        <v>-98</v>
      </c>
      <c r="H2661">
        <v>427</v>
      </c>
      <c r="K2661" t="s">
        <v>1383</v>
      </c>
    </row>
    <row r="2662" spans="1:11" x14ac:dyDescent="0.25">
      <c r="A2662" s="40">
        <v>45940.264224537037</v>
      </c>
      <c r="B2662" t="s">
        <v>1789</v>
      </c>
      <c r="C2662" t="s">
        <v>412</v>
      </c>
      <c r="D2662" t="s">
        <v>413</v>
      </c>
      <c r="E2662" t="s">
        <v>1364</v>
      </c>
      <c r="F2662" t="s">
        <v>1372</v>
      </c>
      <c r="G2662">
        <v>-74</v>
      </c>
      <c r="H2662">
        <v>2431</v>
      </c>
      <c r="K2662" t="s">
        <v>1383</v>
      </c>
    </row>
    <row r="2663" spans="1:11" x14ac:dyDescent="0.25">
      <c r="A2663" s="40">
        <v>45940.264224537037</v>
      </c>
      <c r="B2663" t="s">
        <v>1789</v>
      </c>
      <c r="C2663" t="s">
        <v>437</v>
      </c>
      <c r="D2663" t="s">
        <v>438</v>
      </c>
      <c r="E2663" t="s">
        <v>1364</v>
      </c>
      <c r="F2663" t="s">
        <v>1372</v>
      </c>
      <c r="G2663">
        <v>-54</v>
      </c>
      <c r="H2663">
        <v>2450</v>
      </c>
      <c r="K2663" t="s">
        <v>1383</v>
      </c>
    </row>
    <row r="2664" spans="1:11" x14ac:dyDescent="0.25">
      <c r="A2664" s="40">
        <v>45940.264224537037</v>
      </c>
      <c r="B2664" t="s">
        <v>1789</v>
      </c>
      <c r="C2664" t="s">
        <v>693</v>
      </c>
      <c r="D2664" t="s">
        <v>701</v>
      </c>
      <c r="E2664" t="s">
        <v>1364</v>
      </c>
      <c r="F2664" t="s">
        <v>1372</v>
      </c>
      <c r="G2664">
        <v>-54</v>
      </c>
      <c r="H2664">
        <v>164</v>
      </c>
      <c r="K2664" t="s">
        <v>1383</v>
      </c>
    </row>
    <row r="2665" spans="1:11" x14ac:dyDescent="0.25">
      <c r="A2665" s="40">
        <v>45940.264224537037</v>
      </c>
      <c r="B2665" t="s">
        <v>1789</v>
      </c>
      <c r="C2665" t="s">
        <v>260</v>
      </c>
      <c r="D2665" t="s">
        <v>261</v>
      </c>
      <c r="E2665" t="s">
        <v>1364</v>
      </c>
      <c r="F2665" t="s">
        <v>1372</v>
      </c>
      <c r="G2665">
        <v>-278</v>
      </c>
      <c r="H2665">
        <v>-270</v>
      </c>
      <c r="K2665" t="s">
        <v>1383</v>
      </c>
    </row>
    <row r="2666" spans="1:11" x14ac:dyDescent="0.25">
      <c r="A2666" s="40">
        <v>45940.264224537037</v>
      </c>
      <c r="B2666" t="s">
        <v>1789</v>
      </c>
      <c r="C2666" t="s">
        <v>479</v>
      </c>
      <c r="D2666" t="s">
        <v>480</v>
      </c>
      <c r="E2666" t="s">
        <v>1364</v>
      </c>
      <c r="F2666" t="s">
        <v>1372</v>
      </c>
      <c r="G2666">
        <v>-40</v>
      </c>
      <c r="H2666">
        <v>2815</v>
      </c>
      <c r="K2666" t="s">
        <v>1383</v>
      </c>
    </row>
    <row r="2667" spans="1:11" x14ac:dyDescent="0.25">
      <c r="A2667" s="40">
        <v>45940.264224537037</v>
      </c>
      <c r="B2667" t="s">
        <v>1789</v>
      </c>
      <c r="C2667" t="s">
        <v>258</v>
      </c>
      <c r="D2667" t="s">
        <v>259</v>
      </c>
      <c r="E2667" t="s">
        <v>1364</v>
      </c>
      <c r="F2667" t="s">
        <v>1372</v>
      </c>
      <c r="G2667">
        <v>-244</v>
      </c>
      <c r="H2667">
        <v>3366</v>
      </c>
      <c r="K2667" t="s">
        <v>1383</v>
      </c>
    </row>
    <row r="2668" spans="1:11" x14ac:dyDescent="0.25">
      <c r="A2668" s="40">
        <v>45940.264224537037</v>
      </c>
      <c r="B2668" t="s">
        <v>1789</v>
      </c>
      <c r="C2668" t="s">
        <v>458</v>
      </c>
      <c r="D2668" t="s">
        <v>459</v>
      </c>
      <c r="E2668" t="s">
        <v>1364</v>
      </c>
      <c r="F2668" t="s">
        <v>1372</v>
      </c>
      <c r="G2668">
        <v>-244</v>
      </c>
      <c r="H2668">
        <v>2541</v>
      </c>
      <c r="K2668" t="s">
        <v>1383</v>
      </c>
    </row>
    <row r="2669" spans="1:11" x14ac:dyDescent="0.25">
      <c r="A2669" s="40">
        <v>45940.264224537037</v>
      </c>
      <c r="B2669" t="s">
        <v>1789</v>
      </c>
      <c r="C2669" t="s">
        <v>322</v>
      </c>
      <c r="D2669" t="s">
        <v>323</v>
      </c>
      <c r="E2669" t="s">
        <v>1364</v>
      </c>
      <c r="F2669" t="s">
        <v>1372</v>
      </c>
      <c r="G2669">
        <v>-278</v>
      </c>
      <c r="H2669">
        <v>2776</v>
      </c>
      <c r="K2669" t="s">
        <v>1383</v>
      </c>
    </row>
    <row r="2670" spans="1:11" x14ac:dyDescent="0.25">
      <c r="A2670" s="40">
        <v>45940.264224537037</v>
      </c>
      <c r="B2670" t="s">
        <v>1789</v>
      </c>
      <c r="C2670" t="s">
        <v>65</v>
      </c>
      <c r="D2670" t="s">
        <v>347</v>
      </c>
      <c r="E2670" t="s">
        <v>1364</v>
      </c>
      <c r="F2670" t="s">
        <v>1372</v>
      </c>
      <c r="G2670">
        <v>-54</v>
      </c>
      <c r="H2670">
        <v>2416</v>
      </c>
      <c r="K2670" t="s">
        <v>1383</v>
      </c>
    </row>
    <row r="2671" spans="1:11" x14ac:dyDescent="0.25">
      <c r="A2671" s="40">
        <v>45940.264224537037</v>
      </c>
      <c r="B2671" t="s">
        <v>1789</v>
      </c>
      <c r="C2671" t="s">
        <v>66</v>
      </c>
      <c r="D2671" t="s">
        <v>357</v>
      </c>
      <c r="E2671" t="s">
        <v>1364</v>
      </c>
      <c r="F2671" t="s">
        <v>1372</v>
      </c>
      <c r="G2671">
        <v>-390</v>
      </c>
      <c r="H2671">
        <v>4080</v>
      </c>
      <c r="K2671" t="s">
        <v>1383</v>
      </c>
    </row>
    <row r="2672" spans="1:11" x14ac:dyDescent="0.25">
      <c r="A2672" s="40">
        <v>45940.264224537037</v>
      </c>
      <c r="B2672" t="s">
        <v>1789</v>
      </c>
      <c r="C2672" t="s">
        <v>37</v>
      </c>
      <c r="D2672" t="s">
        <v>497</v>
      </c>
      <c r="E2672" t="s">
        <v>1364</v>
      </c>
      <c r="F2672" t="s">
        <v>1372</v>
      </c>
      <c r="G2672">
        <v>-76</v>
      </c>
      <c r="H2672">
        <v>6291</v>
      </c>
      <c r="K2672" t="s">
        <v>1383</v>
      </c>
    </row>
    <row r="2673" spans="1:11" x14ac:dyDescent="0.25">
      <c r="A2673" s="40">
        <v>45940.264224537037</v>
      </c>
      <c r="B2673" t="s">
        <v>1789</v>
      </c>
      <c r="C2673" t="s">
        <v>275</v>
      </c>
      <c r="D2673" t="s">
        <v>276</v>
      </c>
      <c r="E2673" t="s">
        <v>1364</v>
      </c>
      <c r="F2673" t="s">
        <v>1372</v>
      </c>
      <c r="G2673">
        <v>-54</v>
      </c>
      <c r="H2673">
        <v>2121</v>
      </c>
      <c r="K2673" t="s">
        <v>1383</v>
      </c>
    </row>
    <row r="2674" spans="1:11" x14ac:dyDescent="0.25">
      <c r="A2674" s="40">
        <v>45940.264224537037</v>
      </c>
      <c r="B2674" t="s">
        <v>1789</v>
      </c>
      <c r="C2674" t="s">
        <v>26</v>
      </c>
      <c r="D2674" t="s">
        <v>380</v>
      </c>
      <c r="E2674" t="s">
        <v>1364</v>
      </c>
      <c r="F2674" t="s">
        <v>1372</v>
      </c>
      <c r="G2674">
        <v>-54</v>
      </c>
      <c r="H2674">
        <v>3288</v>
      </c>
      <c r="K2674" t="s">
        <v>1383</v>
      </c>
    </row>
    <row r="2675" spans="1:11" x14ac:dyDescent="0.25">
      <c r="A2675" s="40">
        <v>45940.264224537037</v>
      </c>
      <c r="B2675" t="s">
        <v>1789</v>
      </c>
      <c r="C2675" t="s">
        <v>61</v>
      </c>
      <c r="D2675" t="s">
        <v>353</v>
      </c>
      <c r="E2675" t="s">
        <v>1364</v>
      </c>
      <c r="F2675" t="s">
        <v>1372</v>
      </c>
      <c r="G2675">
        <v>-534</v>
      </c>
      <c r="H2675">
        <v>3903</v>
      </c>
      <c r="K2675" t="s">
        <v>1383</v>
      </c>
    </row>
    <row r="2676" spans="1:11" x14ac:dyDescent="0.25">
      <c r="A2676" s="40">
        <v>45940.264224537037</v>
      </c>
      <c r="B2676" t="s">
        <v>1789</v>
      </c>
      <c r="C2676" t="s">
        <v>10</v>
      </c>
      <c r="D2676" t="s">
        <v>332</v>
      </c>
      <c r="E2676" t="s">
        <v>1364</v>
      </c>
      <c r="F2676" t="s">
        <v>1372</v>
      </c>
      <c r="G2676">
        <v>-808</v>
      </c>
      <c r="H2676">
        <v>6348</v>
      </c>
      <c r="K2676" t="s">
        <v>1383</v>
      </c>
    </row>
    <row r="2677" spans="1:11" x14ac:dyDescent="0.25">
      <c r="A2677" s="40">
        <v>45940.264224537037</v>
      </c>
      <c r="B2677" t="s">
        <v>1789</v>
      </c>
      <c r="C2677" t="s">
        <v>230</v>
      </c>
      <c r="D2677" t="s">
        <v>255</v>
      </c>
      <c r="E2677" t="s">
        <v>1364</v>
      </c>
      <c r="F2677" t="s">
        <v>1372</v>
      </c>
      <c r="G2677">
        <v>-137</v>
      </c>
      <c r="H2677">
        <v>2954</v>
      </c>
      <c r="K2677" t="s">
        <v>1383</v>
      </c>
    </row>
    <row r="2678" spans="1:11" x14ac:dyDescent="0.25">
      <c r="A2678" s="40">
        <v>45940.264224537037</v>
      </c>
      <c r="B2678" t="s">
        <v>1789</v>
      </c>
      <c r="C2678" t="s">
        <v>277</v>
      </c>
      <c r="D2678" t="s">
        <v>278</v>
      </c>
      <c r="E2678" t="s">
        <v>1364</v>
      </c>
      <c r="F2678" t="s">
        <v>1372</v>
      </c>
      <c r="G2678">
        <v>-98</v>
      </c>
      <c r="H2678">
        <v>2234</v>
      </c>
      <c r="K2678" t="s">
        <v>1383</v>
      </c>
    </row>
    <row r="2679" spans="1:11" x14ac:dyDescent="0.25">
      <c r="A2679" s="40">
        <v>45940.264224537037</v>
      </c>
      <c r="B2679" t="s">
        <v>1789</v>
      </c>
      <c r="C2679" t="s">
        <v>1353</v>
      </c>
      <c r="E2679" t="s">
        <v>1365</v>
      </c>
      <c r="F2679" t="s">
        <v>1372</v>
      </c>
      <c r="G2679">
        <v>-120</v>
      </c>
      <c r="H2679">
        <v>1550</v>
      </c>
      <c r="K2679" t="s">
        <v>1383</v>
      </c>
    </row>
    <row r="2680" spans="1:11" x14ac:dyDescent="0.25">
      <c r="A2680" s="40">
        <v>45940.264224537037</v>
      </c>
      <c r="B2680" t="s">
        <v>1789</v>
      </c>
      <c r="C2680" t="s">
        <v>339</v>
      </c>
      <c r="D2680" t="s">
        <v>340</v>
      </c>
      <c r="E2680" t="s">
        <v>1364</v>
      </c>
      <c r="F2680" t="s">
        <v>1372</v>
      </c>
      <c r="G2680">
        <v>-98</v>
      </c>
      <c r="H2680">
        <v>1910</v>
      </c>
      <c r="K2680" t="s">
        <v>1383</v>
      </c>
    </row>
    <row r="2681" spans="1:11" x14ac:dyDescent="0.25">
      <c r="A2681" s="40">
        <v>45940.264224537037</v>
      </c>
      <c r="B2681" t="s">
        <v>1789</v>
      </c>
      <c r="C2681" t="s">
        <v>46</v>
      </c>
      <c r="D2681" t="s">
        <v>394</v>
      </c>
      <c r="E2681" t="s">
        <v>1364</v>
      </c>
      <c r="F2681" t="s">
        <v>1372</v>
      </c>
      <c r="G2681">
        <v>-54</v>
      </c>
      <c r="H2681">
        <v>3408</v>
      </c>
      <c r="K2681" t="s">
        <v>1383</v>
      </c>
    </row>
    <row r="2682" spans="1:11" x14ac:dyDescent="0.25">
      <c r="A2682" s="40">
        <v>45940.264224537037</v>
      </c>
      <c r="B2682" t="s">
        <v>1789</v>
      </c>
      <c r="C2682" t="s">
        <v>302</v>
      </c>
      <c r="D2682" t="s">
        <v>303</v>
      </c>
      <c r="E2682" t="s">
        <v>1364</v>
      </c>
      <c r="F2682" t="s">
        <v>1372</v>
      </c>
      <c r="G2682">
        <v>-54</v>
      </c>
      <c r="H2682">
        <v>2540</v>
      </c>
      <c r="K2682" t="s">
        <v>1383</v>
      </c>
    </row>
    <row r="2683" spans="1:11" x14ac:dyDescent="0.25">
      <c r="A2683" s="40">
        <v>45940.264224537037</v>
      </c>
      <c r="B2683" t="s">
        <v>1789</v>
      </c>
      <c r="C2683" t="s">
        <v>462</v>
      </c>
      <c r="D2683" t="s">
        <v>463</v>
      </c>
      <c r="E2683" t="s">
        <v>1364</v>
      </c>
      <c r="F2683" t="s">
        <v>1372</v>
      </c>
      <c r="G2683">
        <v>-98</v>
      </c>
      <c r="H2683">
        <v>2579</v>
      </c>
      <c r="K2683" t="s">
        <v>1383</v>
      </c>
    </row>
    <row r="2684" spans="1:11" x14ac:dyDescent="0.25">
      <c r="A2684" s="40">
        <v>45940.264224537037</v>
      </c>
      <c r="B2684" t="s">
        <v>1789</v>
      </c>
      <c r="C2684" t="s">
        <v>9</v>
      </c>
      <c r="D2684" t="s">
        <v>316</v>
      </c>
      <c r="E2684" t="s">
        <v>1364</v>
      </c>
      <c r="F2684" t="s">
        <v>1372</v>
      </c>
      <c r="G2684">
        <v>-76</v>
      </c>
      <c r="H2684">
        <v>2370</v>
      </c>
      <c r="K2684" t="s">
        <v>1383</v>
      </c>
    </row>
    <row r="2685" spans="1:11" x14ac:dyDescent="0.25">
      <c r="A2685" s="40">
        <v>45940.264224537037</v>
      </c>
      <c r="B2685" t="s">
        <v>1789</v>
      </c>
      <c r="C2685" t="s">
        <v>34</v>
      </c>
      <c r="D2685" t="s">
        <v>495</v>
      </c>
      <c r="E2685" t="s">
        <v>1364</v>
      </c>
      <c r="F2685" t="s">
        <v>1372</v>
      </c>
      <c r="G2685">
        <v>-137</v>
      </c>
      <c r="H2685">
        <v>2813</v>
      </c>
      <c r="K2685" t="s">
        <v>1383</v>
      </c>
    </row>
    <row r="2686" spans="1:11" x14ac:dyDescent="0.25">
      <c r="A2686" s="40">
        <v>45940.264224537037</v>
      </c>
      <c r="B2686" t="s">
        <v>1789</v>
      </c>
      <c r="C2686" t="s">
        <v>51</v>
      </c>
      <c r="D2686" t="s">
        <v>502</v>
      </c>
      <c r="E2686" t="s">
        <v>1364</v>
      </c>
      <c r="F2686" t="s">
        <v>1372</v>
      </c>
      <c r="G2686">
        <v>-244</v>
      </c>
      <c r="H2686">
        <v>2136</v>
      </c>
      <c r="K2686" t="s">
        <v>1383</v>
      </c>
    </row>
    <row r="2687" spans="1:11" x14ac:dyDescent="0.25">
      <c r="A2687" s="40">
        <v>45940.264224537037</v>
      </c>
      <c r="B2687" t="s">
        <v>1789</v>
      </c>
      <c r="C2687" t="s">
        <v>33</v>
      </c>
      <c r="D2687" t="s">
        <v>494</v>
      </c>
      <c r="E2687" t="s">
        <v>1364</v>
      </c>
      <c r="F2687" t="s">
        <v>1372</v>
      </c>
      <c r="G2687">
        <v>-54</v>
      </c>
      <c r="H2687">
        <v>3416</v>
      </c>
      <c r="K2687" t="s">
        <v>1383</v>
      </c>
    </row>
    <row r="2688" spans="1:11" x14ac:dyDescent="0.25">
      <c r="A2688" s="40">
        <v>45940.264224537037</v>
      </c>
      <c r="B2688" t="s">
        <v>1789</v>
      </c>
      <c r="C2688" t="s">
        <v>328</v>
      </c>
      <c r="D2688" t="s">
        <v>329</v>
      </c>
      <c r="E2688" t="s">
        <v>1364</v>
      </c>
      <c r="F2688" t="s">
        <v>1372</v>
      </c>
      <c r="G2688">
        <v>-54</v>
      </c>
      <c r="H2688">
        <v>3176</v>
      </c>
      <c r="K2688" t="s">
        <v>1383</v>
      </c>
    </row>
    <row r="2689" spans="1:11" x14ac:dyDescent="0.25">
      <c r="A2689" s="40">
        <v>45940.264224537037</v>
      </c>
      <c r="B2689" t="s">
        <v>1789</v>
      </c>
      <c r="C2689" t="s">
        <v>43</v>
      </c>
      <c r="D2689" t="s">
        <v>499</v>
      </c>
      <c r="E2689" t="s">
        <v>1364</v>
      </c>
      <c r="F2689" t="s">
        <v>1372</v>
      </c>
      <c r="G2689">
        <v>-76</v>
      </c>
      <c r="H2689">
        <v>2814</v>
      </c>
      <c r="K2689" t="s">
        <v>1383</v>
      </c>
    </row>
    <row r="2690" spans="1:11" x14ac:dyDescent="0.25">
      <c r="A2690" s="40">
        <v>45940.264224537037</v>
      </c>
      <c r="B2690" t="s">
        <v>1789</v>
      </c>
      <c r="C2690" t="s">
        <v>1352</v>
      </c>
      <c r="E2690" t="s">
        <v>1365</v>
      </c>
      <c r="F2690" t="s">
        <v>1372</v>
      </c>
      <c r="G2690">
        <v>-225</v>
      </c>
      <c r="H2690">
        <v>170</v>
      </c>
      <c r="K2690" t="s">
        <v>1383</v>
      </c>
    </row>
    <row r="2691" spans="1:11" x14ac:dyDescent="0.25">
      <c r="A2691" s="40">
        <v>45940.264224537037</v>
      </c>
      <c r="B2691" t="s">
        <v>1789</v>
      </c>
      <c r="C2691" t="s">
        <v>56</v>
      </c>
      <c r="D2691" t="s">
        <v>313</v>
      </c>
      <c r="E2691" t="s">
        <v>1364</v>
      </c>
      <c r="F2691" t="s">
        <v>1372</v>
      </c>
      <c r="G2691">
        <v>-137</v>
      </c>
      <c r="H2691">
        <v>2781</v>
      </c>
      <c r="K2691" t="s">
        <v>1383</v>
      </c>
    </row>
    <row r="2692" spans="1:11" x14ac:dyDescent="0.25">
      <c r="A2692" s="40">
        <v>45940.264224537037</v>
      </c>
      <c r="B2692" t="s">
        <v>1789</v>
      </c>
      <c r="C2692" t="s">
        <v>35</v>
      </c>
      <c r="D2692" t="s">
        <v>496</v>
      </c>
      <c r="E2692" t="s">
        <v>1364</v>
      </c>
      <c r="F2692" t="s">
        <v>1372</v>
      </c>
      <c r="G2692">
        <v>-356</v>
      </c>
      <c r="H2692">
        <v>524</v>
      </c>
      <c r="K2692" t="s">
        <v>1383</v>
      </c>
    </row>
    <row r="2693" spans="1:11" x14ac:dyDescent="0.25">
      <c r="A2693" s="40">
        <v>45940.264224537037</v>
      </c>
      <c r="B2693" t="s">
        <v>1789</v>
      </c>
      <c r="C2693" t="s">
        <v>41</v>
      </c>
      <c r="D2693" t="s">
        <v>390</v>
      </c>
      <c r="E2693" t="s">
        <v>1364</v>
      </c>
      <c r="F2693" t="s">
        <v>1372</v>
      </c>
      <c r="G2693">
        <v>-54</v>
      </c>
      <c r="H2693">
        <v>3291</v>
      </c>
      <c r="K2693" t="s">
        <v>1383</v>
      </c>
    </row>
    <row r="2694" spans="1:11" x14ac:dyDescent="0.25">
      <c r="A2694" s="40">
        <v>45940.264224537037</v>
      </c>
      <c r="B2694" t="s">
        <v>1789</v>
      </c>
      <c r="C2694" t="s">
        <v>3</v>
      </c>
      <c r="D2694" t="s">
        <v>287</v>
      </c>
      <c r="E2694" t="s">
        <v>1364</v>
      </c>
      <c r="F2694" t="s">
        <v>1372</v>
      </c>
      <c r="G2694">
        <v>-187</v>
      </c>
      <c r="H2694">
        <v>6600</v>
      </c>
      <c r="K2694" t="s">
        <v>1383</v>
      </c>
    </row>
    <row r="2695" spans="1:11" x14ac:dyDescent="0.25">
      <c r="A2695" s="40">
        <v>45940.264224537037</v>
      </c>
      <c r="B2695" t="s">
        <v>1789</v>
      </c>
      <c r="C2695" t="s">
        <v>55</v>
      </c>
      <c r="D2695" t="s">
        <v>312</v>
      </c>
      <c r="E2695" t="s">
        <v>1364</v>
      </c>
      <c r="F2695" t="s">
        <v>1372</v>
      </c>
      <c r="G2695">
        <v>-98</v>
      </c>
      <c r="H2695">
        <v>1216</v>
      </c>
      <c r="K2695" t="s">
        <v>1383</v>
      </c>
    </row>
    <row r="2696" spans="1:11" x14ac:dyDescent="0.25">
      <c r="A2696" s="40">
        <v>45940.264224537037</v>
      </c>
      <c r="B2696" t="s">
        <v>1789</v>
      </c>
      <c r="C2696" t="s">
        <v>53</v>
      </c>
      <c r="D2696" t="s">
        <v>398</v>
      </c>
      <c r="E2696" t="s">
        <v>1364</v>
      </c>
      <c r="F2696" t="s">
        <v>1372</v>
      </c>
      <c r="G2696">
        <v>-312</v>
      </c>
      <c r="H2696">
        <v>848</v>
      </c>
      <c r="K2696" t="s">
        <v>1383</v>
      </c>
    </row>
    <row r="2697" spans="1:11" x14ac:dyDescent="0.25">
      <c r="A2697" s="40">
        <v>45940.264224537037</v>
      </c>
      <c r="B2697" t="s">
        <v>1789</v>
      </c>
      <c r="C2697" t="s">
        <v>343</v>
      </c>
      <c r="D2697" t="s">
        <v>344</v>
      </c>
      <c r="E2697" t="s">
        <v>1364</v>
      </c>
      <c r="F2697" t="s">
        <v>1372</v>
      </c>
      <c r="G2697">
        <v>-147</v>
      </c>
      <c r="H2697">
        <v>944</v>
      </c>
      <c r="K2697" t="s">
        <v>1383</v>
      </c>
    </row>
    <row r="2698" spans="1:11" x14ac:dyDescent="0.25">
      <c r="A2698" s="40">
        <v>45940.264224537037</v>
      </c>
      <c r="B2698" t="s">
        <v>1789</v>
      </c>
      <c r="C2698" t="s">
        <v>324</v>
      </c>
      <c r="D2698" t="s">
        <v>325</v>
      </c>
      <c r="E2698" t="s">
        <v>1364</v>
      </c>
      <c r="F2698" t="s">
        <v>1372</v>
      </c>
      <c r="G2698">
        <v>-165</v>
      </c>
      <c r="H2698">
        <v>1235</v>
      </c>
      <c r="K2698" t="s">
        <v>1383</v>
      </c>
    </row>
    <row r="2699" spans="1:11" x14ac:dyDescent="0.25">
      <c r="A2699" s="40">
        <v>45940.264224537037</v>
      </c>
      <c r="B2699" t="s">
        <v>1789</v>
      </c>
      <c r="C2699" t="s">
        <v>42</v>
      </c>
      <c r="D2699" t="s">
        <v>391</v>
      </c>
      <c r="E2699" t="s">
        <v>1364</v>
      </c>
      <c r="F2699" t="s">
        <v>1372</v>
      </c>
      <c r="G2699">
        <v>-171</v>
      </c>
      <c r="H2699">
        <v>2325</v>
      </c>
      <c r="K2699" t="s">
        <v>1383</v>
      </c>
    </row>
    <row r="2700" spans="1:11" x14ac:dyDescent="0.25">
      <c r="A2700" s="40">
        <v>45940.264224537037</v>
      </c>
      <c r="B2700" t="s">
        <v>1789</v>
      </c>
      <c r="C2700" t="s">
        <v>45</v>
      </c>
      <c r="D2700" t="s">
        <v>393</v>
      </c>
      <c r="E2700" t="s">
        <v>1364</v>
      </c>
      <c r="F2700" t="s">
        <v>1372</v>
      </c>
      <c r="G2700">
        <v>-54</v>
      </c>
      <c r="H2700">
        <v>3178</v>
      </c>
      <c r="K2700" t="s">
        <v>1383</v>
      </c>
    </row>
    <row r="2701" spans="1:11" x14ac:dyDescent="0.25">
      <c r="A2701" s="40">
        <v>45940.264224537037</v>
      </c>
      <c r="B2701" t="s">
        <v>1789</v>
      </c>
      <c r="C2701" t="s">
        <v>38</v>
      </c>
      <c r="D2701" t="s">
        <v>386</v>
      </c>
      <c r="E2701" t="s">
        <v>1364</v>
      </c>
      <c r="F2701" t="s">
        <v>1372</v>
      </c>
      <c r="G2701">
        <v>-736</v>
      </c>
      <c r="H2701">
        <v>24880</v>
      </c>
      <c r="K2701" t="s">
        <v>1383</v>
      </c>
    </row>
    <row r="2702" spans="1:11" x14ac:dyDescent="0.25">
      <c r="A2702" s="40">
        <v>45940.264224537037</v>
      </c>
      <c r="B2702" t="s">
        <v>1789</v>
      </c>
      <c r="C2702" t="s">
        <v>59</v>
      </c>
      <c r="D2702" t="s">
        <v>401</v>
      </c>
      <c r="E2702" t="s">
        <v>1364</v>
      </c>
      <c r="F2702" t="s">
        <v>1372</v>
      </c>
      <c r="G2702">
        <v>-34</v>
      </c>
      <c r="H2702">
        <v>3010</v>
      </c>
      <c r="K2702" t="s">
        <v>1383</v>
      </c>
    </row>
    <row r="2703" spans="1:11" x14ac:dyDescent="0.25">
      <c r="A2703" s="40">
        <v>45940.264224537037</v>
      </c>
      <c r="B2703" t="s">
        <v>1789</v>
      </c>
      <c r="C2703" t="s">
        <v>68</v>
      </c>
      <c r="D2703" t="s">
        <v>374</v>
      </c>
      <c r="E2703" t="s">
        <v>1364</v>
      </c>
      <c r="F2703" t="s">
        <v>1372</v>
      </c>
      <c r="G2703">
        <v>-201</v>
      </c>
      <c r="H2703">
        <v>1489</v>
      </c>
      <c r="K2703" t="s">
        <v>1383</v>
      </c>
    </row>
    <row r="2704" spans="1:11" x14ac:dyDescent="0.25">
      <c r="A2704" s="40">
        <v>45940.264224537037</v>
      </c>
      <c r="B2704" t="s">
        <v>1789</v>
      </c>
      <c r="C2704" t="s">
        <v>52</v>
      </c>
      <c r="D2704" t="s">
        <v>397</v>
      </c>
      <c r="E2704" t="s">
        <v>1364</v>
      </c>
      <c r="F2704" t="s">
        <v>1372</v>
      </c>
      <c r="G2704">
        <v>-54</v>
      </c>
      <c r="H2704">
        <v>8207</v>
      </c>
      <c r="K2704" t="s">
        <v>1383</v>
      </c>
    </row>
    <row r="2705" spans="1:11" x14ac:dyDescent="0.25">
      <c r="A2705" s="40">
        <v>45940.264224537037</v>
      </c>
      <c r="B2705" t="s">
        <v>1789</v>
      </c>
      <c r="C2705" t="s">
        <v>64</v>
      </c>
      <c r="D2705" t="s">
        <v>356</v>
      </c>
      <c r="E2705" t="s">
        <v>1364</v>
      </c>
      <c r="F2705" t="s">
        <v>1372</v>
      </c>
      <c r="G2705">
        <v>-98</v>
      </c>
      <c r="H2705">
        <v>3655</v>
      </c>
      <c r="K2705" t="s">
        <v>1383</v>
      </c>
    </row>
    <row r="2706" spans="1:11" x14ac:dyDescent="0.25">
      <c r="A2706" s="40">
        <v>45940.264224537037</v>
      </c>
      <c r="B2706" t="s">
        <v>1789</v>
      </c>
      <c r="C2706" t="s">
        <v>7</v>
      </c>
      <c r="D2706" t="s">
        <v>307</v>
      </c>
      <c r="E2706" t="s">
        <v>1364</v>
      </c>
      <c r="F2706" t="s">
        <v>1372</v>
      </c>
      <c r="G2706">
        <v>-706</v>
      </c>
      <c r="H2706">
        <v>6984</v>
      </c>
      <c r="K2706" t="s">
        <v>1383</v>
      </c>
    </row>
    <row r="2707" spans="1:11" x14ac:dyDescent="0.25">
      <c r="A2707" s="40">
        <v>45940.264224537037</v>
      </c>
      <c r="B2707" t="s">
        <v>1789</v>
      </c>
      <c r="C2707" t="s">
        <v>36</v>
      </c>
      <c r="D2707" t="s">
        <v>385</v>
      </c>
      <c r="E2707" t="s">
        <v>1364</v>
      </c>
      <c r="F2707" t="s">
        <v>1372</v>
      </c>
      <c r="G2707">
        <v>-430</v>
      </c>
      <c r="H2707">
        <v>1364</v>
      </c>
      <c r="K2707" t="s">
        <v>1383</v>
      </c>
    </row>
    <row r="2708" spans="1:11" x14ac:dyDescent="0.25">
      <c r="A2708" s="40">
        <v>45940.264224537037</v>
      </c>
      <c r="B2708" t="s">
        <v>1789</v>
      </c>
      <c r="C2708" t="s">
        <v>94</v>
      </c>
      <c r="D2708" t="s">
        <v>404</v>
      </c>
      <c r="E2708" t="s">
        <v>1364</v>
      </c>
      <c r="F2708" t="s">
        <v>1372</v>
      </c>
      <c r="G2708">
        <v>-390</v>
      </c>
      <c r="H2708">
        <v>4255</v>
      </c>
      <c r="K2708" t="s">
        <v>1383</v>
      </c>
    </row>
    <row r="2709" spans="1:11" x14ac:dyDescent="0.25">
      <c r="A2709" s="40">
        <v>45940.264224537037</v>
      </c>
      <c r="B2709" t="s">
        <v>1789</v>
      </c>
      <c r="C2709" t="s">
        <v>2</v>
      </c>
      <c r="D2709" t="s">
        <v>266</v>
      </c>
      <c r="E2709" t="s">
        <v>1364</v>
      </c>
      <c r="F2709" t="s">
        <v>1372</v>
      </c>
      <c r="G2709">
        <v>-54</v>
      </c>
      <c r="H2709">
        <v>3300</v>
      </c>
      <c r="K2709" t="s">
        <v>1383</v>
      </c>
    </row>
    <row r="2710" spans="1:11" x14ac:dyDescent="0.25">
      <c r="A2710" s="40">
        <v>45940.264224537037</v>
      </c>
      <c r="B2710" t="s">
        <v>1789</v>
      </c>
      <c r="C2710" t="s">
        <v>54</v>
      </c>
      <c r="D2710" t="s">
        <v>399</v>
      </c>
      <c r="E2710" t="s">
        <v>1364</v>
      </c>
      <c r="F2710" t="s">
        <v>1372</v>
      </c>
      <c r="G2710">
        <v>-205</v>
      </c>
      <c r="H2710">
        <v>1428</v>
      </c>
      <c r="K2710" t="s">
        <v>1383</v>
      </c>
    </row>
    <row r="2711" spans="1:11" x14ac:dyDescent="0.25">
      <c r="A2711" s="40">
        <v>45940.264224537037</v>
      </c>
      <c r="B2711" t="s">
        <v>1789</v>
      </c>
      <c r="C2711" t="s">
        <v>69</v>
      </c>
      <c r="D2711" t="s">
        <v>375</v>
      </c>
      <c r="E2711" t="s">
        <v>1364</v>
      </c>
      <c r="F2711" t="s">
        <v>1372</v>
      </c>
      <c r="G2711">
        <v>-189</v>
      </c>
      <c r="H2711">
        <v>4495</v>
      </c>
      <c r="K2711" t="s">
        <v>1383</v>
      </c>
    </row>
    <row r="2712" spans="1:11" x14ac:dyDescent="0.25">
      <c r="A2712" s="40">
        <v>45940.264224537037</v>
      </c>
      <c r="B2712" t="s">
        <v>1789</v>
      </c>
      <c r="C2712" t="s">
        <v>6</v>
      </c>
      <c r="D2712" t="s">
        <v>400</v>
      </c>
      <c r="E2712" t="s">
        <v>1364</v>
      </c>
      <c r="F2712" t="s">
        <v>1372</v>
      </c>
      <c r="G2712">
        <v>-181</v>
      </c>
      <c r="H2712">
        <v>5447</v>
      </c>
      <c r="K2712" t="s">
        <v>1383</v>
      </c>
    </row>
    <row r="2713" spans="1:11" x14ac:dyDescent="0.25">
      <c r="A2713" s="40">
        <v>45940.264224537037</v>
      </c>
      <c r="B2713" t="s">
        <v>1789</v>
      </c>
      <c r="C2713" t="s">
        <v>229</v>
      </c>
      <c r="D2713" t="s">
        <v>321</v>
      </c>
      <c r="E2713" t="s">
        <v>1364</v>
      </c>
      <c r="F2713" t="s">
        <v>1372</v>
      </c>
      <c r="G2713">
        <v>-165</v>
      </c>
      <c r="H2713">
        <v>7159</v>
      </c>
      <c r="K2713" t="s">
        <v>1383</v>
      </c>
    </row>
    <row r="2714" spans="1:11" x14ac:dyDescent="0.25">
      <c r="A2714" s="40">
        <v>45940.264224537037</v>
      </c>
      <c r="B2714" t="s">
        <v>1789</v>
      </c>
      <c r="C2714" t="s">
        <v>44</v>
      </c>
      <c r="D2714" t="s">
        <v>392</v>
      </c>
      <c r="E2714" t="s">
        <v>1364</v>
      </c>
      <c r="F2714" t="s">
        <v>1372</v>
      </c>
      <c r="G2714">
        <v>-128</v>
      </c>
      <c r="H2714">
        <v>9072</v>
      </c>
      <c r="K2714" t="s">
        <v>1383</v>
      </c>
    </row>
    <row r="2715" spans="1:11" x14ac:dyDescent="0.25">
      <c r="A2715" s="40">
        <v>45940.264224537037</v>
      </c>
      <c r="B2715" t="s">
        <v>1789</v>
      </c>
      <c r="C2715" t="s">
        <v>366</v>
      </c>
      <c r="D2715" t="s">
        <v>367</v>
      </c>
      <c r="E2715" t="s">
        <v>1364</v>
      </c>
      <c r="F2715" t="s">
        <v>1372</v>
      </c>
      <c r="G2715">
        <v>-54</v>
      </c>
      <c r="H2715">
        <v>3348</v>
      </c>
      <c r="K2715" t="s">
        <v>1383</v>
      </c>
    </row>
    <row r="2716" spans="1:11" x14ac:dyDescent="0.25">
      <c r="A2716" s="40">
        <v>45940.264224537037</v>
      </c>
      <c r="B2716" t="s">
        <v>1789</v>
      </c>
      <c r="C2716" t="s">
        <v>50</v>
      </c>
      <c r="D2716" t="s">
        <v>501</v>
      </c>
      <c r="E2716" t="s">
        <v>1364</v>
      </c>
      <c r="F2716" t="s">
        <v>1372</v>
      </c>
      <c r="G2716">
        <v>-171</v>
      </c>
      <c r="H2716">
        <v>2769</v>
      </c>
      <c r="K2716" t="s">
        <v>1383</v>
      </c>
    </row>
    <row r="2717" spans="1:11" x14ac:dyDescent="0.25">
      <c r="A2717" s="40">
        <v>45940.264224537037</v>
      </c>
      <c r="B2717" t="s">
        <v>1789</v>
      </c>
      <c r="C2717" t="s">
        <v>63</v>
      </c>
      <c r="D2717" t="s">
        <v>355</v>
      </c>
      <c r="E2717" t="s">
        <v>1364</v>
      </c>
      <c r="F2717" t="s">
        <v>1372</v>
      </c>
      <c r="G2717">
        <v>-137</v>
      </c>
      <c r="H2717">
        <v>2005</v>
      </c>
      <c r="K2717" t="s">
        <v>1383</v>
      </c>
    </row>
    <row r="2718" spans="1:11" x14ac:dyDescent="0.25">
      <c r="A2718" s="40">
        <v>45940.264224537037</v>
      </c>
      <c r="B2718" t="s">
        <v>1789</v>
      </c>
      <c r="C2718" t="s">
        <v>58</v>
      </c>
      <c r="D2718" t="s">
        <v>315</v>
      </c>
      <c r="E2718" t="s">
        <v>1364</v>
      </c>
      <c r="F2718" t="s">
        <v>1372</v>
      </c>
      <c r="G2718">
        <v>-147</v>
      </c>
      <c r="H2718">
        <v>3783</v>
      </c>
      <c r="K2718" t="s">
        <v>1383</v>
      </c>
    </row>
    <row r="2719" spans="1:11" x14ac:dyDescent="0.25">
      <c r="A2719" s="40">
        <v>45940.264224537037</v>
      </c>
      <c r="B2719" t="s">
        <v>1789</v>
      </c>
      <c r="C2719" t="s">
        <v>70</v>
      </c>
      <c r="D2719" t="s">
        <v>402</v>
      </c>
      <c r="E2719" t="s">
        <v>1364</v>
      </c>
      <c r="F2719" t="s">
        <v>1372</v>
      </c>
      <c r="G2719">
        <v>-1144</v>
      </c>
      <c r="H2719">
        <v>19279</v>
      </c>
      <c r="K2719" t="s">
        <v>1383</v>
      </c>
    </row>
    <row r="2720" spans="1:11" x14ac:dyDescent="0.25">
      <c r="A2720" s="40">
        <v>45940.264224537037</v>
      </c>
      <c r="B2720" t="s">
        <v>1789</v>
      </c>
      <c r="C2720" t="s">
        <v>47</v>
      </c>
      <c r="D2720" t="s">
        <v>395</v>
      </c>
      <c r="E2720" t="s">
        <v>1364</v>
      </c>
      <c r="F2720" t="s">
        <v>1372</v>
      </c>
      <c r="G2720">
        <v>-526</v>
      </c>
      <c r="H2720">
        <v>20159</v>
      </c>
      <c r="K2720" t="s">
        <v>1383</v>
      </c>
    </row>
    <row r="2721" spans="1:12" x14ac:dyDescent="0.25">
      <c r="A2721" s="40">
        <v>45940.264224537037</v>
      </c>
      <c r="B2721" t="s">
        <v>1789</v>
      </c>
      <c r="C2721" t="s">
        <v>5</v>
      </c>
      <c r="D2721" t="s">
        <v>389</v>
      </c>
      <c r="E2721" t="s">
        <v>1364</v>
      </c>
      <c r="F2721" t="s">
        <v>1372</v>
      </c>
      <c r="G2721">
        <v>-98</v>
      </c>
      <c r="H2721">
        <v>9926</v>
      </c>
      <c r="K2721" t="s">
        <v>1383</v>
      </c>
    </row>
    <row r="2722" spans="1:12" x14ac:dyDescent="0.25">
      <c r="A2722" s="40">
        <v>45940.264224537037</v>
      </c>
      <c r="B2722" t="s">
        <v>1789</v>
      </c>
      <c r="C2722" t="s">
        <v>1</v>
      </c>
      <c r="D2722" t="s">
        <v>250</v>
      </c>
      <c r="E2722" t="s">
        <v>1364</v>
      </c>
      <c r="F2722" t="s">
        <v>1372</v>
      </c>
      <c r="G2722">
        <v>-2262</v>
      </c>
      <c r="H2722">
        <v>7576</v>
      </c>
      <c r="K2722" t="s">
        <v>1383</v>
      </c>
    </row>
    <row r="2723" spans="1:12" x14ac:dyDescent="0.25">
      <c r="A2723" s="40">
        <v>45946.134594907409</v>
      </c>
      <c r="B2723" t="s">
        <v>1789</v>
      </c>
      <c r="C2723" t="s">
        <v>260</v>
      </c>
      <c r="D2723" t="s">
        <v>261</v>
      </c>
      <c r="E2723" t="s">
        <v>1364</v>
      </c>
      <c r="F2723" t="s">
        <v>695</v>
      </c>
      <c r="G2723">
        <v>4000</v>
      </c>
      <c r="H2723">
        <v>3730</v>
      </c>
      <c r="I2723" t="s">
        <v>696</v>
      </c>
      <c r="K2723" t="s">
        <v>1465</v>
      </c>
      <c r="L2723">
        <v>62.16</v>
      </c>
    </row>
    <row r="2724" spans="1:12" x14ac:dyDescent="0.25">
      <c r="A2724" s="40">
        <v>45946.134594907409</v>
      </c>
      <c r="B2724" t="s">
        <v>1789</v>
      </c>
      <c r="C2724" t="s">
        <v>1483</v>
      </c>
      <c r="E2724" t="s">
        <v>1365</v>
      </c>
      <c r="F2724" t="s">
        <v>695</v>
      </c>
      <c r="G2724">
        <v>31</v>
      </c>
      <c r="H2724">
        <v>9</v>
      </c>
      <c r="I2724" t="s">
        <v>1790</v>
      </c>
      <c r="K2724" t="s">
        <v>1465</v>
      </c>
      <c r="L2724">
        <v>57.04</v>
      </c>
    </row>
    <row r="2725" spans="1:12" x14ac:dyDescent="0.25">
      <c r="A2725" s="40">
        <v>45946.540775462963</v>
      </c>
      <c r="B2725" t="s">
        <v>1794</v>
      </c>
      <c r="C2725" t="s">
        <v>1751</v>
      </c>
      <c r="D2725" t="s">
        <v>1791</v>
      </c>
      <c r="E2725" t="s">
        <v>1364</v>
      </c>
      <c r="F2725" t="s">
        <v>1372</v>
      </c>
      <c r="G2725">
        <v>-18</v>
      </c>
      <c r="H2725">
        <v>340</v>
      </c>
      <c r="K2725" t="s">
        <v>1383</v>
      </c>
    </row>
    <row r="2726" spans="1:12" x14ac:dyDescent="0.25">
      <c r="A2726" s="40">
        <v>45946.540775462963</v>
      </c>
      <c r="B2726" t="s">
        <v>1794</v>
      </c>
      <c r="C2726" t="s">
        <v>39</v>
      </c>
      <c r="D2726" t="s">
        <v>387</v>
      </c>
      <c r="E2726" t="s">
        <v>1364</v>
      </c>
      <c r="F2726" t="s">
        <v>1372</v>
      </c>
      <c r="G2726">
        <v>-65</v>
      </c>
      <c r="H2726">
        <v>6341</v>
      </c>
      <c r="K2726" t="s">
        <v>1383</v>
      </c>
    </row>
    <row r="2727" spans="1:12" x14ac:dyDescent="0.25">
      <c r="A2727" s="40">
        <v>45946.540775462963</v>
      </c>
      <c r="B2727" t="s">
        <v>1794</v>
      </c>
      <c r="C2727" t="s">
        <v>16</v>
      </c>
      <c r="D2727" t="s">
        <v>484</v>
      </c>
      <c r="E2727" t="s">
        <v>1364</v>
      </c>
      <c r="F2727" t="s">
        <v>1372</v>
      </c>
      <c r="G2727">
        <v>-440</v>
      </c>
      <c r="H2727">
        <v>1745</v>
      </c>
      <c r="K2727" t="s">
        <v>1383</v>
      </c>
    </row>
    <row r="2728" spans="1:12" x14ac:dyDescent="0.25">
      <c r="A2728" s="40">
        <v>45946.540775462963</v>
      </c>
      <c r="B2728" t="s">
        <v>1794</v>
      </c>
      <c r="C2728" t="s">
        <v>23</v>
      </c>
      <c r="D2728" t="s">
        <v>490</v>
      </c>
      <c r="E2728" t="s">
        <v>1364</v>
      </c>
      <c r="F2728" t="s">
        <v>1372</v>
      </c>
      <c r="G2728">
        <v>-50</v>
      </c>
      <c r="H2728">
        <v>3181</v>
      </c>
      <c r="K2728" t="s">
        <v>1383</v>
      </c>
    </row>
    <row r="2729" spans="1:12" x14ac:dyDescent="0.25">
      <c r="A2729" s="40">
        <v>45946.540775462963</v>
      </c>
      <c r="B2729" t="s">
        <v>1794</v>
      </c>
      <c r="C2729" t="s">
        <v>1763</v>
      </c>
      <c r="D2729" t="s">
        <v>1793</v>
      </c>
      <c r="E2729" t="s">
        <v>1364</v>
      </c>
      <c r="F2729" t="s">
        <v>1372</v>
      </c>
      <c r="G2729">
        <v>-35</v>
      </c>
      <c r="H2729">
        <v>2385</v>
      </c>
      <c r="K2729" t="s">
        <v>1383</v>
      </c>
    </row>
    <row r="2730" spans="1:12" x14ac:dyDescent="0.25">
      <c r="A2730" s="40">
        <v>45946.540775462963</v>
      </c>
      <c r="B2730" t="s">
        <v>1794</v>
      </c>
      <c r="C2730" t="s">
        <v>412</v>
      </c>
      <c r="D2730" t="s">
        <v>413</v>
      </c>
      <c r="E2730" t="s">
        <v>1364</v>
      </c>
      <c r="F2730" t="s">
        <v>1372</v>
      </c>
      <c r="G2730">
        <v>-90</v>
      </c>
      <c r="H2730">
        <v>2341</v>
      </c>
      <c r="K2730" t="s">
        <v>1383</v>
      </c>
    </row>
    <row r="2731" spans="1:12" x14ac:dyDescent="0.25">
      <c r="A2731" s="40">
        <v>45946.540775462963</v>
      </c>
      <c r="B2731" t="s">
        <v>1794</v>
      </c>
      <c r="C2731" t="s">
        <v>267</v>
      </c>
      <c r="D2731" t="s">
        <v>268</v>
      </c>
      <c r="E2731" t="s">
        <v>1364</v>
      </c>
      <c r="F2731" t="s">
        <v>1372</v>
      </c>
      <c r="G2731">
        <v>-50</v>
      </c>
      <c r="H2731">
        <v>377</v>
      </c>
      <c r="K2731" t="s">
        <v>1383</v>
      </c>
    </row>
    <row r="2732" spans="1:12" x14ac:dyDescent="0.25">
      <c r="A2732" s="40">
        <v>45946.540775462963</v>
      </c>
      <c r="B2732" t="s">
        <v>1794</v>
      </c>
      <c r="C2732" t="s">
        <v>92</v>
      </c>
      <c r="D2732" t="s">
        <v>403</v>
      </c>
      <c r="E2732" t="s">
        <v>1364</v>
      </c>
      <c r="F2732" t="s">
        <v>1372</v>
      </c>
      <c r="G2732">
        <v>-35</v>
      </c>
      <c r="H2732">
        <v>2655</v>
      </c>
      <c r="K2732" t="s">
        <v>1383</v>
      </c>
    </row>
    <row r="2733" spans="1:12" x14ac:dyDescent="0.25">
      <c r="A2733" s="40">
        <v>45946.540775462963</v>
      </c>
      <c r="B2733" t="s">
        <v>1794</v>
      </c>
      <c r="C2733" t="s">
        <v>75</v>
      </c>
      <c r="D2733" t="s">
        <v>251</v>
      </c>
      <c r="E2733" t="s">
        <v>1364</v>
      </c>
      <c r="F2733" t="s">
        <v>1372</v>
      </c>
      <c r="G2733">
        <v>-65</v>
      </c>
      <c r="H2733">
        <v>2318</v>
      </c>
      <c r="K2733" t="s">
        <v>1383</v>
      </c>
    </row>
    <row r="2734" spans="1:12" x14ac:dyDescent="0.25">
      <c r="A2734" s="40">
        <v>45946.540775462963</v>
      </c>
      <c r="B2734" t="s">
        <v>1794</v>
      </c>
      <c r="C2734" t="s">
        <v>458</v>
      </c>
      <c r="D2734" t="s">
        <v>459</v>
      </c>
      <c r="E2734" t="s">
        <v>1364</v>
      </c>
      <c r="F2734" t="s">
        <v>1372</v>
      </c>
      <c r="G2734">
        <v>-50</v>
      </c>
      <c r="H2734">
        <v>2491</v>
      </c>
      <c r="K2734" t="s">
        <v>1383</v>
      </c>
    </row>
    <row r="2735" spans="1:12" x14ac:dyDescent="0.25">
      <c r="A2735" s="40">
        <v>45946.540775462963</v>
      </c>
      <c r="B2735" t="s">
        <v>1794</v>
      </c>
      <c r="C2735" t="s">
        <v>65</v>
      </c>
      <c r="D2735" t="s">
        <v>347</v>
      </c>
      <c r="E2735" t="s">
        <v>1364</v>
      </c>
      <c r="F2735" t="s">
        <v>1372</v>
      </c>
      <c r="G2735">
        <v>-50</v>
      </c>
      <c r="H2735">
        <v>2366</v>
      </c>
      <c r="K2735" t="s">
        <v>1383</v>
      </c>
    </row>
    <row r="2736" spans="1:12" x14ac:dyDescent="0.25">
      <c r="A2736" s="40">
        <v>45946.540775462963</v>
      </c>
      <c r="B2736" t="s">
        <v>1794</v>
      </c>
      <c r="C2736" t="s">
        <v>322</v>
      </c>
      <c r="D2736" t="s">
        <v>323</v>
      </c>
      <c r="E2736" t="s">
        <v>1364</v>
      </c>
      <c r="F2736" t="s">
        <v>1372</v>
      </c>
      <c r="G2736">
        <v>-65</v>
      </c>
      <c r="H2736">
        <v>2711</v>
      </c>
      <c r="K2736" t="s">
        <v>1383</v>
      </c>
    </row>
    <row r="2737" spans="1:11" x14ac:dyDescent="0.25">
      <c r="A2737" s="40">
        <v>45946.540775462963</v>
      </c>
      <c r="B2737" t="s">
        <v>1794</v>
      </c>
      <c r="C2737" t="s">
        <v>66</v>
      </c>
      <c r="D2737" t="s">
        <v>357</v>
      </c>
      <c r="E2737" t="s">
        <v>1364</v>
      </c>
      <c r="F2737" t="s">
        <v>1372</v>
      </c>
      <c r="G2737">
        <v>-675</v>
      </c>
      <c r="H2737">
        <v>3405</v>
      </c>
      <c r="K2737" t="s">
        <v>1383</v>
      </c>
    </row>
    <row r="2738" spans="1:11" x14ac:dyDescent="0.25">
      <c r="A2738" s="40">
        <v>45946.540775462963</v>
      </c>
      <c r="B2738" t="s">
        <v>1794</v>
      </c>
      <c r="C2738" t="s">
        <v>230</v>
      </c>
      <c r="D2738" t="s">
        <v>255</v>
      </c>
      <c r="E2738" t="s">
        <v>1364</v>
      </c>
      <c r="F2738" t="s">
        <v>1372</v>
      </c>
      <c r="G2738">
        <v>-50</v>
      </c>
      <c r="H2738">
        <v>2904</v>
      </c>
      <c r="K2738" t="s">
        <v>1383</v>
      </c>
    </row>
    <row r="2739" spans="1:11" x14ac:dyDescent="0.25">
      <c r="A2739" s="40">
        <v>45946.540775462963</v>
      </c>
      <c r="B2739" t="s">
        <v>1794</v>
      </c>
      <c r="C2739" t="s">
        <v>330</v>
      </c>
      <c r="D2739" t="s">
        <v>331</v>
      </c>
      <c r="E2739" t="s">
        <v>1364</v>
      </c>
      <c r="F2739" t="s">
        <v>1372</v>
      </c>
      <c r="G2739">
        <v>-120</v>
      </c>
      <c r="H2739">
        <v>583</v>
      </c>
      <c r="K2739" t="s">
        <v>1383</v>
      </c>
    </row>
    <row r="2740" spans="1:11" x14ac:dyDescent="0.25">
      <c r="A2740" s="40">
        <v>45946.540775462963</v>
      </c>
      <c r="B2740" t="s">
        <v>1794</v>
      </c>
      <c r="C2740" t="s">
        <v>426</v>
      </c>
      <c r="D2740" t="s">
        <v>427</v>
      </c>
      <c r="E2740" t="s">
        <v>1364</v>
      </c>
      <c r="F2740" t="s">
        <v>1372</v>
      </c>
      <c r="G2740">
        <v>-380</v>
      </c>
      <c r="H2740">
        <v>4494</v>
      </c>
      <c r="K2740" t="s">
        <v>1383</v>
      </c>
    </row>
    <row r="2741" spans="1:11" x14ac:dyDescent="0.25">
      <c r="A2741" s="40">
        <v>45946.540775462963</v>
      </c>
      <c r="B2741" t="s">
        <v>1794</v>
      </c>
      <c r="C2741" t="s">
        <v>10</v>
      </c>
      <c r="D2741" t="s">
        <v>332</v>
      </c>
      <c r="E2741" t="s">
        <v>1364</v>
      </c>
      <c r="F2741" t="s">
        <v>1372</v>
      </c>
      <c r="G2741">
        <v>-155</v>
      </c>
      <c r="H2741">
        <v>6193</v>
      </c>
      <c r="K2741" t="s">
        <v>1383</v>
      </c>
    </row>
    <row r="2742" spans="1:11" x14ac:dyDescent="0.25">
      <c r="A2742" s="40">
        <v>45946.540775462963</v>
      </c>
      <c r="B2742" t="s">
        <v>1794</v>
      </c>
      <c r="C2742" t="s">
        <v>341</v>
      </c>
      <c r="D2742" t="s">
        <v>342</v>
      </c>
      <c r="E2742" t="s">
        <v>1364</v>
      </c>
      <c r="F2742" t="s">
        <v>1372</v>
      </c>
      <c r="G2742">
        <v>-585</v>
      </c>
      <c r="H2742">
        <v>2116</v>
      </c>
      <c r="K2742" t="s">
        <v>1383</v>
      </c>
    </row>
    <row r="2743" spans="1:11" x14ac:dyDescent="0.25">
      <c r="A2743" s="40">
        <v>45946.540775462963</v>
      </c>
      <c r="B2743" t="s">
        <v>1794</v>
      </c>
      <c r="C2743" t="s">
        <v>90</v>
      </c>
      <c r="D2743" t="s">
        <v>503</v>
      </c>
      <c r="E2743" t="s">
        <v>1364</v>
      </c>
      <c r="F2743" t="s">
        <v>1372</v>
      </c>
      <c r="G2743">
        <v>-50</v>
      </c>
      <c r="H2743">
        <v>4052</v>
      </c>
      <c r="K2743" t="s">
        <v>1383</v>
      </c>
    </row>
    <row r="2744" spans="1:11" x14ac:dyDescent="0.25">
      <c r="A2744" s="40">
        <v>45946.540775462963</v>
      </c>
      <c r="B2744" t="s">
        <v>1794</v>
      </c>
      <c r="C2744" t="s">
        <v>1353</v>
      </c>
      <c r="E2744" t="s">
        <v>1365</v>
      </c>
      <c r="F2744" t="s">
        <v>1372</v>
      </c>
      <c r="G2744">
        <v>-16</v>
      </c>
      <c r="H2744">
        <v>1534</v>
      </c>
      <c r="K2744" t="s">
        <v>1383</v>
      </c>
    </row>
    <row r="2745" spans="1:11" x14ac:dyDescent="0.25">
      <c r="A2745" s="40">
        <v>45946.540775462963</v>
      </c>
      <c r="B2745" t="s">
        <v>1794</v>
      </c>
      <c r="C2745" t="s">
        <v>414</v>
      </c>
      <c r="D2745" t="s">
        <v>415</v>
      </c>
      <c r="E2745" t="s">
        <v>1364</v>
      </c>
      <c r="F2745" t="s">
        <v>1372</v>
      </c>
      <c r="G2745">
        <v>-35</v>
      </c>
      <c r="H2745">
        <v>3504</v>
      </c>
      <c r="K2745" t="s">
        <v>1383</v>
      </c>
    </row>
    <row r="2746" spans="1:11" x14ac:dyDescent="0.25">
      <c r="A2746" s="40">
        <v>45946.540775462963</v>
      </c>
      <c r="B2746" t="s">
        <v>1794</v>
      </c>
      <c r="C2746" t="s">
        <v>1775</v>
      </c>
      <c r="E2746" t="s">
        <v>1365</v>
      </c>
      <c r="F2746" t="s">
        <v>1372</v>
      </c>
      <c r="G2746">
        <v>-280</v>
      </c>
      <c r="H2746">
        <v>4740</v>
      </c>
      <c r="K2746" t="s">
        <v>1383</v>
      </c>
    </row>
    <row r="2747" spans="1:11" x14ac:dyDescent="0.25">
      <c r="A2747" s="40">
        <v>45946.540775462963</v>
      </c>
      <c r="B2747" t="s">
        <v>1794</v>
      </c>
      <c r="C2747" t="s">
        <v>102</v>
      </c>
      <c r="D2747" t="s">
        <v>508</v>
      </c>
      <c r="E2747" t="s">
        <v>1364</v>
      </c>
      <c r="F2747" t="s">
        <v>1372</v>
      </c>
      <c r="G2747">
        <v>-200</v>
      </c>
      <c r="H2747">
        <v>4201</v>
      </c>
      <c r="K2747" t="s">
        <v>1383</v>
      </c>
    </row>
    <row r="2748" spans="1:11" x14ac:dyDescent="0.25">
      <c r="A2748" s="40">
        <v>45946.540775462963</v>
      </c>
      <c r="B2748" t="s">
        <v>1794</v>
      </c>
      <c r="C2748" t="s">
        <v>34</v>
      </c>
      <c r="D2748" t="s">
        <v>495</v>
      </c>
      <c r="E2748" t="s">
        <v>1364</v>
      </c>
      <c r="F2748" t="s">
        <v>1372</v>
      </c>
      <c r="G2748">
        <v>-365</v>
      </c>
      <c r="H2748">
        <v>2448</v>
      </c>
      <c r="K2748" t="s">
        <v>1383</v>
      </c>
    </row>
    <row r="2749" spans="1:11" x14ac:dyDescent="0.25">
      <c r="A2749" s="40">
        <v>45946.540775462963</v>
      </c>
      <c r="B2749" t="s">
        <v>1794</v>
      </c>
      <c r="C2749" t="s">
        <v>1352</v>
      </c>
      <c r="E2749" t="s">
        <v>1365</v>
      </c>
      <c r="F2749" t="s">
        <v>1372</v>
      </c>
      <c r="G2749">
        <v>-81</v>
      </c>
      <c r="H2749">
        <v>89</v>
      </c>
      <c r="K2749" t="s">
        <v>1383</v>
      </c>
    </row>
    <row r="2750" spans="1:11" x14ac:dyDescent="0.25">
      <c r="A2750" s="40">
        <v>45946.540775462963</v>
      </c>
      <c r="B2750" t="s">
        <v>1794</v>
      </c>
      <c r="C2750" t="s">
        <v>84</v>
      </c>
      <c r="D2750" t="s">
        <v>319</v>
      </c>
      <c r="E2750" t="s">
        <v>1364</v>
      </c>
      <c r="F2750" t="s">
        <v>1372</v>
      </c>
      <c r="G2750">
        <v>-35</v>
      </c>
      <c r="H2750">
        <v>1759</v>
      </c>
      <c r="K2750" t="s">
        <v>1383</v>
      </c>
    </row>
    <row r="2751" spans="1:11" x14ac:dyDescent="0.25">
      <c r="A2751" s="40">
        <v>45946.540775462963</v>
      </c>
      <c r="B2751" t="s">
        <v>1794</v>
      </c>
      <c r="C2751" t="s">
        <v>32</v>
      </c>
      <c r="D2751" t="s">
        <v>384</v>
      </c>
      <c r="E2751" t="s">
        <v>1364</v>
      </c>
      <c r="F2751" t="s">
        <v>1372</v>
      </c>
      <c r="G2751">
        <v>-35</v>
      </c>
      <c r="H2751">
        <v>2931</v>
      </c>
      <c r="K2751" t="s">
        <v>1383</v>
      </c>
    </row>
    <row r="2752" spans="1:11" x14ac:dyDescent="0.25">
      <c r="A2752" s="40">
        <v>45946.540775462963</v>
      </c>
      <c r="B2752" t="s">
        <v>1794</v>
      </c>
      <c r="C2752" t="s">
        <v>1754</v>
      </c>
      <c r="E2752" t="s">
        <v>1365</v>
      </c>
      <c r="F2752" t="s">
        <v>1372</v>
      </c>
      <c r="G2752">
        <v>-425</v>
      </c>
      <c r="H2752">
        <v>575</v>
      </c>
      <c r="K2752" t="s">
        <v>1383</v>
      </c>
    </row>
    <row r="2753" spans="1:11" x14ac:dyDescent="0.25">
      <c r="A2753" s="40">
        <v>45946.540775462963</v>
      </c>
      <c r="B2753" t="s">
        <v>1794</v>
      </c>
      <c r="C2753" t="s">
        <v>55</v>
      </c>
      <c r="D2753" t="s">
        <v>312</v>
      </c>
      <c r="E2753" t="s">
        <v>1364</v>
      </c>
      <c r="F2753" t="s">
        <v>1372</v>
      </c>
      <c r="G2753">
        <v>-50</v>
      </c>
      <c r="H2753">
        <v>1166</v>
      </c>
      <c r="K2753" t="s">
        <v>1383</v>
      </c>
    </row>
    <row r="2754" spans="1:11" x14ac:dyDescent="0.25">
      <c r="A2754" s="40">
        <v>45946.540775462963</v>
      </c>
      <c r="B2754" t="s">
        <v>1794</v>
      </c>
      <c r="C2754" t="s">
        <v>1750</v>
      </c>
      <c r="E2754" t="s">
        <v>1365</v>
      </c>
      <c r="F2754" t="s">
        <v>1372</v>
      </c>
      <c r="G2754">
        <v>-420</v>
      </c>
      <c r="H2754">
        <v>1479</v>
      </c>
      <c r="K2754" t="s">
        <v>1383</v>
      </c>
    </row>
    <row r="2755" spans="1:11" x14ac:dyDescent="0.25">
      <c r="A2755" s="40">
        <v>45946.540775462963</v>
      </c>
      <c r="B2755" t="s">
        <v>1794</v>
      </c>
      <c r="C2755" t="s">
        <v>279</v>
      </c>
      <c r="D2755" t="s">
        <v>280</v>
      </c>
      <c r="E2755" t="s">
        <v>1364</v>
      </c>
      <c r="F2755" t="s">
        <v>1372</v>
      </c>
      <c r="G2755">
        <v>-230</v>
      </c>
      <c r="H2755">
        <v>350</v>
      </c>
      <c r="K2755" t="s">
        <v>1383</v>
      </c>
    </row>
    <row r="2756" spans="1:11" x14ac:dyDescent="0.25">
      <c r="A2756" s="40">
        <v>45946.540775462963</v>
      </c>
      <c r="B2756" t="s">
        <v>1794</v>
      </c>
      <c r="C2756" t="s">
        <v>324</v>
      </c>
      <c r="D2756" t="s">
        <v>325</v>
      </c>
      <c r="E2756" t="s">
        <v>1364</v>
      </c>
      <c r="F2756" t="s">
        <v>1372</v>
      </c>
      <c r="G2756">
        <v>-185</v>
      </c>
      <c r="H2756">
        <v>1050</v>
      </c>
      <c r="K2756" t="s">
        <v>1383</v>
      </c>
    </row>
    <row r="2757" spans="1:11" x14ac:dyDescent="0.25">
      <c r="A2757" s="40">
        <v>45946.540775462963</v>
      </c>
      <c r="B2757" t="s">
        <v>1794</v>
      </c>
      <c r="C2757" t="s">
        <v>104</v>
      </c>
      <c r="D2757" t="s">
        <v>410</v>
      </c>
      <c r="E2757" t="s">
        <v>1364</v>
      </c>
      <c r="F2757" t="s">
        <v>1372</v>
      </c>
      <c r="G2757">
        <v>-90</v>
      </c>
      <c r="H2757">
        <v>4336</v>
      </c>
      <c r="K2757" t="s">
        <v>1383</v>
      </c>
    </row>
    <row r="2758" spans="1:11" x14ac:dyDescent="0.25">
      <c r="A2758" s="40">
        <v>45946.540775462963</v>
      </c>
      <c r="B2758" t="s">
        <v>1794</v>
      </c>
      <c r="C2758" t="s">
        <v>38</v>
      </c>
      <c r="D2758" t="s">
        <v>386</v>
      </c>
      <c r="E2758" t="s">
        <v>1364</v>
      </c>
      <c r="F2758" t="s">
        <v>1372</v>
      </c>
      <c r="G2758">
        <v>-65</v>
      </c>
      <c r="H2758">
        <v>24815</v>
      </c>
      <c r="K2758" t="s">
        <v>1383</v>
      </c>
    </row>
    <row r="2759" spans="1:11" x14ac:dyDescent="0.25">
      <c r="A2759" s="40">
        <v>45946.540775462963</v>
      </c>
      <c r="B2759" t="s">
        <v>1794</v>
      </c>
      <c r="C2759" t="s">
        <v>59</v>
      </c>
      <c r="D2759" t="s">
        <v>401</v>
      </c>
      <c r="E2759" t="s">
        <v>1364</v>
      </c>
      <c r="F2759" t="s">
        <v>1372</v>
      </c>
      <c r="G2759">
        <v>-170</v>
      </c>
      <c r="H2759">
        <v>2840</v>
      </c>
      <c r="K2759" t="s">
        <v>1383</v>
      </c>
    </row>
    <row r="2760" spans="1:11" x14ac:dyDescent="0.25">
      <c r="A2760" s="40">
        <v>45946.540775462963</v>
      </c>
      <c r="B2760" t="s">
        <v>1794</v>
      </c>
      <c r="C2760" t="s">
        <v>15</v>
      </c>
      <c r="D2760" t="s">
        <v>474</v>
      </c>
      <c r="E2760" t="s">
        <v>1364</v>
      </c>
      <c r="F2760" t="s">
        <v>1372</v>
      </c>
      <c r="G2760">
        <v>-350</v>
      </c>
      <c r="H2760">
        <v>10919</v>
      </c>
      <c r="K2760" t="s">
        <v>1383</v>
      </c>
    </row>
    <row r="2761" spans="1:11" x14ac:dyDescent="0.25">
      <c r="A2761" s="40">
        <v>45946.540775462963</v>
      </c>
      <c r="B2761" t="s">
        <v>1794</v>
      </c>
      <c r="C2761" t="s">
        <v>7</v>
      </c>
      <c r="D2761" t="s">
        <v>307</v>
      </c>
      <c r="E2761" t="s">
        <v>1364</v>
      </c>
      <c r="F2761" t="s">
        <v>1372</v>
      </c>
      <c r="G2761">
        <v>-570</v>
      </c>
      <c r="H2761">
        <v>6414</v>
      </c>
      <c r="K2761" t="s">
        <v>1383</v>
      </c>
    </row>
    <row r="2762" spans="1:11" x14ac:dyDescent="0.25">
      <c r="A2762" s="40">
        <v>45946.540775462963</v>
      </c>
      <c r="B2762" t="s">
        <v>1794</v>
      </c>
      <c r="C2762" t="s">
        <v>68</v>
      </c>
      <c r="D2762" t="s">
        <v>374</v>
      </c>
      <c r="E2762" t="s">
        <v>1364</v>
      </c>
      <c r="F2762" t="s">
        <v>1372</v>
      </c>
      <c r="G2762">
        <v>-200</v>
      </c>
      <c r="H2762">
        <v>1289</v>
      </c>
      <c r="K2762" t="s">
        <v>1383</v>
      </c>
    </row>
    <row r="2763" spans="1:11" x14ac:dyDescent="0.25">
      <c r="A2763" s="40">
        <v>45946.540775462963</v>
      </c>
      <c r="B2763" t="s">
        <v>1794</v>
      </c>
      <c r="C2763" t="s">
        <v>24</v>
      </c>
      <c r="D2763" t="s">
        <v>378</v>
      </c>
      <c r="E2763" t="s">
        <v>1364</v>
      </c>
      <c r="F2763" t="s">
        <v>1372</v>
      </c>
      <c r="G2763">
        <v>-325</v>
      </c>
      <c r="H2763">
        <v>-249</v>
      </c>
      <c r="K2763" t="s">
        <v>1383</v>
      </c>
    </row>
    <row r="2764" spans="1:11" x14ac:dyDescent="0.25">
      <c r="A2764" s="40">
        <v>45946.540775462963</v>
      </c>
      <c r="B2764" t="s">
        <v>1794</v>
      </c>
      <c r="C2764" t="s">
        <v>370</v>
      </c>
      <c r="D2764" t="s">
        <v>371</v>
      </c>
      <c r="E2764" t="s">
        <v>1364</v>
      </c>
      <c r="F2764" t="s">
        <v>1372</v>
      </c>
      <c r="G2764">
        <v>-50</v>
      </c>
      <c r="H2764">
        <v>2301</v>
      </c>
      <c r="K2764" t="s">
        <v>1383</v>
      </c>
    </row>
    <row r="2765" spans="1:11" x14ac:dyDescent="0.25">
      <c r="A2765" s="40">
        <v>45946.540775462963</v>
      </c>
      <c r="B2765" t="s">
        <v>1794</v>
      </c>
      <c r="C2765" t="s">
        <v>333</v>
      </c>
      <c r="D2765" t="s">
        <v>334</v>
      </c>
      <c r="E2765" t="s">
        <v>1364</v>
      </c>
      <c r="F2765" t="s">
        <v>1372</v>
      </c>
      <c r="G2765">
        <v>-310</v>
      </c>
      <c r="H2765">
        <v>6433</v>
      </c>
      <c r="K2765" t="s">
        <v>1383</v>
      </c>
    </row>
    <row r="2766" spans="1:11" x14ac:dyDescent="0.25">
      <c r="A2766" s="40">
        <v>45946.540775462963</v>
      </c>
      <c r="B2766" t="s">
        <v>1794</v>
      </c>
      <c r="C2766" t="s">
        <v>69</v>
      </c>
      <c r="D2766" t="s">
        <v>375</v>
      </c>
      <c r="E2766" t="s">
        <v>1364</v>
      </c>
      <c r="F2766" t="s">
        <v>1372</v>
      </c>
      <c r="G2766">
        <v>-170</v>
      </c>
      <c r="H2766">
        <v>4325</v>
      </c>
      <c r="K2766" t="s">
        <v>1383</v>
      </c>
    </row>
    <row r="2767" spans="1:11" x14ac:dyDescent="0.25">
      <c r="A2767" s="40">
        <v>45946.540775462963</v>
      </c>
      <c r="B2767" t="s">
        <v>1794</v>
      </c>
      <c r="C2767" t="s">
        <v>229</v>
      </c>
      <c r="D2767" t="s">
        <v>321</v>
      </c>
      <c r="E2767" t="s">
        <v>1364</v>
      </c>
      <c r="F2767" t="s">
        <v>1372</v>
      </c>
      <c r="G2767">
        <v>-295</v>
      </c>
      <c r="H2767">
        <v>6864</v>
      </c>
      <c r="K2767" t="s">
        <v>1383</v>
      </c>
    </row>
    <row r="2768" spans="1:11" x14ac:dyDescent="0.25">
      <c r="A2768" s="40">
        <v>45946.540775462963</v>
      </c>
      <c r="B2768" t="s">
        <v>1794</v>
      </c>
      <c r="C2768" t="s">
        <v>31</v>
      </c>
      <c r="D2768" t="s">
        <v>493</v>
      </c>
      <c r="E2768" t="s">
        <v>1364</v>
      </c>
      <c r="F2768" t="s">
        <v>1372</v>
      </c>
      <c r="G2768">
        <v>-35</v>
      </c>
      <c r="H2768">
        <v>2841</v>
      </c>
      <c r="K2768" t="s">
        <v>1383</v>
      </c>
    </row>
    <row r="2769" spans="1:11" x14ac:dyDescent="0.25">
      <c r="A2769" s="40">
        <v>45946.540775462963</v>
      </c>
      <c r="B2769" t="s">
        <v>1794</v>
      </c>
      <c r="C2769" t="s">
        <v>48</v>
      </c>
      <c r="D2769" t="s">
        <v>396</v>
      </c>
      <c r="E2769" t="s">
        <v>1364</v>
      </c>
      <c r="F2769" t="s">
        <v>1372</v>
      </c>
      <c r="G2769">
        <v>-105</v>
      </c>
      <c r="H2769">
        <v>14065</v>
      </c>
      <c r="K2769" t="s">
        <v>1383</v>
      </c>
    </row>
    <row r="2770" spans="1:11" x14ac:dyDescent="0.25">
      <c r="A2770" s="40">
        <v>45946.540775462963</v>
      </c>
      <c r="B2770" t="s">
        <v>1794</v>
      </c>
      <c r="C2770" t="s">
        <v>63</v>
      </c>
      <c r="D2770" t="s">
        <v>355</v>
      </c>
      <c r="E2770" t="s">
        <v>1364</v>
      </c>
      <c r="F2770" t="s">
        <v>1372</v>
      </c>
      <c r="G2770">
        <v>-35</v>
      </c>
      <c r="H2770">
        <v>1970</v>
      </c>
      <c r="K2770" t="s">
        <v>1383</v>
      </c>
    </row>
    <row r="2771" spans="1:11" x14ac:dyDescent="0.25">
      <c r="A2771" s="40">
        <v>45946.540775462963</v>
      </c>
      <c r="B2771" t="s">
        <v>1794</v>
      </c>
      <c r="C2771" t="s">
        <v>21</v>
      </c>
      <c r="D2771" t="s">
        <v>488</v>
      </c>
      <c r="E2771" t="s">
        <v>1364</v>
      </c>
      <c r="F2771" t="s">
        <v>1372</v>
      </c>
      <c r="G2771">
        <v>-645</v>
      </c>
      <c r="H2771">
        <v>11672</v>
      </c>
      <c r="K2771" t="s">
        <v>1383</v>
      </c>
    </row>
    <row r="2772" spans="1:11" x14ac:dyDescent="0.25">
      <c r="A2772" s="40">
        <v>45946.540775462963</v>
      </c>
      <c r="B2772" t="s">
        <v>1794</v>
      </c>
      <c r="C2772" t="s">
        <v>58</v>
      </c>
      <c r="D2772" t="s">
        <v>315</v>
      </c>
      <c r="E2772" t="s">
        <v>1364</v>
      </c>
      <c r="F2772" t="s">
        <v>1372</v>
      </c>
      <c r="G2772">
        <v>-50</v>
      </c>
      <c r="H2772">
        <v>3733</v>
      </c>
      <c r="K2772" t="s">
        <v>1383</v>
      </c>
    </row>
    <row r="2773" spans="1:11" x14ac:dyDescent="0.25">
      <c r="A2773" s="40">
        <v>45946.540775462963</v>
      </c>
      <c r="B2773" t="s">
        <v>1794</v>
      </c>
      <c r="C2773" t="s">
        <v>47</v>
      </c>
      <c r="D2773" t="s">
        <v>395</v>
      </c>
      <c r="E2773" t="s">
        <v>1364</v>
      </c>
      <c r="F2773" t="s">
        <v>1372</v>
      </c>
      <c r="G2773">
        <v>-35</v>
      </c>
      <c r="H2773">
        <v>20124</v>
      </c>
      <c r="K2773" t="s">
        <v>1383</v>
      </c>
    </row>
    <row r="2774" spans="1:11" x14ac:dyDescent="0.25">
      <c r="A2774" s="40">
        <v>45946.540775462963</v>
      </c>
      <c r="B2774" t="s">
        <v>1794</v>
      </c>
      <c r="C2774" t="s">
        <v>20</v>
      </c>
      <c r="D2774" t="s">
        <v>498</v>
      </c>
      <c r="E2774" t="s">
        <v>1364</v>
      </c>
      <c r="F2774" t="s">
        <v>1372</v>
      </c>
      <c r="G2774">
        <v>-365</v>
      </c>
      <c r="H2774">
        <v>20477</v>
      </c>
      <c r="K2774" t="s">
        <v>1383</v>
      </c>
    </row>
    <row r="2775" spans="1:11" x14ac:dyDescent="0.25">
      <c r="A2775" s="40">
        <v>45946.540775462963</v>
      </c>
      <c r="B2775" t="s">
        <v>1794</v>
      </c>
      <c r="C2775" t="s">
        <v>57</v>
      </c>
      <c r="D2775" t="s">
        <v>314</v>
      </c>
      <c r="E2775" t="s">
        <v>1364</v>
      </c>
      <c r="F2775" t="s">
        <v>1372</v>
      </c>
      <c r="G2775">
        <v>-65</v>
      </c>
      <c r="H2775">
        <v>4770</v>
      </c>
      <c r="K2775" t="s">
        <v>1383</v>
      </c>
    </row>
    <row r="2776" spans="1:11" x14ac:dyDescent="0.25">
      <c r="A2776" s="40">
        <v>45946.540775462963</v>
      </c>
      <c r="B2776" t="s">
        <v>1794</v>
      </c>
      <c r="C2776" t="s">
        <v>27</v>
      </c>
      <c r="D2776" t="s">
        <v>381</v>
      </c>
      <c r="E2776" t="s">
        <v>1364</v>
      </c>
      <c r="F2776" t="s">
        <v>1372</v>
      </c>
      <c r="G2776">
        <v>-750</v>
      </c>
      <c r="H2776">
        <v>36683</v>
      </c>
      <c r="K2776" t="s">
        <v>1383</v>
      </c>
    </row>
    <row r="2777" spans="1:11" x14ac:dyDescent="0.25">
      <c r="A2777" s="40">
        <v>45946.540775462963</v>
      </c>
      <c r="B2777" t="s">
        <v>1794</v>
      </c>
      <c r="C2777" t="s">
        <v>5</v>
      </c>
      <c r="D2777" t="s">
        <v>389</v>
      </c>
      <c r="E2777" t="s">
        <v>1364</v>
      </c>
      <c r="F2777" t="s">
        <v>1372</v>
      </c>
      <c r="G2777">
        <v>-185</v>
      </c>
      <c r="H2777">
        <v>9741</v>
      </c>
      <c r="K2777" t="s">
        <v>1383</v>
      </c>
    </row>
    <row r="2778" spans="1:11" x14ac:dyDescent="0.25">
      <c r="A2778" s="40">
        <v>45946.540775462963</v>
      </c>
      <c r="B2778" t="s">
        <v>1794</v>
      </c>
      <c r="C2778" t="s">
        <v>1</v>
      </c>
      <c r="D2778" t="s">
        <v>250</v>
      </c>
      <c r="E2778" t="s">
        <v>1364</v>
      </c>
      <c r="F2778" t="s">
        <v>1372</v>
      </c>
      <c r="G2778">
        <v>-1285</v>
      </c>
      <c r="H2778">
        <v>6291</v>
      </c>
      <c r="K2778" t="s">
        <v>1383</v>
      </c>
    </row>
    <row r="2779" spans="1:11" x14ac:dyDescent="0.25">
      <c r="A2779" s="40">
        <v>45948.366516203707</v>
      </c>
      <c r="B2779" t="s">
        <v>1795</v>
      </c>
      <c r="C2779" t="s">
        <v>1351</v>
      </c>
      <c r="E2779" t="s">
        <v>1365</v>
      </c>
      <c r="F2779" t="s">
        <v>1372</v>
      </c>
      <c r="G2779">
        <v>-65</v>
      </c>
      <c r="H2779">
        <v>-77</v>
      </c>
      <c r="K2779" t="s">
        <v>1383</v>
      </c>
    </row>
    <row r="2780" spans="1:11" x14ac:dyDescent="0.25">
      <c r="A2780" s="40">
        <v>45948.366516203707</v>
      </c>
      <c r="B2780" t="s">
        <v>1795</v>
      </c>
      <c r="C2780" t="s">
        <v>18</v>
      </c>
      <c r="D2780" t="s">
        <v>487</v>
      </c>
      <c r="E2780" t="s">
        <v>1364</v>
      </c>
      <c r="F2780" t="s">
        <v>1372</v>
      </c>
      <c r="G2780">
        <v>-50</v>
      </c>
      <c r="H2780">
        <v>2971</v>
      </c>
      <c r="K2780" t="s">
        <v>1383</v>
      </c>
    </row>
    <row r="2781" spans="1:11" x14ac:dyDescent="0.25">
      <c r="A2781" s="40">
        <v>45948.366516203707</v>
      </c>
      <c r="B2781" t="s">
        <v>1795</v>
      </c>
      <c r="C2781" t="s">
        <v>326</v>
      </c>
      <c r="D2781" t="s">
        <v>327</v>
      </c>
      <c r="E2781" t="s">
        <v>1364</v>
      </c>
      <c r="F2781" t="s">
        <v>1372</v>
      </c>
      <c r="G2781">
        <v>-90</v>
      </c>
      <c r="H2781">
        <v>1076</v>
      </c>
      <c r="K2781" t="s">
        <v>1383</v>
      </c>
    </row>
    <row r="2782" spans="1:11" x14ac:dyDescent="0.25">
      <c r="A2782" s="40">
        <v>45948.366516203707</v>
      </c>
      <c r="B2782" t="s">
        <v>1795</v>
      </c>
      <c r="C2782" t="s">
        <v>1762</v>
      </c>
      <c r="D2782" t="s">
        <v>1792</v>
      </c>
      <c r="E2782" t="s">
        <v>1364</v>
      </c>
      <c r="F2782" t="s">
        <v>1372</v>
      </c>
      <c r="G2782">
        <v>-155</v>
      </c>
      <c r="H2782">
        <v>-17</v>
      </c>
      <c r="K2782" t="s">
        <v>1383</v>
      </c>
    </row>
    <row r="2783" spans="1:11" x14ac:dyDescent="0.25">
      <c r="A2783" s="40">
        <v>45948.366516203707</v>
      </c>
      <c r="B2783" t="s">
        <v>1795</v>
      </c>
      <c r="C2783" t="s">
        <v>14</v>
      </c>
      <c r="D2783" t="s">
        <v>483</v>
      </c>
      <c r="E2783" t="s">
        <v>1364</v>
      </c>
      <c r="F2783" t="s">
        <v>1372</v>
      </c>
      <c r="G2783">
        <v>-155</v>
      </c>
      <c r="H2783">
        <v>1129</v>
      </c>
      <c r="K2783" t="s">
        <v>1383</v>
      </c>
    </row>
    <row r="2784" spans="1:11" x14ac:dyDescent="0.25">
      <c r="A2784" s="40">
        <v>45948.366516203707</v>
      </c>
      <c r="B2784" t="s">
        <v>1795</v>
      </c>
      <c r="C2784" t="s">
        <v>324</v>
      </c>
      <c r="D2784" t="s">
        <v>325</v>
      </c>
      <c r="E2784" t="s">
        <v>1364</v>
      </c>
      <c r="F2784" t="s">
        <v>1372</v>
      </c>
      <c r="G2784">
        <v>-50</v>
      </c>
      <c r="H2784">
        <v>1000</v>
      </c>
      <c r="K2784" t="s">
        <v>1383</v>
      </c>
    </row>
    <row r="2785" spans="1:11" x14ac:dyDescent="0.25">
      <c r="A2785" s="40">
        <v>45948.366516203707</v>
      </c>
      <c r="B2785" t="s">
        <v>1795</v>
      </c>
      <c r="C2785" t="s">
        <v>24</v>
      </c>
      <c r="D2785" t="s">
        <v>378</v>
      </c>
      <c r="E2785" t="s">
        <v>1364</v>
      </c>
      <c r="F2785" t="s">
        <v>1372</v>
      </c>
      <c r="G2785">
        <v>-90</v>
      </c>
      <c r="H2785">
        <v>-339</v>
      </c>
      <c r="K2785" t="s">
        <v>1383</v>
      </c>
    </row>
    <row r="2786" spans="1:11" x14ac:dyDescent="0.25">
      <c r="A2786" s="40">
        <v>45948.366516203707</v>
      </c>
      <c r="B2786" t="s">
        <v>1795</v>
      </c>
      <c r="C2786" t="s">
        <v>370</v>
      </c>
      <c r="D2786" t="s">
        <v>371</v>
      </c>
      <c r="E2786" t="s">
        <v>1364</v>
      </c>
      <c r="F2786" t="s">
        <v>1372</v>
      </c>
      <c r="G2786">
        <v>-50</v>
      </c>
      <c r="H2786">
        <v>2251</v>
      </c>
      <c r="K2786" t="s">
        <v>1383</v>
      </c>
    </row>
    <row r="2787" spans="1:11" x14ac:dyDescent="0.25">
      <c r="A2787" s="40">
        <v>45948.366516203707</v>
      </c>
      <c r="B2787" t="s">
        <v>1795</v>
      </c>
      <c r="C2787" t="s">
        <v>25</v>
      </c>
      <c r="D2787" t="s">
        <v>491</v>
      </c>
      <c r="E2787" t="s">
        <v>1364</v>
      </c>
      <c r="F2787" t="s">
        <v>1372</v>
      </c>
      <c r="G2787">
        <v>-155</v>
      </c>
      <c r="H2787">
        <v>176</v>
      </c>
      <c r="K2787" t="s">
        <v>1383</v>
      </c>
    </row>
    <row r="2788" spans="1:11" x14ac:dyDescent="0.25">
      <c r="A2788" s="40">
        <v>45948.366516203707</v>
      </c>
      <c r="B2788" t="s">
        <v>1795</v>
      </c>
      <c r="C2788" t="s">
        <v>63</v>
      </c>
      <c r="D2788" t="s">
        <v>355</v>
      </c>
      <c r="E2788" t="s">
        <v>1364</v>
      </c>
      <c r="F2788" t="s">
        <v>1372</v>
      </c>
      <c r="G2788">
        <v>-50</v>
      </c>
      <c r="H2788">
        <v>1920</v>
      </c>
      <c r="K2788" t="s">
        <v>1383</v>
      </c>
    </row>
    <row r="2789" spans="1:11" x14ac:dyDescent="0.25">
      <c r="A2789" s="40">
        <v>45948.366516203707</v>
      </c>
      <c r="B2789" t="s">
        <v>1795</v>
      </c>
      <c r="C2789" t="s">
        <v>20</v>
      </c>
      <c r="D2789" t="s">
        <v>498</v>
      </c>
      <c r="E2789" t="s">
        <v>1364</v>
      </c>
      <c r="F2789" t="s">
        <v>1372</v>
      </c>
      <c r="G2789">
        <v>-120</v>
      </c>
      <c r="H2789">
        <v>20357</v>
      </c>
      <c r="K2789" t="s">
        <v>1383</v>
      </c>
    </row>
    <row r="2790" spans="1:11" x14ac:dyDescent="0.25">
      <c r="A2790" s="40">
        <v>45948.366516203707</v>
      </c>
      <c r="B2790" t="s">
        <v>1795</v>
      </c>
      <c r="C2790" t="s">
        <v>27</v>
      </c>
      <c r="D2790" t="s">
        <v>381</v>
      </c>
      <c r="E2790" t="s">
        <v>1364</v>
      </c>
      <c r="F2790" t="s">
        <v>1372</v>
      </c>
      <c r="G2790">
        <v>-90</v>
      </c>
      <c r="H2790">
        <v>36593</v>
      </c>
      <c r="K2790" t="s">
        <v>1383</v>
      </c>
    </row>
    <row r="2791" spans="1:11" x14ac:dyDescent="0.25">
      <c r="A2791" s="40">
        <v>45948.366516203707</v>
      </c>
      <c r="B2791" t="s">
        <v>1795</v>
      </c>
      <c r="C2791" t="s">
        <v>1</v>
      </c>
      <c r="D2791" t="s">
        <v>250</v>
      </c>
      <c r="E2791" t="s">
        <v>1364</v>
      </c>
      <c r="F2791" t="s">
        <v>1372</v>
      </c>
      <c r="G2791">
        <v>-350</v>
      </c>
      <c r="H2791">
        <v>5941</v>
      </c>
      <c r="K2791" t="s">
        <v>1383</v>
      </c>
    </row>
    <row r="2792" spans="1:11" x14ac:dyDescent="0.25">
      <c r="A2792" s="40">
        <v>45953.559351851851</v>
      </c>
      <c r="B2792" t="s">
        <v>1796</v>
      </c>
      <c r="C2792" t="s">
        <v>1797</v>
      </c>
      <c r="E2792" t="s">
        <v>1364</v>
      </c>
      <c r="F2792" t="s">
        <v>1372</v>
      </c>
      <c r="G2792">
        <v>-220</v>
      </c>
      <c r="H2792">
        <v>-220</v>
      </c>
      <c r="K2792" t="s">
        <v>1383</v>
      </c>
    </row>
    <row r="2793" spans="1:11" x14ac:dyDescent="0.25">
      <c r="A2793" s="40">
        <v>45953.559351851851</v>
      </c>
      <c r="B2793" t="s">
        <v>1796</v>
      </c>
      <c r="C2793" t="s">
        <v>1508</v>
      </c>
      <c r="E2793" t="s">
        <v>1364</v>
      </c>
      <c r="F2793" t="s">
        <v>1372</v>
      </c>
      <c r="G2793">
        <v>-1495</v>
      </c>
      <c r="H2793">
        <v>8505</v>
      </c>
      <c r="K2793" t="s">
        <v>1383</v>
      </c>
    </row>
    <row r="2794" spans="1:11" x14ac:dyDescent="0.25">
      <c r="A2794" s="40">
        <v>45953.559351851851</v>
      </c>
      <c r="B2794" t="s">
        <v>1796</v>
      </c>
      <c r="C2794" t="s">
        <v>1509</v>
      </c>
      <c r="E2794" t="s">
        <v>1364</v>
      </c>
      <c r="F2794" t="s">
        <v>1372</v>
      </c>
      <c r="G2794">
        <v>-470</v>
      </c>
      <c r="H2794">
        <v>24530</v>
      </c>
      <c r="K2794" t="s">
        <v>1383</v>
      </c>
    </row>
    <row r="2795" spans="1:11" x14ac:dyDescent="0.25">
      <c r="A2795" s="40">
        <v>45953.559351851851</v>
      </c>
      <c r="B2795" t="s">
        <v>1796</v>
      </c>
      <c r="C2795" t="s">
        <v>1514</v>
      </c>
      <c r="E2795" t="s">
        <v>1364</v>
      </c>
      <c r="F2795" t="s">
        <v>1372</v>
      </c>
      <c r="G2795">
        <v>-255</v>
      </c>
      <c r="H2795">
        <v>9745</v>
      </c>
      <c r="K2795" t="s">
        <v>1383</v>
      </c>
    </row>
    <row r="2796" spans="1:11" x14ac:dyDescent="0.25">
      <c r="A2796" s="40">
        <v>45953.559351851851</v>
      </c>
      <c r="B2796" t="s">
        <v>1796</v>
      </c>
      <c r="C2796" t="s">
        <v>1510</v>
      </c>
      <c r="E2796" t="s">
        <v>1364</v>
      </c>
      <c r="F2796" t="s">
        <v>1372</v>
      </c>
      <c r="G2796">
        <v>-470</v>
      </c>
      <c r="H2796">
        <v>2530</v>
      </c>
      <c r="K2796" t="s">
        <v>1383</v>
      </c>
    </row>
    <row r="2797" spans="1:11" x14ac:dyDescent="0.25">
      <c r="A2797" s="40">
        <v>45953.559351851851</v>
      </c>
      <c r="B2797" t="s">
        <v>1796</v>
      </c>
      <c r="C2797" t="s">
        <v>1511</v>
      </c>
      <c r="E2797" t="s">
        <v>1364</v>
      </c>
      <c r="F2797" t="s">
        <v>1372</v>
      </c>
      <c r="G2797">
        <v>-800</v>
      </c>
      <c r="H2797">
        <v>7000</v>
      </c>
      <c r="K2797" t="s">
        <v>1383</v>
      </c>
    </row>
    <row r="2798" spans="1:11" x14ac:dyDescent="0.25">
      <c r="A2798" s="40">
        <v>45953.559351851851</v>
      </c>
      <c r="B2798" t="s">
        <v>1796</v>
      </c>
      <c r="C2798" t="s">
        <v>1512</v>
      </c>
      <c r="E2798" t="s">
        <v>1364</v>
      </c>
      <c r="F2798" t="s">
        <v>1372</v>
      </c>
      <c r="G2798">
        <v>-255</v>
      </c>
      <c r="H2798">
        <v>5745</v>
      </c>
      <c r="K2798" t="s">
        <v>1383</v>
      </c>
    </row>
    <row r="2799" spans="1:11" x14ac:dyDescent="0.25">
      <c r="A2799" s="40">
        <v>45953.559351851851</v>
      </c>
      <c r="B2799" t="s">
        <v>1796</v>
      </c>
      <c r="C2799" t="s">
        <v>1513</v>
      </c>
      <c r="E2799" t="s">
        <v>1364</v>
      </c>
      <c r="F2799" t="s">
        <v>1372</v>
      </c>
      <c r="G2799">
        <v>-1495</v>
      </c>
      <c r="H2799">
        <v>16505</v>
      </c>
      <c r="K2799" t="s">
        <v>1383</v>
      </c>
    </row>
    <row r="2800" spans="1:11" x14ac:dyDescent="0.25">
      <c r="A2800" s="40">
        <v>45953.559351851851</v>
      </c>
      <c r="B2800" t="s">
        <v>1796</v>
      </c>
      <c r="C2800" t="s">
        <v>1520</v>
      </c>
      <c r="E2800" t="s">
        <v>1364</v>
      </c>
      <c r="F2800" t="s">
        <v>1372</v>
      </c>
      <c r="G2800">
        <v>-675</v>
      </c>
      <c r="H2800">
        <v>4725</v>
      </c>
      <c r="K2800" t="s">
        <v>1383</v>
      </c>
    </row>
    <row r="2801" spans="1:11" x14ac:dyDescent="0.25">
      <c r="A2801" s="40">
        <v>45953.559351851851</v>
      </c>
      <c r="B2801" t="s">
        <v>1796</v>
      </c>
      <c r="C2801" t="s">
        <v>1524</v>
      </c>
      <c r="E2801" t="s">
        <v>1364</v>
      </c>
      <c r="F2801" t="s">
        <v>1372</v>
      </c>
      <c r="G2801">
        <v>-220</v>
      </c>
      <c r="H2801">
        <v>800</v>
      </c>
      <c r="K2801" t="s">
        <v>1383</v>
      </c>
    </row>
    <row r="2802" spans="1:11" x14ac:dyDescent="0.25">
      <c r="A2802" s="40">
        <v>45953.559351851851</v>
      </c>
      <c r="B2802" t="s">
        <v>1796</v>
      </c>
      <c r="C2802" t="s">
        <v>1519</v>
      </c>
      <c r="E2802" t="s">
        <v>1364</v>
      </c>
      <c r="F2802" t="s">
        <v>1372</v>
      </c>
      <c r="G2802">
        <v>-195</v>
      </c>
      <c r="H2802">
        <v>290</v>
      </c>
      <c r="K2802" t="s">
        <v>1383</v>
      </c>
    </row>
    <row r="2803" spans="1:11" x14ac:dyDescent="0.25">
      <c r="A2803" s="40">
        <v>45953.559351851851</v>
      </c>
      <c r="B2803" t="s">
        <v>1796</v>
      </c>
      <c r="C2803" t="s">
        <v>1525</v>
      </c>
      <c r="E2803" t="s">
        <v>1364</v>
      </c>
      <c r="F2803" t="s">
        <v>1372</v>
      </c>
      <c r="G2803">
        <v>-195</v>
      </c>
      <c r="H2803">
        <v>695</v>
      </c>
      <c r="K2803" t="s">
        <v>1383</v>
      </c>
    </row>
    <row r="2804" spans="1:11" x14ac:dyDescent="0.25">
      <c r="A2804" s="40">
        <v>45953.559351851851</v>
      </c>
      <c r="B2804" t="s">
        <v>1796</v>
      </c>
      <c r="C2804" t="s">
        <v>1523</v>
      </c>
      <c r="E2804" t="s">
        <v>1364</v>
      </c>
      <c r="F2804" t="s">
        <v>1372</v>
      </c>
      <c r="G2804">
        <v>-420</v>
      </c>
      <c r="H2804">
        <v>3580</v>
      </c>
      <c r="K2804" t="s">
        <v>1383</v>
      </c>
    </row>
    <row r="2805" spans="1:11" x14ac:dyDescent="0.25">
      <c r="A2805" s="40">
        <v>45953.559351851851</v>
      </c>
      <c r="B2805" t="s">
        <v>1796</v>
      </c>
      <c r="C2805" t="s">
        <v>1536</v>
      </c>
      <c r="E2805" t="s">
        <v>1364</v>
      </c>
      <c r="F2805" t="s">
        <v>1372</v>
      </c>
      <c r="G2805">
        <v>-220</v>
      </c>
      <c r="H2805">
        <v>437</v>
      </c>
      <c r="K2805" t="s">
        <v>1383</v>
      </c>
    </row>
    <row r="2806" spans="1:11" x14ac:dyDescent="0.25">
      <c r="A2806" s="40">
        <v>45953.559351851851</v>
      </c>
      <c r="B2806" t="s">
        <v>1796</v>
      </c>
      <c r="C2806" t="s">
        <v>1547</v>
      </c>
      <c r="E2806" t="s">
        <v>1364</v>
      </c>
      <c r="F2806" t="s">
        <v>1372</v>
      </c>
      <c r="G2806">
        <v>-420</v>
      </c>
      <c r="H2806">
        <v>818</v>
      </c>
      <c r="K2806" t="s">
        <v>1383</v>
      </c>
    </row>
    <row r="2807" spans="1:11" x14ac:dyDescent="0.25">
      <c r="A2807" s="40">
        <v>45953.559351851851</v>
      </c>
      <c r="B2807" t="s">
        <v>1796</v>
      </c>
      <c r="C2807" t="s">
        <v>1544</v>
      </c>
      <c r="E2807" t="s">
        <v>1364</v>
      </c>
      <c r="F2807" t="s">
        <v>1372</v>
      </c>
      <c r="G2807">
        <v>-220</v>
      </c>
      <c r="H2807">
        <v>2650</v>
      </c>
      <c r="K2807" t="s">
        <v>1383</v>
      </c>
    </row>
    <row r="2808" spans="1:11" x14ac:dyDescent="0.25">
      <c r="A2808" s="40">
        <v>45953.559351851851</v>
      </c>
      <c r="B2808" t="s">
        <v>1796</v>
      </c>
      <c r="C2808" t="s">
        <v>1545</v>
      </c>
      <c r="E2808" t="s">
        <v>1364</v>
      </c>
      <c r="F2808" t="s">
        <v>1372</v>
      </c>
      <c r="G2808">
        <v>-255</v>
      </c>
      <c r="H2808">
        <v>2395</v>
      </c>
      <c r="K2808" t="s">
        <v>1383</v>
      </c>
    </row>
    <row r="2809" spans="1:11" x14ac:dyDescent="0.25">
      <c r="A2809" s="40">
        <v>45953.559351851851</v>
      </c>
      <c r="B2809" t="s">
        <v>1796</v>
      </c>
      <c r="C2809" t="s">
        <v>1551</v>
      </c>
      <c r="E2809" t="s">
        <v>1364</v>
      </c>
      <c r="F2809" t="s">
        <v>1372</v>
      </c>
      <c r="G2809">
        <v>-2435</v>
      </c>
      <c r="H2809">
        <v>58565</v>
      </c>
      <c r="K2809" t="s">
        <v>1383</v>
      </c>
    </row>
    <row r="2810" spans="1:11" x14ac:dyDescent="0.25">
      <c r="A2810" s="40">
        <v>45953.559351851851</v>
      </c>
      <c r="B2810" t="s">
        <v>1796</v>
      </c>
      <c r="C2810" t="s">
        <v>1552</v>
      </c>
      <c r="E2810" t="s">
        <v>1364</v>
      </c>
      <c r="F2810" t="s">
        <v>1372</v>
      </c>
      <c r="G2810">
        <v>-860</v>
      </c>
      <c r="H2810">
        <v>4140</v>
      </c>
      <c r="K2810" t="s">
        <v>1383</v>
      </c>
    </row>
    <row r="2811" spans="1:11" x14ac:dyDescent="0.25">
      <c r="A2811" s="40">
        <v>45953.559351851851</v>
      </c>
      <c r="B2811" t="s">
        <v>1796</v>
      </c>
      <c r="C2811" t="s">
        <v>1553</v>
      </c>
      <c r="E2811" t="s">
        <v>1364</v>
      </c>
      <c r="F2811" t="s">
        <v>1372</v>
      </c>
      <c r="G2811">
        <v>-255</v>
      </c>
      <c r="H2811">
        <v>16745</v>
      </c>
      <c r="K2811" t="s">
        <v>1383</v>
      </c>
    </row>
    <row r="2812" spans="1:11" x14ac:dyDescent="0.25">
      <c r="A2812" s="40">
        <v>45953.559351851851</v>
      </c>
      <c r="B2812" t="s">
        <v>1796</v>
      </c>
      <c r="C2812" t="s">
        <v>1554</v>
      </c>
      <c r="E2812" t="s">
        <v>1364</v>
      </c>
      <c r="F2812" t="s">
        <v>1372</v>
      </c>
      <c r="G2812">
        <v>-255</v>
      </c>
      <c r="H2812">
        <v>3745</v>
      </c>
      <c r="K2812" t="s">
        <v>1383</v>
      </c>
    </row>
    <row r="2813" spans="1:11" x14ac:dyDescent="0.25">
      <c r="A2813" s="40">
        <v>45953.559351851851</v>
      </c>
      <c r="B2813" t="s">
        <v>1796</v>
      </c>
      <c r="C2813" t="s">
        <v>1555</v>
      </c>
      <c r="E2813" t="s">
        <v>1364</v>
      </c>
      <c r="F2813" t="s">
        <v>1372</v>
      </c>
      <c r="G2813">
        <v>-675</v>
      </c>
      <c r="H2813">
        <v>9325</v>
      </c>
      <c r="K2813" t="s">
        <v>1383</v>
      </c>
    </row>
    <row r="2814" spans="1:11" x14ac:dyDescent="0.25">
      <c r="A2814" s="40">
        <v>45953.559351851851</v>
      </c>
      <c r="B2814" t="s">
        <v>1796</v>
      </c>
      <c r="C2814" t="s">
        <v>1556</v>
      </c>
      <c r="E2814" t="s">
        <v>1364</v>
      </c>
      <c r="F2814" t="s">
        <v>1372</v>
      </c>
      <c r="G2814">
        <v>-255</v>
      </c>
      <c r="H2814">
        <v>4745</v>
      </c>
      <c r="K2814" t="s">
        <v>1383</v>
      </c>
    </row>
    <row r="2815" spans="1:11" x14ac:dyDescent="0.25">
      <c r="A2815" s="40">
        <v>45953.559351851851</v>
      </c>
      <c r="B2815" t="s">
        <v>1796</v>
      </c>
      <c r="C2815" t="s">
        <v>1557</v>
      </c>
      <c r="E2815" t="s">
        <v>1364</v>
      </c>
      <c r="F2815" t="s">
        <v>1372</v>
      </c>
      <c r="G2815">
        <v>-255</v>
      </c>
      <c r="H2815">
        <v>9745</v>
      </c>
      <c r="K2815" t="s">
        <v>1383</v>
      </c>
    </row>
    <row r="2816" spans="1:11" x14ac:dyDescent="0.25">
      <c r="A2816" s="40">
        <v>45953.559351851851</v>
      </c>
      <c r="B2816" t="s">
        <v>1796</v>
      </c>
      <c r="C2816" t="s">
        <v>1558</v>
      </c>
      <c r="E2816" t="s">
        <v>1364</v>
      </c>
      <c r="F2816" t="s">
        <v>1372</v>
      </c>
      <c r="G2816">
        <v>-255</v>
      </c>
      <c r="H2816">
        <v>5245</v>
      </c>
      <c r="K2816" t="s">
        <v>1383</v>
      </c>
    </row>
    <row r="2817" spans="1:11" x14ac:dyDescent="0.25">
      <c r="A2817" s="40">
        <v>45953.559351851851</v>
      </c>
      <c r="B2817" t="s">
        <v>1796</v>
      </c>
      <c r="C2817" t="s">
        <v>1559</v>
      </c>
      <c r="E2817" t="s">
        <v>1364</v>
      </c>
      <c r="F2817" t="s">
        <v>1372</v>
      </c>
      <c r="G2817">
        <v>-220</v>
      </c>
      <c r="H2817">
        <v>6030</v>
      </c>
      <c r="K2817" t="s">
        <v>1383</v>
      </c>
    </row>
    <row r="2818" spans="1:11" x14ac:dyDescent="0.25">
      <c r="A2818" s="40">
        <v>45953.559351851851</v>
      </c>
      <c r="B2818" t="s">
        <v>1796</v>
      </c>
      <c r="C2818" t="s">
        <v>1560</v>
      </c>
      <c r="E2818" t="s">
        <v>1364</v>
      </c>
      <c r="F2818" t="s">
        <v>1372</v>
      </c>
      <c r="G2818">
        <v>-675</v>
      </c>
      <c r="H2818">
        <v>9425</v>
      </c>
      <c r="K2818" t="s">
        <v>1383</v>
      </c>
    </row>
    <row r="2819" spans="1:11" x14ac:dyDescent="0.25">
      <c r="A2819" s="40">
        <v>45953.559351851851</v>
      </c>
      <c r="B2819" t="s">
        <v>1796</v>
      </c>
      <c r="C2819" t="s">
        <v>1561</v>
      </c>
      <c r="E2819" t="s">
        <v>1364</v>
      </c>
      <c r="F2819" t="s">
        <v>1372</v>
      </c>
      <c r="G2819">
        <v>-675</v>
      </c>
      <c r="H2819">
        <v>9395</v>
      </c>
      <c r="K2819" t="s">
        <v>1383</v>
      </c>
    </row>
    <row r="2820" spans="1:11" x14ac:dyDescent="0.25">
      <c r="A2820" s="40">
        <v>45953.559351851851</v>
      </c>
      <c r="B2820" t="s">
        <v>1796</v>
      </c>
      <c r="C2820" t="s">
        <v>1564</v>
      </c>
      <c r="E2820" t="s">
        <v>1364</v>
      </c>
      <c r="F2820" t="s">
        <v>1372</v>
      </c>
      <c r="G2820">
        <v>-255</v>
      </c>
      <c r="H2820">
        <v>7345</v>
      </c>
      <c r="K2820" t="s">
        <v>1383</v>
      </c>
    </row>
    <row r="2821" spans="1:11" x14ac:dyDescent="0.25">
      <c r="A2821" s="40">
        <v>45953.559351851851</v>
      </c>
      <c r="B2821" t="s">
        <v>1796</v>
      </c>
      <c r="C2821" t="s">
        <v>1567</v>
      </c>
      <c r="E2821" t="s">
        <v>1364</v>
      </c>
      <c r="F2821" t="s">
        <v>1372</v>
      </c>
      <c r="G2821">
        <v>-470</v>
      </c>
      <c r="H2821">
        <v>9530</v>
      </c>
      <c r="K2821" t="s">
        <v>1383</v>
      </c>
    </row>
    <row r="2822" spans="1:11" x14ac:dyDescent="0.25">
      <c r="A2822" s="40">
        <v>45953.559351851851</v>
      </c>
      <c r="B2822" t="s">
        <v>1796</v>
      </c>
      <c r="C2822" t="s">
        <v>1572</v>
      </c>
      <c r="E2822" t="s">
        <v>1364</v>
      </c>
      <c r="F2822" t="s">
        <v>1372</v>
      </c>
      <c r="G2822">
        <v>-190</v>
      </c>
      <c r="H2822">
        <v>1830</v>
      </c>
      <c r="K2822" t="s">
        <v>1383</v>
      </c>
    </row>
    <row r="2823" spans="1:11" x14ac:dyDescent="0.25">
      <c r="A2823" s="40">
        <v>45953.559351851851</v>
      </c>
      <c r="B2823" t="s">
        <v>1796</v>
      </c>
      <c r="C2823" t="s">
        <v>1550</v>
      </c>
      <c r="E2823" t="s">
        <v>1364</v>
      </c>
      <c r="F2823" t="s">
        <v>1372</v>
      </c>
      <c r="G2823">
        <v>-220</v>
      </c>
      <c r="H2823">
        <v>1530</v>
      </c>
      <c r="K2823" t="s">
        <v>1383</v>
      </c>
    </row>
    <row r="2824" spans="1:11" x14ac:dyDescent="0.25">
      <c r="A2824" s="40">
        <v>45953.559351851851</v>
      </c>
      <c r="B2824" t="s">
        <v>1796</v>
      </c>
      <c r="C2824" t="s">
        <v>1538</v>
      </c>
      <c r="E2824" t="s">
        <v>1364</v>
      </c>
      <c r="F2824" t="s">
        <v>1372</v>
      </c>
      <c r="G2824">
        <v>-195</v>
      </c>
      <c r="H2824">
        <v>2071</v>
      </c>
      <c r="K2824" t="s">
        <v>1383</v>
      </c>
    </row>
    <row r="2825" spans="1:11" x14ac:dyDescent="0.25">
      <c r="A2825" s="40">
        <v>45953.559351851851</v>
      </c>
      <c r="B2825" t="s">
        <v>1796</v>
      </c>
      <c r="C2825" t="s">
        <v>1527</v>
      </c>
      <c r="E2825" t="s">
        <v>1364</v>
      </c>
      <c r="F2825" t="s">
        <v>1372</v>
      </c>
      <c r="G2825">
        <v>-220</v>
      </c>
      <c r="H2825">
        <v>190</v>
      </c>
      <c r="K2825" t="s">
        <v>1383</v>
      </c>
    </row>
    <row r="2826" spans="1:11" x14ac:dyDescent="0.25">
      <c r="A2826" s="40">
        <v>45953.559351851851</v>
      </c>
      <c r="B2826" t="s">
        <v>1796</v>
      </c>
      <c r="C2826" t="s">
        <v>1528</v>
      </c>
      <c r="E2826" t="s">
        <v>1364</v>
      </c>
      <c r="F2826" t="s">
        <v>1372</v>
      </c>
      <c r="G2826">
        <v>-195</v>
      </c>
      <c r="H2826">
        <v>115</v>
      </c>
      <c r="K2826" t="s">
        <v>1383</v>
      </c>
    </row>
    <row r="2827" spans="1:11" x14ac:dyDescent="0.25">
      <c r="A2827" s="40">
        <v>45953.559351851851</v>
      </c>
      <c r="B2827" t="s">
        <v>1796</v>
      </c>
      <c r="C2827" t="s">
        <v>1529</v>
      </c>
      <c r="E2827" t="s">
        <v>1364</v>
      </c>
      <c r="F2827" t="s">
        <v>1372</v>
      </c>
      <c r="G2827">
        <v>-197</v>
      </c>
      <c r="H2827">
        <v>1703</v>
      </c>
      <c r="K2827" t="s">
        <v>1383</v>
      </c>
    </row>
    <row r="2828" spans="1:11" x14ac:dyDescent="0.25">
      <c r="A2828" s="40">
        <v>45953.559351851851</v>
      </c>
      <c r="B2828" t="s">
        <v>1796</v>
      </c>
      <c r="C2828" t="s">
        <v>1548</v>
      </c>
      <c r="E2828" t="s">
        <v>1364</v>
      </c>
      <c r="F2828" t="s">
        <v>1372</v>
      </c>
      <c r="G2828">
        <v>-220</v>
      </c>
      <c r="H2828">
        <v>1430</v>
      </c>
      <c r="K2828" t="s">
        <v>1383</v>
      </c>
    </row>
    <row r="2829" spans="1:11" x14ac:dyDescent="0.25">
      <c r="A2829" s="40">
        <v>45953.559351851851</v>
      </c>
      <c r="B2829" t="s">
        <v>1796</v>
      </c>
      <c r="C2829" t="s">
        <v>1521</v>
      </c>
      <c r="E2829" t="s">
        <v>1364</v>
      </c>
      <c r="F2829" t="s">
        <v>1372</v>
      </c>
      <c r="G2829">
        <v>-220</v>
      </c>
      <c r="H2829">
        <v>2580</v>
      </c>
      <c r="K2829" t="s">
        <v>1383</v>
      </c>
    </row>
    <row r="2830" spans="1:11" x14ac:dyDescent="0.25">
      <c r="A2830" s="40">
        <v>45953.559351851851</v>
      </c>
      <c r="B2830" t="s">
        <v>1796</v>
      </c>
      <c r="C2830" t="s">
        <v>1549</v>
      </c>
      <c r="E2830" t="s">
        <v>1364</v>
      </c>
      <c r="F2830" t="s">
        <v>1372</v>
      </c>
      <c r="G2830">
        <v>-220</v>
      </c>
      <c r="H2830">
        <v>3580</v>
      </c>
      <c r="K2830" t="s">
        <v>1383</v>
      </c>
    </row>
    <row r="2831" spans="1:11" x14ac:dyDescent="0.25">
      <c r="A2831" s="40">
        <v>45953.559351851851</v>
      </c>
      <c r="B2831" t="s">
        <v>1796</v>
      </c>
      <c r="C2831" t="s">
        <v>1507</v>
      </c>
      <c r="E2831" t="s">
        <v>1364</v>
      </c>
      <c r="F2831" t="s">
        <v>1372</v>
      </c>
      <c r="G2831">
        <v>-255</v>
      </c>
      <c r="H2831">
        <v>3045</v>
      </c>
      <c r="K2831" t="s">
        <v>1383</v>
      </c>
    </row>
    <row r="2832" spans="1:11" x14ac:dyDescent="0.25">
      <c r="A2832" s="40">
        <v>45953.559351851851</v>
      </c>
      <c r="B2832" t="s">
        <v>1796</v>
      </c>
      <c r="C2832" t="s">
        <v>1541</v>
      </c>
      <c r="E2832" t="s">
        <v>1364</v>
      </c>
      <c r="F2832" t="s">
        <v>1372</v>
      </c>
      <c r="G2832">
        <v>-195</v>
      </c>
      <c r="H2832">
        <v>233</v>
      </c>
      <c r="K2832" t="s">
        <v>1383</v>
      </c>
    </row>
    <row r="2833" spans="1:12" x14ac:dyDescent="0.25">
      <c r="A2833" s="40">
        <v>45954.210972222223</v>
      </c>
      <c r="B2833" t="s">
        <v>1798</v>
      </c>
      <c r="C2833" t="s">
        <v>1742</v>
      </c>
      <c r="E2833" t="s">
        <v>1365</v>
      </c>
      <c r="F2833" t="s">
        <v>1372</v>
      </c>
      <c r="G2833">
        <v>-65</v>
      </c>
      <c r="H2833">
        <v>-15</v>
      </c>
      <c r="K2833" t="s">
        <v>1383</v>
      </c>
    </row>
    <row r="2834" spans="1:12" x14ac:dyDescent="0.25">
      <c r="A2834" s="40">
        <v>45954.318298611113</v>
      </c>
      <c r="B2834" t="s">
        <v>1795</v>
      </c>
      <c r="C2834" t="s">
        <v>1351</v>
      </c>
      <c r="E2834" t="s">
        <v>1365</v>
      </c>
      <c r="F2834" t="s">
        <v>695</v>
      </c>
      <c r="G2834">
        <v>200</v>
      </c>
      <c r="H2834">
        <v>123</v>
      </c>
      <c r="I2834" t="s">
        <v>1410</v>
      </c>
      <c r="K2834" t="s">
        <v>1465</v>
      </c>
      <c r="L2834">
        <v>2880</v>
      </c>
    </row>
    <row r="2835" spans="1:12" x14ac:dyDescent="0.25">
      <c r="A2835" s="40">
        <v>45954.318298611113</v>
      </c>
      <c r="B2835" t="s">
        <v>1795</v>
      </c>
      <c r="C2835" t="s">
        <v>1762</v>
      </c>
      <c r="D2835" t="s">
        <v>1792</v>
      </c>
      <c r="E2835" t="s">
        <v>1364</v>
      </c>
      <c r="F2835" t="s">
        <v>695</v>
      </c>
      <c r="G2835">
        <v>1000</v>
      </c>
      <c r="H2835">
        <v>983</v>
      </c>
      <c r="I2835" t="s">
        <v>1409</v>
      </c>
      <c r="K2835" t="s">
        <v>1465</v>
      </c>
    </row>
    <row r="2836" spans="1:12" x14ac:dyDescent="0.25">
      <c r="A2836" s="40">
        <v>45954.318298611113</v>
      </c>
      <c r="B2836" t="s">
        <v>1795</v>
      </c>
      <c r="C2836" t="s">
        <v>25</v>
      </c>
      <c r="D2836" t="s">
        <v>491</v>
      </c>
      <c r="E2836" t="s">
        <v>1364</v>
      </c>
      <c r="F2836" t="s">
        <v>695</v>
      </c>
      <c r="G2836">
        <v>10000</v>
      </c>
      <c r="H2836">
        <v>10176</v>
      </c>
      <c r="I2836" t="s">
        <v>696</v>
      </c>
      <c r="K2836" t="s">
        <v>1465</v>
      </c>
    </row>
    <row r="2837" spans="1:12" x14ac:dyDescent="0.25">
      <c r="A2837" s="40">
        <v>45954.318298611113</v>
      </c>
      <c r="B2837" t="s">
        <v>1795</v>
      </c>
      <c r="C2837" t="s">
        <v>24</v>
      </c>
      <c r="D2837" t="s">
        <v>378</v>
      </c>
      <c r="E2837" t="s">
        <v>1364</v>
      </c>
      <c r="F2837" t="s">
        <v>695</v>
      </c>
      <c r="G2837">
        <v>10000</v>
      </c>
      <c r="H2837">
        <v>9661</v>
      </c>
      <c r="I2837" t="s">
        <v>696</v>
      </c>
      <c r="K2837" t="s">
        <v>1465</v>
      </c>
    </row>
    <row r="2838" spans="1:12" x14ac:dyDescent="0.25">
      <c r="A2838" s="40">
        <v>45954.333819444444</v>
      </c>
      <c r="B2838" t="s">
        <v>1798</v>
      </c>
      <c r="C2838" t="s">
        <v>1742</v>
      </c>
      <c r="E2838" t="s">
        <v>1365</v>
      </c>
      <c r="F2838" t="s">
        <v>695</v>
      </c>
      <c r="G2838">
        <v>20</v>
      </c>
      <c r="H2838">
        <v>5</v>
      </c>
      <c r="I2838" t="s">
        <v>1755</v>
      </c>
      <c r="K2838" t="s">
        <v>1465</v>
      </c>
    </row>
    <row r="2839" spans="1:12" x14ac:dyDescent="0.25">
      <c r="A2839" s="40">
        <v>45957.390613425923</v>
      </c>
      <c r="B2839" t="s">
        <v>1794</v>
      </c>
      <c r="C2839" t="s">
        <v>1799</v>
      </c>
      <c r="E2839" t="s">
        <v>1365</v>
      </c>
      <c r="F2839" t="s">
        <v>695</v>
      </c>
      <c r="G2839">
        <v>2000</v>
      </c>
      <c r="H2839">
        <v>2000</v>
      </c>
      <c r="I2839" t="s">
        <v>1410</v>
      </c>
      <c r="J2839" t="s">
        <v>1494</v>
      </c>
      <c r="K2839" t="s">
        <v>1465</v>
      </c>
      <c r="L2839">
        <v>1300.02</v>
      </c>
    </row>
    <row r="2840" spans="1:12" x14ac:dyDescent="0.25">
      <c r="A2840" s="40">
        <v>45957.390613425923</v>
      </c>
      <c r="B2840" t="s">
        <v>1794</v>
      </c>
      <c r="C2840" t="s">
        <v>1799</v>
      </c>
      <c r="E2840" t="s">
        <v>1365</v>
      </c>
      <c r="F2840" t="s">
        <v>1372</v>
      </c>
      <c r="G2840">
        <v>-50</v>
      </c>
      <c r="H2840">
        <v>1950</v>
      </c>
      <c r="K2840" t="s">
        <v>1465</v>
      </c>
    </row>
    <row r="2841" spans="1:12" x14ac:dyDescent="0.25">
      <c r="A2841" s="40">
        <v>45957.390613425923</v>
      </c>
      <c r="B2841" t="s">
        <v>1794</v>
      </c>
      <c r="C2841" t="s">
        <v>24</v>
      </c>
      <c r="D2841" t="s">
        <v>378</v>
      </c>
      <c r="E2841" t="s">
        <v>1364</v>
      </c>
      <c r="F2841" t="s">
        <v>695</v>
      </c>
      <c r="G2841">
        <v>10000</v>
      </c>
      <c r="H2841">
        <v>19661</v>
      </c>
      <c r="I2841" t="s">
        <v>696</v>
      </c>
      <c r="K2841" t="s">
        <v>1465</v>
      </c>
      <c r="L2841">
        <v>8.4599999999999991</v>
      </c>
    </row>
    <row r="2842" spans="1:12" x14ac:dyDescent="0.25">
      <c r="A2842" s="40">
        <v>45958.37060185185</v>
      </c>
      <c r="B2842" t="s">
        <v>1800</v>
      </c>
      <c r="C2842" t="s">
        <v>279</v>
      </c>
      <c r="D2842" t="s">
        <v>280</v>
      </c>
      <c r="E2842" t="s">
        <v>1364</v>
      </c>
      <c r="F2842" t="s">
        <v>1372</v>
      </c>
      <c r="G2842">
        <v>-60</v>
      </c>
      <c r="H2842">
        <v>290</v>
      </c>
      <c r="K2842" t="s">
        <v>1383</v>
      </c>
    </row>
    <row r="2843" spans="1:12" x14ac:dyDescent="0.25">
      <c r="A2843" s="40">
        <v>45958.37060185185</v>
      </c>
      <c r="B2843" t="s">
        <v>1800</v>
      </c>
      <c r="C2843" t="s">
        <v>42</v>
      </c>
      <c r="D2843" t="s">
        <v>391</v>
      </c>
      <c r="E2843" t="s">
        <v>1364</v>
      </c>
      <c r="F2843" t="s">
        <v>1372</v>
      </c>
      <c r="G2843">
        <v>-40</v>
      </c>
      <c r="H2843">
        <v>2285</v>
      </c>
      <c r="K2843" t="s">
        <v>1383</v>
      </c>
    </row>
    <row r="2844" spans="1:12" x14ac:dyDescent="0.25">
      <c r="A2844" s="40">
        <v>45958.37060185185</v>
      </c>
      <c r="B2844" t="s">
        <v>1800</v>
      </c>
      <c r="C2844" t="s">
        <v>414</v>
      </c>
      <c r="D2844" t="s">
        <v>415</v>
      </c>
      <c r="E2844" t="s">
        <v>1364</v>
      </c>
      <c r="F2844" t="s">
        <v>1372</v>
      </c>
      <c r="G2844">
        <v>-40</v>
      </c>
      <c r="H2844">
        <v>3464</v>
      </c>
      <c r="K2844" t="s">
        <v>1383</v>
      </c>
    </row>
    <row r="2845" spans="1:12" x14ac:dyDescent="0.25">
      <c r="A2845" s="40">
        <v>45958.37060185185</v>
      </c>
      <c r="B2845" t="s">
        <v>1800</v>
      </c>
      <c r="C2845" t="s">
        <v>46</v>
      </c>
      <c r="D2845" t="s">
        <v>394</v>
      </c>
      <c r="E2845" t="s">
        <v>1364</v>
      </c>
      <c r="F2845" t="s">
        <v>1372</v>
      </c>
      <c r="G2845">
        <v>-40</v>
      </c>
      <c r="H2845">
        <v>3368</v>
      </c>
      <c r="K2845" t="s">
        <v>1383</v>
      </c>
    </row>
    <row r="2846" spans="1:12" x14ac:dyDescent="0.25">
      <c r="A2846" s="40">
        <v>45958.37060185185</v>
      </c>
      <c r="B2846" t="s">
        <v>1800</v>
      </c>
      <c r="C2846" t="s">
        <v>1</v>
      </c>
      <c r="D2846" t="s">
        <v>250</v>
      </c>
      <c r="E2846" t="s">
        <v>1364</v>
      </c>
      <c r="F2846" t="s">
        <v>1372</v>
      </c>
      <c r="G2846">
        <v>-60</v>
      </c>
      <c r="H2846">
        <v>5881</v>
      </c>
      <c r="K2846" t="s">
        <v>1383</v>
      </c>
    </row>
    <row r="2847" spans="1:12" x14ac:dyDescent="0.25">
      <c r="A2847" s="40">
        <v>45958.37060185185</v>
      </c>
      <c r="B2847" t="s">
        <v>1800</v>
      </c>
      <c r="C2847" t="s">
        <v>85</v>
      </c>
      <c r="D2847" t="s">
        <v>320</v>
      </c>
      <c r="E2847" t="s">
        <v>1364</v>
      </c>
      <c r="F2847" t="s">
        <v>1372</v>
      </c>
      <c r="G2847">
        <v>-40</v>
      </c>
      <c r="H2847">
        <v>4885</v>
      </c>
      <c r="K2847" t="s">
        <v>1383</v>
      </c>
    </row>
    <row r="2848" spans="1:12" x14ac:dyDescent="0.25">
      <c r="A2848" s="40">
        <v>45965.191145833334</v>
      </c>
      <c r="B2848" t="s">
        <v>1794</v>
      </c>
      <c r="C2848" t="s">
        <v>1751</v>
      </c>
      <c r="D2848" t="s">
        <v>1791</v>
      </c>
      <c r="E2848" t="s">
        <v>1364</v>
      </c>
      <c r="F2848" t="s">
        <v>695</v>
      </c>
      <c r="G2848">
        <v>1000</v>
      </c>
      <c r="H2848">
        <v>1340</v>
      </c>
      <c r="I2848" t="s">
        <v>698</v>
      </c>
      <c r="K2848" t="s">
        <v>1465</v>
      </c>
      <c r="L2848">
        <v>942.5</v>
      </c>
    </row>
    <row r="2849" spans="1:11" x14ac:dyDescent="0.25">
      <c r="A2849" s="40">
        <v>45965</v>
      </c>
      <c r="B2849" t="s">
        <v>1380</v>
      </c>
      <c r="C2849" t="s">
        <v>1543</v>
      </c>
      <c r="E2849" t="s">
        <v>1364</v>
      </c>
      <c r="F2849" t="s">
        <v>695</v>
      </c>
      <c r="H2849">
        <v>976</v>
      </c>
      <c r="J2849" t="s">
        <v>1801</v>
      </c>
      <c r="K2849" t="s">
        <v>1380</v>
      </c>
    </row>
    <row r="2850" spans="1:11" x14ac:dyDescent="0.25">
      <c r="A2850" s="40">
        <v>45965</v>
      </c>
      <c r="B2850" t="s">
        <v>1380</v>
      </c>
      <c r="C2850" t="s">
        <v>1573</v>
      </c>
      <c r="E2850" t="s">
        <v>1364</v>
      </c>
      <c r="F2850" t="s">
        <v>695</v>
      </c>
      <c r="H2850">
        <v>2955</v>
      </c>
      <c r="J2850" t="s">
        <v>1801</v>
      </c>
      <c r="K2850" t="s">
        <v>1380</v>
      </c>
    </row>
    <row r="2851" spans="1:11" x14ac:dyDescent="0.25">
      <c r="A2851" s="40">
        <v>45965</v>
      </c>
      <c r="B2851" t="s">
        <v>1380</v>
      </c>
      <c r="C2851" t="s">
        <v>1515</v>
      </c>
      <c r="E2851" t="s">
        <v>1364</v>
      </c>
      <c r="F2851" t="s">
        <v>695</v>
      </c>
      <c r="H2851">
        <v>8000</v>
      </c>
      <c r="J2851" t="s">
        <v>1801</v>
      </c>
      <c r="K2851" t="s">
        <v>1380</v>
      </c>
    </row>
    <row r="2852" spans="1:11" x14ac:dyDescent="0.25">
      <c r="A2852" s="40">
        <v>45965</v>
      </c>
      <c r="B2852" t="s">
        <v>1380</v>
      </c>
      <c r="C2852" t="s">
        <v>1531</v>
      </c>
      <c r="E2852" t="s">
        <v>1364</v>
      </c>
      <c r="F2852" t="s">
        <v>695</v>
      </c>
      <c r="H2852">
        <v>4400</v>
      </c>
      <c r="J2852" t="s">
        <v>1801</v>
      </c>
      <c r="K2852" t="s">
        <v>1380</v>
      </c>
    </row>
    <row r="2853" spans="1:11" x14ac:dyDescent="0.25">
      <c r="A2853" s="40">
        <v>45965</v>
      </c>
      <c r="B2853" t="s">
        <v>1380</v>
      </c>
      <c r="C2853" t="s">
        <v>1540</v>
      </c>
      <c r="E2853" t="s">
        <v>1364</v>
      </c>
      <c r="F2853" t="s">
        <v>695</v>
      </c>
      <c r="H2853">
        <v>2581</v>
      </c>
      <c r="J2853" t="s">
        <v>1801</v>
      </c>
      <c r="K2853" t="s">
        <v>1380</v>
      </c>
    </row>
    <row r="2854" spans="1:11" x14ac:dyDescent="0.25">
      <c r="A2854" s="40">
        <v>45965</v>
      </c>
      <c r="B2854" t="s">
        <v>1380</v>
      </c>
      <c r="C2854" t="s">
        <v>1562</v>
      </c>
      <c r="E2854" t="s">
        <v>1364</v>
      </c>
      <c r="F2854" t="s">
        <v>695</v>
      </c>
      <c r="H2854">
        <v>0</v>
      </c>
      <c r="J2854" t="s">
        <v>1801</v>
      </c>
      <c r="K2854" t="s">
        <v>1380</v>
      </c>
    </row>
    <row r="2855" spans="1:11" x14ac:dyDescent="0.25">
      <c r="A2855" s="40">
        <v>45965</v>
      </c>
      <c r="B2855" t="s">
        <v>1380</v>
      </c>
      <c r="C2855" t="s">
        <v>1354</v>
      </c>
      <c r="E2855" t="s">
        <v>1365</v>
      </c>
      <c r="F2855" t="s">
        <v>695</v>
      </c>
      <c r="H2855">
        <v>0</v>
      </c>
      <c r="J2855" t="s">
        <v>1801</v>
      </c>
      <c r="K2855" t="s">
        <v>1380</v>
      </c>
    </row>
    <row r="2856" spans="1:11" x14ac:dyDescent="0.25">
      <c r="A2856" s="40">
        <v>45975.406458333331</v>
      </c>
      <c r="B2856" t="s">
        <v>1814</v>
      </c>
      <c r="C2856" t="s">
        <v>324</v>
      </c>
      <c r="D2856" t="s">
        <v>325</v>
      </c>
      <c r="E2856" t="s">
        <v>1364</v>
      </c>
      <c r="F2856" t="s">
        <v>1372</v>
      </c>
      <c r="G2856">
        <v>-52</v>
      </c>
      <c r="H2856">
        <v>948</v>
      </c>
      <c r="K2856" t="s">
        <v>1383</v>
      </c>
    </row>
    <row r="2857" spans="1:11" x14ac:dyDescent="0.25">
      <c r="A2857" s="40">
        <v>45975.406458333331</v>
      </c>
      <c r="B2857" t="s">
        <v>1814</v>
      </c>
      <c r="C2857" t="s">
        <v>24</v>
      </c>
      <c r="D2857" t="s">
        <v>378</v>
      </c>
      <c r="E2857" t="s">
        <v>1364</v>
      </c>
      <c r="F2857" t="s">
        <v>1372</v>
      </c>
      <c r="G2857">
        <v>-52</v>
      </c>
      <c r="H2857">
        <v>19609</v>
      </c>
      <c r="K2857" t="s">
        <v>1383</v>
      </c>
    </row>
    <row r="2858" spans="1:11" x14ac:dyDescent="0.25">
      <c r="A2858" s="40">
        <v>45975.406458333331</v>
      </c>
      <c r="B2858" t="s">
        <v>1814</v>
      </c>
      <c r="C2858" t="s">
        <v>1</v>
      </c>
      <c r="D2858" t="s">
        <v>250</v>
      </c>
      <c r="E2858" t="s">
        <v>1364</v>
      </c>
      <c r="F2858" t="s">
        <v>1372</v>
      </c>
      <c r="G2858">
        <v>-52</v>
      </c>
      <c r="H2858">
        <v>5829</v>
      </c>
      <c r="K2858" t="s">
        <v>1383</v>
      </c>
    </row>
    <row r="2859" spans="1:11" x14ac:dyDescent="0.25">
      <c r="A2859" s="40">
        <v>45975.406458333331</v>
      </c>
      <c r="B2859" t="s">
        <v>1814</v>
      </c>
      <c r="C2859" t="s">
        <v>27</v>
      </c>
      <c r="D2859" t="s">
        <v>381</v>
      </c>
      <c r="E2859" t="s">
        <v>1364</v>
      </c>
      <c r="F2859" t="s">
        <v>1372</v>
      </c>
      <c r="G2859">
        <v>-52</v>
      </c>
      <c r="H2859">
        <v>36541</v>
      </c>
      <c r="K2859" t="s">
        <v>1383</v>
      </c>
    </row>
    <row r="2860" spans="1:11" x14ac:dyDescent="0.25">
      <c r="A2860" s="40">
        <v>45978.502129629633</v>
      </c>
      <c r="B2860" t="s">
        <v>1815</v>
      </c>
      <c r="C2860" t="s">
        <v>1</v>
      </c>
      <c r="D2860" t="s">
        <v>250</v>
      </c>
      <c r="E2860" t="s">
        <v>1364</v>
      </c>
      <c r="F2860" t="s">
        <v>1372</v>
      </c>
      <c r="G2860">
        <v>-960</v>
      </c>
      <c r="H2860">
        <v>4869</v>
      </c>
      <c r="K2860" t="s">
        <v>1383</v>
      </c>
    </row>
    <row r="2861" spans="1:11" x14ac:dyDescent="0.25">
      <c r="A2861" s="40">
        <v>45978.502129629633</v>
      </c>
      <c r="B2861" t="s">
        <v>1815</v>
      </c>
      <c r="C2861" t="s">
        <v>7</v>
      </c>
      <c r="D2861" t="s">
        <v>307</v>
      </c>
      <c r="E2861" t="s">
        <v>1364</v>
      </c>
      <c r="F2861" t="s">
        <v>1372</v>
      </c>
      <c r="G2861">
        <v>-350</v>
      </c>
      <c r="H2861">
        <v>6064</v>
      </c>
      <c r="K2861" t="s">
        <v>1383</v>
      </c>
    </row>
    <row r="2862" spans="1:11" x14ac:dyDescent="0.25">
      <c r="A2862" s="40">
        <v>45978.502129629633</v>
      </c>
      <c r="B2862" t="s">
        <v>1815</v>
      </c>
      <c r="C2862" t="s">
        <v>36</v>
      </c>
      <c r="D2862" t="s">
        <v>385</v>
      </c>
      <c r="E2862" t="s">
        <v>1364</v>
      </c>
      <c r="F2862" t="s">
        <v>1372</v>
      </c>
      <c r="G2862">
        <v>-410</v>
      </c>
      <c r="H2862">
        <v>954</v>
      </c>
      <c r="K2862" t="s">
        <v>1383</v>
      </c>
    </row>
    <row r="2863" spans="1:11" x14ac:dyDescent="0.25">
      <c r="A2863" s="40">
        <v>45978.502129629633</v>
      </c>
      <c r="B2863" t="s">
        <v>1815</v>
      </c>
      <c r="C2863" t="s">
        <v>91</v>
      </c>
      <c r="D2863" t="s">
        <v>504</v>
      </c>
      <c r="E2863" t="s">
        <v>1364</v>
      </c>
      <c r="F2863" t="s">
        <v>1372</v>
      </c>
      <c r="G2863">
        <v>-110</v>
      </c>
      <c r="H2863">
        <v>3390</v>
      </c>
      <c r="K2863" t="s">
        <v>1383</v>
      </c>
    </row>
    <row r="2864" spans="1:11" x14ac:dyDescent="0.25">
      <c r="A2864" s="40">
        <v>45978.502129629633</v>
      </c>
      <c r="B2864" t="s">
        <v>1815</v>
      </c>
      <c r="C2864" t="s">
        <v>60</v>
      </c>
      <c r="D2864" t="s">
        <v>350</v>
      </c>
      <c r="E2864" t="s">
        <v>1364</v>
      </c>
      <c r="F2864" t="s">
        <v>1372</v>
      </c>
      <c r="G2864">
        <v>-185</v>
      </c>
      <c r="H2864">
        <v>2037</v>
      </c>
      <c r="K2864" t="s">
        <v>1383</v>
      </c>
    </row>
    <row r="2865" spans="1:11" x14ac:dyDescent="0.25">
      <c r="A2865" s="40">
        <v>45978.502129629633</v>
      </c>
      <c r="B2865" t="s">
        <v>1815</v>
      </c>
      <c r="C2865" t="s">
        <v>90</v>
      </c>
      <c r="D2865" t="s">
        <v>503</v>
      </c>
      <c r="E2865" t="s">
        <v>1364</v>
      </c>
      <c r="F2865" t="s">
        <v>1372</v>
      </c>
      <c r="G2865">
        <v>-60</v>
      </c>
      <c r="H2865">
        <v>3992</v>
      </c>
      <c r="K2865" t="s">
        <v>1383</v>
      </c>
    </row>
    <row r="2866" spans="1:11" x14ac:dyDescent="0.25">
      <c r="A2866" s="40">
        <v>45978.502129629633</v>
      </c>
      <c r="B2866" t="s">
        <v>1815</v>
      </c>
      <c r="C2866" t="s">
        <v>470</v>
      </c>
      <c r="D2866" t="s">
        <v>471</v>
      </c>
      <c r="E2866" t="s">
        <v>1364</v>
      </c>
      <c r="F2866" t="s">
        <v>1372</v>
      </c>
      <c r="G2866">
        <v>-60</v>
      </c>
      <c r="H2866">
        <v>3670</v>
      </c>
      <c r="K2866" t="s">
        <v>1383</v>
      </c>
    </row>
    <row r="2867" spans="1:11" x14ac:dyDescent="0.25">
      <c r="A2867" s="40">
        <v>45978.502129629633</v>
      </c>
      <c r="B2867" t="s">
        <v>1815</v>
      </c>
      <c r="C2867" t="s">
        <v>56</v>
      </c>
      <c r="D2867" t="s">
        <v>313</v>
      </c>
      <c r="E2867" t="s">
        <v>1364</v>
      </c>
      <c r="F2867" t="s">
        <v>1372</v>
      </c>
      <c r="G2867">
        <v>-50</v>
      </c>
      <c r="H2867">
        <v>2731</v>
      </c>
      <c r="K2867" t="s">
        <v>1383</v>
      </c>
    </row>
    <row r="2868" spans="1:11" x14ac:dyDescent="0.25">
      <c r="A2868" s="40">
        <v>45978.502129629633</v>
      </c>
      <c r="B2868" t="s">
        <v>1815</v>
      </c>
      <c r="C2868" t="s">
        <v>95</v>
      </c>
      <c r="D2868" t="s">
        <v>405</v>
      </c>
      <c r="E2868" t="s">
        <v>1364</v>
      </c>
      <c r="F2868" t="s">
        <v>1372</v>
      </c>
      <c r="G2868">
        <v>-50</v>
      </c>
      <c r="H2868">
        <v>2875</v>
      </c>
      <c r="K2868" t="s">
        <v>1383</v>
      </c>
    </row>
    <row r="2869" spans="1:11" x14ac:dyDescent="0.25">
      <c r="A2869" s="40">
        <v>45978.502129629633</v>
      </c>
      <c r="B2869" t="s">
        <v>1815</v>
      </c>
      <c r="C2869" t="s">
        <v>55</v>
      </c>
      <c r="D2869" t="s">
        <v>312</v>
      </c>
      <c r="E2869" t="s">
        <v>1364</v>
      </c>
      <c r="F2869" t="s">
        <v>1372</v>
      </c>
      <c r="G2869">
        <v>-135</v>
      </c>
      <c r="H2869">
        <v>1031</v>
      </c>
      <c r="K2869" t="s">
        <v>1383</v>
      </c>
    </row>
    <row r="2870" spans="1:11" x14ac:dyDescent="0.25">
      <c r="A2870" s="40">
        <v>45978.502129629633</v>
      </c>
      <c r="B2870" t="s">
        <v>1815</v>
      </c>
      <c r="C2870" t="s">
        <v>230</v>
      </c>
      <c r="D2870" t="s">
        <v>255</v>
      </c>
      <c r="E2870" t="s">
        <v>1364</v>
      </c>
      <c r="F2870" t="s">
        <v>1372</v>
      </c>
      <c r="G2870">
        <v>-135</v>
      </c>
      <c r="H2870">
        <v>2769</v>
      </c>
      <c r="K2870" t="s">
        <v>1383</v>
      </c>
    </row>
    <row r="2871" spans="1:11" x14ac:dyDescent="0.25">
      <c r="A2871" s="40">
        <v>45978.502129629633</v>
      </c>
      <c r="B2871" t="s">
        <v>1815</v>
      </c>
      <c r="C2871" t="s">
        <v>27</v>
      </c>
      <c r="D2871" t="s">
        <v>381</v>
      </c>
      <c r="E2871" t="s">
        <v>1364</v>
      </c>
      <c r="F2871" t="s">
        <v>1372</v>
      </c>
      <c r="G2871">
        <v>-145</v>
      </c>
      <c r="H2871">
        <v>36396</v>
      </c>
      <c r="K2871" t="s">
        <v>1383</v>
      </c>
    </row>
    <row r="2872" spans="1:11" x14ac:dyDescent="0.25">
      <c r="A2872" s="40">
        <v>45978.502129629633</v>
      </c>
      <c r="B2872" t="s">
        <v>1815</v>
      </c>
      <c r="C2872" t="s">
        <v>58</v>
      </c>
      <c r="D2872" t="s">
        <v>315</v>
      </c>
      <c r="E2872" t="s">
        <v>1364</v>
      </c>
      <c r="F2872" t="s">
        <v>1372</v>
      </c>
      <c r="G2872">
        <v>-30</v>
      </c>
      <c r="H2872">
        <v>3703</v>
      </c>
      <c r="K2872" t="s">
        <v>1383</v>
      </c>
    </row>
    <row r="2873" spans="1:11" x14ac:dyDescent="0.25">
      <c r="A2873" s="40">
        <v>45978.502129629633</v>
      </c>
      <c r="B2873" t="s">
        <v>1815</v>
      </c>
      <c r="C2873" t="s">
        <v>4</v>
      </c>
      <c r="D2873" t="s">
        <v>377</v>
      </c>
      <c r="E2873" t="s">
        <v>1364</v>
      </c>
      <c r="F2873" t="s">
        <v>1372</v>
      </c>
      <c r="G2873">
        <v>-50</v>
      </c>
      <c r="H2873">
        <v>6497</v>
      </c>
      <c r="K2873" t="s">
        <v>1383</v>
      </c>
    </row>
    <row r="2874" spans="1:11" x14ac:dyDescent="0.25">
      <c r="A2874" s="40">
        <v>45978.502129629633</v>
      </c>
      <c r="B2874" t="s">
        <v>1815</v>
      </c>
      <c r="C2874" t="s">
        <v>8</v>
      </c>
      <c r="D2874" t="s">
        <v>311</v>
      </c>
      <c r="E2874" t="s">
        <v>1364</v>
      </c>
      <c r="F2874" t="s">
        <v>1372</v>
      </c>
      <c r="G2874">
        <v>-90</v>
      </c>
      <c r="H2874">
        <v>7811</v>
      </c>
      <c r="K2874" t="s">
        <v>1383</v>
      </c>
    </row>
    <row r="2875" spans="1:11" x14ac:dyDescent="0.25">
      <c r="A2875" s="40">
        <v>45978.502129629633</v>
      </c>
      <c r="B2875" t="s">
        <v>1815</v>
      </c>
      <c r="C2875" t="s">
        <v>10</v>
      </c>
      <c r="D2875" t="s">
        <v>332</v>
      </c>
      <c r="E2875" t="s">
        <v>1364</v>
      </c>
      <c r="F2875" t="s">
        <v>1372</v>
      </c>
      <c r="G2875">
        <v>-90</v>
      </c>
      <c r="H2875">
        <v>6103</v>
      </c>
      <c r="K2875" t="s">
        <v>1383</v>
      </c>
    </row>
    <row r="2876" spans="1:11" x14ac:dyDescent="0.25">
      <c r="A2876" s="40">
        <v>45978.502129629633</v>
      </c>
      <c r="B2876" t="s">
        <v>1815</v>
      </c>
      <c r="C2876" t="s">
        <v>62</v>
      </c>
      <c r="D2876" t="s">
        <v>354</v>
      </c>
      <c r="E2876" t="s">
        <v>1364</v>
      </c>
      <c r="F2876" t="s">
        <v>1372</v>
      </c>
      <c r="G2876">
        <v>-90</v>
      </c>
      <c r="H2876">
        <v>3200</v>
      </c>
      <c r="K2876" t="s">
        <v>1383</v>
      </c>
    </row>
    <row r="2877" spans="1:11" x14ac:dyDescent="0.25">
      <c r="A2877" s="40">
        <v>45978.502129629633</v>
      </c>
      <c r="B2877" t="s">
        <v>1815</v>
      </c>
      <c r="C2877" t="s">
        <v>66</v>
      </c>
      <c r="D2877" t="s">
        <v>357</v>
      </c>
      <c r="E2877" t="s">
        <v>1364</v>
      </c>
      <c r="F2877" t="s">
        <v>1372</v>
      </c>
      <c r="G2877">
        <v>-120</v>
      </c>
      <c r="H2877">
        <v>3285</v>
      </c>
      <c r="K2877" t="s">
        <v>1383</v>
      </c>
    </row>
    <row r="2878" spans="1:11" x14ac:dyDescent="0.25">
      <c r="A2878" s="40">
        <v>45978.502129629633</v>
      </c>
      <c r="B2878" t="s">
        <v>1815</v>
      </c>
      <c r="C2878" t="s">
        <v>68</v>
      </c>
      <c r="D2878" t="s">
        <v>374</v>
      </c>
      <c r="E2878" t="s">
        <v>1364</v>
      </c>
      <c r="F2878" t="s">
        <v>1372</v>
      </c>
      <c r="G2878">
        <v>-40</v>
      </c>
      <c r="H2878">
        <v>1249</v>
      </c>
      <c r="K2878" t="s">
        <v>1383</v>
      </c>
    </row>
    <row r="2879" spans="1:11" x14ac:dyDescent="0.25">
      <c r="A2879" s="40">
        <v>45978.502129629633</v>
      </c>
      <c r="B2879" t="s">
        <v>1815</v>
      </c>
      <c r="C2879" t="s">
        <v>693</v>
      </c>
      <c r="D2879" t="s">
        <v>701</v>
      </c>
      <c r="E2879" t="s">
        <v>1364</v>
      </c>
      <c r="F2879" t="s">
        <v>1372</v>
      </c>
      <c r="G2879">
        <v>-40</v>
      </c>
      <c r="H2879">
        <v>124</v>
      </c>
      <c r="K2879" t="s">
        <v>1383</v>
      </c>
    </row>
    <row r="2880" spans="1:11" x14ac:dyDescent="0.25">
      <c r="A2880" s="40">
        <v>45978.502129629633</v>
      </c>
      <c r="B2880" t="s">
        <v>1815</v>
      </c>
      <c r="C2880" t="s">
        <v>360</v>
      </c>
      <c r="D2880" t="s">
        <v>361</v>
      </c>
      <c r="E2880" t="s">
        <v>1364</v>
      </c>
      <c r="F2880" t="s">
        <v>1372</v>
      </c>
      <c r="G2880">
        <v>-30</v>
      </c>
      <c r="H2880">
        <v>450</v>
      </c>
      <c r="K2880" t="s">
        <v>1383</v>
      </c>
    </row>
    <row r="2881" spans="1:11" x14ac:dyDescent="0.25">
      <c r="A2881" s="40">
        <v>45978.502129629633</v>
      </c>
      <c r="B2881" t="s">
        <v>1815</v>
      </c>
      <c r="C2881" t="s">
        <v>5</v>
      </c>
      <c r="D2881" t="s">
        <v>389</v>
      </c>
      <c r="E2881" t="s">
        <v>1364</v>
      </c>
      <c r="F2881" t="s">
        <v>1372</v>
      </c>
      <c r="G2881">
        <v>-90</v>
      </c>
      <c r="H2881">
        <v>9651</v>
      </c>
      <c r="K2881" t="s">
        <v>1383</v>
      </c>
    </row>
    <row r="2882" spans="1:11" x14ac:dyDescent="0.25">
      <c r="A2882" s="40">
        <v>45978.502129629633</v>
      </c>
      <c r="B2882" t="s">
        <v>1815</v>
      </c>
      <c r="C2882" t="s">
        <v>52</v>
      </c>
      <c r="D2882" t="s">
        <v>397</v>
      </c>
      <c r="E2882" t="s">
        <v>1364</v>
      </c>
      <c r="F2882" t="s">
        <v>1372</v>
      </c>
      <c r="G2882">
        <v>-90</v>
      </c>
      <c r="H2882">
        <v>8117</v>
      </c>
      <c r="K2882" t="s">
        <v>1383</v>
      </c>
    </row>
    <row r="2883" spans="1:11" x14ac:dyDescent="0.25">
      <c r="A2883" s="40">
        <v>45978.502129629633</v>
      </c>
      <c r="B2883" t="s">
        <v>1815</v>
      </c>
      <c r="C2883" t="s">
        <v>96</v>
      </c>
      <c r="D2883" t="s">
        <v>406</v>
      </c>
      <c r="E2883" t="s">
        <v>1364</v>
      </c>
      <c r="F2883" t="s">
        <v>1372</v>
      </c>
      <c r="G2883">
        <v>-90</v>
      </c>
      <c r="H2883">
        <v>1865</v>
      </c>
      <c r="K2883" t="s">
        <v>1383</v>
      </c>
    </row>
    <row r="2884" spans="1:11" x14ac:dyDescent="0.25">
      <c r="A2884" s="40">
        <v>45978.502129629633</v>
      </c>
      <c r="B2884" t="s">
        <v>1815</v>
      </c>
      <c r="C2884" t="s">
        <v>47</v>
      </c>
      <c r="D2884" t="s">
        <v>395</v>
      </c>
      <c r="E2884" t="s">
        <v>1364</v>
      </c>
      <c r="F2884" t="s">
        <v>1372</v>
      </c>
      <c r="G2884">
        <v>-135</v>
      </c>
      <c r="H2884">
        <v>19989</v>
      </c>
      <c r="K2884" t="s">
        <v>1383</v>
      </c>
    </row>
    <row r="2885" spans="1:11" x14ac:dyDescent="0.25">
      <c r="A2885" s="40">
        <v>45978.502129629633</v>
      </c>
      <c r="B2885" t="s">
        <v>1815</v>
      </c>
      <c r="C2885" t="s">
        <v>1781</v>
      </c>
      <c r="E2885" t="s">
        <v>1365</v>
      </c>
      <c r="F2885" t="s">
        <v>1372</v>
      </c>
      <c r="G2885">
        <v>-13</v>
      </c>
      <c r="H2885">
        <v>114</v>
      </c>
      <c r="K2885" t="s">
        <v>1383</v>
      </c>
    </row>
    <row r="2886" spans="1:11" x14ac:dyDescent="0.25">
      <c r="A2886" s="40">
        <v>45978.502129629633</v>
      </c>
      <c r="B2886" t="s">
        <v>1815</v>
      </c>
      <c r="C2886" t="s">
        <v>300</v>
      </c>
      <c r="D2886" t="s">
        <v>301</v>
      </c>
      <c r="E2886" t="s">
        <v>1364</v>
      </c>
      <c r="F2886" t="s">
        <v>1372</v>
      </c>
      <c r="G2886">
        <v>-30</v>
      </c>
      <c r="H2886">
        <v>1578</v>
      </c>
      <c r="K2886" t="s">
        <v>1383</v>
      </c>
    </row>
    <row r="2887" spans="1:11" x14ac:dyDescent="0.25">
      <c r="A2887" s="40">
        <v>45978.502129629633</v>
      </c>
      <c r="B2887" t="s">
        <v>1815</v>
      </c>
      <c r="C2887" t="s">
        <v>273</v>
      </c>
      <c r="D2887" t="s">
        <v>274</v>
      </c>
      <c r="E2887" t="s">
        <v>1364</v>
      </c>
      <c r="F2887" t="s">
        <v>1372</v>
      </c>
      <c r="G2887">
        <v>-30</v>
      </c>
      <c r="H2887">
        <v>2933</v>
      </c>
      <c r="K2887" t="s">
        <v>1383</v>
      </c>
    </row>
    <row r="2888" spans="1:11" x14ac:dyDescent="0.25">
      <c r="A2888" s="40">
        <v>45978.502129629633</v>
      </c>
      <c r="B2888" t="s">
        <v>1815</v>
      </c>
      <c r="C2888" t="s">
        <v>269</v>
      </c>
      <c r="D2888" t="s">
        <v>270</v>
      </c>
      <c r="E2888" t="s">
        <v>1364</v>
      </c>
      <c r="F2888" t="s">
        <v>1372</v>
      </c>
      <c r="G2888">
        <v>-30</v>
      </c>
      <c r="H2888">
        <v>1863</v>
      </c>
      <c r="K2888" t="s">
        <v>1383</v>
      </c>
    </row>
    <row r="2889" spans="1:11" x14ac:dyDescent="0.25">
      <c r="A2889" s="40">
        <v>45978.502129629633</v>
      </c>
      <c r="B2889" t="s">
        <v>1815</v>
      </c>
      <c r="C2889" t="s">
        <v>271</v>
      </c>
      <c r="D2889" t="s">
        <v>272</v>
      </c>
      <c r="E2889" t="s">
        <v>1364</v>
      </c>
      <c r="F2889" t="s">
        <v>1372</v>
      </c>
      <c r="G2889">
        <v>-100</v>
      </c>
      <c r="H2889">
        <v>2346</v>
      </c>
      <c r="K2889" t="s">
        <v>1383</v>
      </c>
    </row>
    <row r="2890" spans="1:11" x14ac:dyDescent="0.25">
      <c r="A2890" s="40">
        <v>45978.502129629633</v>
      </c>
      <c r="B2890" t="s">
        <v>1815</v>
      </c>
      <c r="C2890" t="s">
        <v>81</v>
      </c>
      <c r="D2890" t="s">
        <v>317</v>
      </c>
      <c r="E2890" t="s">
        <v>1364</v>
      </c>
      <c r="F2890" t="s">
        <v>1372</v>
      </c>
      <c r="G2890">
        <v>-50</v>
      </c>
      <c r="H2890">
        <v>3444</v>
      </c>
      <c r="K2890" t="s">
        <v>1383</v>
      </c>
    </row>
    <row r="2891" spans="1:11" x14ac:dyDescent="0.25">
      <c r="A2891" s="40">
        <v>45978.502129629633</v>
      </c>
      <c r="B2891" t="s">
        <v>1815</v>
      </c>
      <c r="C2891" t="s">
        <v>87</v>
      </c>
      <c r="D2891" t="s">
        <v>352</v>
      </c>
      <c r="E2891" t="s">
        <v>1364</v>
      </c>
      <c r="F2891" t="s">
        <v>1372</v>
      </c>
      <c r="G2891">
        <v>-60</v>
      </c>
      <c r="H2891">
        <v>3022</v>
      </c>
      <c r="K2891" t="s">
        <v>1383</v>
      </c>
    </row>
    <row r="2892" spans="1:11" x14ac:dyDescent="0.25">
      <c r="A2892" s="40">
        <v>45978.502129629633</v>
      </c>
      <c r="B2892" t="s">
        <v>1815</v>
      </c>
      <c r="C2892" t="s">
        <v>82</v>
      </c>
      <c r="D2892" t="s">
        <v>318</v>
      </c>
      <c r="E2892" t="s">
        <v>1364</v>
      </c>
      <c r="F2892" t="s">
        <v>1372</v>
      </c>
      <c r="G2892">
        <v>-40</v>
      </c>
      <c r="H2892">
        <v>3071</v>
      </c>
      <c r="K2892" t="s">
        <v>1383</v>
      </c>
    </row>
    <row r="2893" spans="1:11" x14ac:dyDescent="0.25">
      <c r="A2893" s="40">
        <v>45978.502129629633</v>
      </c>
      <c r="B2893" t="s">
        <v>1815</v>
      </c>
      <c r="C2893" t="s">
        <v>80</v>
      </c>
      <c r="D2893" t="s">
        <v>348</v>
      </c>
      <c r="E2893" t="s">
        <v>1364</v>
      </c>
      <c r="F2893" t="s">
        <v>1372</v>
      </c>
      <c r="G2893">
        <v>-30</v>
      </c>
      <c r="H2893">
        <v>12363</v>
      </c>
      <c r="K2893" t="s">
        <v>1383</v>
      </c>
    </row>
    <row r="2894" spans="1:11" x14ac:dyDescent="0.25">
      <c r="A2894" s="40">
        <v>45978.502129629633</v>
      </c>
      <c r="B2894" t="s">
        <v>1815</v>
      </c>
      <c r="C2894" t="s">
        <v>63</v>
      </c>
      <c r="D2894" t="s">
        <v>355</v>
      </c>
      <c r="E2894" t="s">
        <v>1364</v>
      </c>
      <c r="F2894" t="s">
        <v>1372</v>
      </c>
      <c r="G2894">
        <v>-70</v>
      </c>
      <c r="H2894">
        <v>1850</v>
      </c>
      <c r="K2894" t="s">
        <v>1383</v>
      </c>
    </row>
    <row r="2895" spans="1:11" x14ac:dyDescent="0.25">
      <c r="A2895" s="40">
        <v>45978.502129629633</v>
      </c>
      <c r="B2895" t="s">
        <v>1815</v>
      </c>
      <c r="C2895" t="s">
        <v>1483</v>
      </c>
      <c r="E2895" t="s">
        <v>1365</v>
      </c>
      <c r="F2895" t="s">
        <v>1372</v>
      </c>
      <c r="G2895">
        <v>-11</v>
      </c>
      <c r="H2895">
        <v>-2</v>
      </c>
      <c r="K2895" t="s">
        <v>1383</v>
      </c>
    </row>
    <row r="2896" spans="1:11" x14ac:dyDescent="0.25">
      <c r="A2896" s="40">
        <v>45978.502129629633</v>
      </c>
      <c r="B2896" t="s">
        <v>1815</v>
      </c>
      <c r="C2896" t="s">
        <v>366</v>
      </c>
      <c r="D2896" t="s">
        <v>367</v>
      </c>
      <c r="E2896" t="s">
        <v>1364</v>
      </c>
      <c r="F2896" t="s">
        <v>1372</v>
      </c>
      <c r="G2896">
        <v>-60</v>
      </c>
      <c r="H2896">
        <v>3288</v>
      </c>
      <c r="K2896" t="s">
        <v>1383</v>
      </c>
    </row>
    <row r="2897" spans="1:11" x14ac:dyDescent="0.25">
      <c r="A2897" s="40">
        <v>45978.502129629633</v>
      </c>
      <c r="B2897" t="s">
        <v>1815</v>
      </c>
      <c r="C2897" t="s">
        <v>368</v>
      </c>
      <c r="D2897" t="s">
        <v>369</v>
      </c>
      <c r="E2897" t="s">
        <v>1364</v>
      </c>
      <c r="F2897" t="s">
        <v>1372</v>
      </c>
      <c r="G2897">
        <v>-110</v>
      </c>
      <c r="H2897">
        <v>1984</v>
      </c>
      <c r="K2897" t="s">
        <v>1383</v>
      </c>
    </row>
    <row r="2898" spans="1:11" x14ac:dyDescent="0.25">
      <c r="A2898" s="40">
        <v>45978.502129629633</v>
      </c>
      <c r="B2898" t="s">
        <v>1815</v>
      </c>
      <c r="C2898" t="s">
        <v>42</v>
      </c>
      <c r="D2898" t="s">
        <v>391</v>
      </c>
      <c r="E2898" t="s">
        <v>1364</v>
      </c>
      <c r="F2898" t="s">
        <v>1372</v>
      </c>
      <c r="G2898">
        <v>-50</v>
      </c>
      <c r="H2898">
        <v>2235</v>
      </c>
      <c r="K2898" t="s">
        <v>1383</v>
      </c>
    </row>
    <row r="2899" spans="1:11" x14ac:dyDescent="0.25">
      <c r="A2899" s="40">
        <v>45978.502129629633</v>
      </c>
      <c r="B2899" t="s">
        <v>1815</v>
      </c>
      <c r="C2899" t="s">
        <v>39</v>
      </c>
      <c r="D2899" t="s">
        <v>387</v>
      </c>
      <c r="E2899" t="s">
        <v>1364</v>
      </c>
      <c r="F2899" t="s">
        <v>1372</v>
      </c>
      <c r="G2899">
        <v>-40</v>
      </c>
      <c r="H2899">
        <v>6301</v>
      </c>
      <c r="K2899" t="s">
        <v>1383</v>
      </c>
    </row>
    <row r="2900" spans="1:11" x14ac:dyDescent="0.25">
      <c r="A2900" s="40">
        <v>45978.502129629633</v>
      </c>
      <c r="B2900" t="s">
        <v>1815</v>
      </c>
      <c r="C2900" t="s">
        <v>454</v>
      </c>
      <c r="D2900" t="s">
        <v>455</v>
      </c>
      <c r="E2900" t="s">
        <v>1364</v>
      </c>
      <c r="F2900" t="s">
        <v>1372</v>
      </c>
      <c r="G2900">
        <v>-60</v>
      </c>
      <c r="H2900">
        <v>3782</v>
      </c>
      <c r="K2900" t="s">
        <v>1383</v>
      </c>
    </row>
    <row r="2901" spans="1:11" x14ac:dyDescent="0.25">
      <c r="A2901" s="40">
        <v>45978.502129629633</v>
      </c>
      <c r="B2901" t="s">
        <v>1815</v>
      </c>
      <c r="C2901" t="s">
        <v>70</v>
      </c>
      <c r="D2901" t="s">
        <v>402</v>
      </c>
      <c r="E2901" t="s">
        <v>1364</v>
      </c>
      <c r="F2901" t="s">
        <v>1372</v>
      </c>
      <c r="G2901">
        <v>-165</v>
      </c>
      <c r="H2901">
        <v>19114</v>
      </c>
      <c r="K2901" t="s">
        <v>1383</v>
      </c>
    </row>
    <row r="2902" spans="1:11" x14ac:dyDescent="0.25">
      <c r="A2902" s="40">
        <v>45978.502129629633</v>
      </c>
      <c r="B2902" t="s">
        <v>1815</v>
      </c>
      <c r="C2902" t="s">
        <v>97</v>
      </c>
      <c r="D2902" t="s">
        <v>407</v>
      </c>
      <c r="E2902" t="s">
        <v>1364</v>
      </c>
      <c r="F2902" t="s">
        <v>1372</v>
      </c>
      <c r="G2902">
        <v>-40</v>
      </c>
      <c r="H2902">
        <v>5211</v>
      </c>
      <c r="K2902" t="s">
        <v>1383</v>
      </c>
    </row>
    <row r="2903" spans="1:11" x14ac:dyDescent="0.25">
      <c r="A2903" s="40">
        <v>45978.502129629633</v>
      </c>
      <c r="B2903" t="s">
        <v>1815</v>
      </c>
      <c r="C2903" t="s">
        <v>54</v>
      </c>
      <c r="D2903" t="s">
        <v>399</v>
      </c>
      <c r="E2903" t="s">
        <v>1364</v>
      </c>
      <c r="F2903" t="s">
        <v>1372</v>
      </c>
      <c r="G2903">
        <v>-30</v>
      </c>
      <c r="H2903">
        <v>1398</v>
      </c>
      <c r="K2903" t="s">
        <v>1383</v>
      </c>
    </row>
    <row r="2904" spans="1:11" x14ac:dyDescent="0.25">
      <c r="A2904" s="40">
        <v>45978.502129629633</v>
      </c>
      <c r="B2904" t="s">
        <v>1815</v>
      </c>
      <c r="C2904" t="s">
        <v>439</v>
      </c>
      <c r="D2904" t="s">
        <v>440</v>
      </c>
      <c r="E2904" t="s">
        <v>1364</v>
      </c>
      <c r="F2904" t="s">
        <v>1372</v>
      </c>
      <c r="G2904">
        <v>-90</v>
      </c>
      <c r="H2904">
        <v>4518</v>
      </c>
      <c r="K2904" t="s">
        <v>1383</v>
      </c>
    </row>
    <row r="2905" spans="1:11" x14ac:dyDescent="0.25">
      <c r="A2905" s="40">
        <v>45978.502129629633</v>
      </c>
      <c r="B2905" t="s">
        <v>1815</v>
      </c>
      <c r="C2905" t="s">
        <v>477</v>
      </c>
      <c r="D2905" t="s">
        <v>478</v>
      </c>
      <c r="E2905" t="s">
        <v>1364</v>
      </c>
      <c r="F2905" t="s">
        <v>1372</v>
      </c>
      <c r="G2905">
        <v>-30</v>
      </c>
      <c r="H2905">
        <v>1782</v>
      </c>
      <c r="K2905" t="s">
        <v>1383</v>
      </c>
    </row>
    <row r="2906" spans="1:11" x14ac:dyDescent="0.25">
      <c r="A2906" s="40">
        <v>45978.502129629633</v>
      </c>
      <c r="B2906" t="s">
        <v>1815</v>
      </c>
      <c r="C2906" t="s">
        <v>24</v>
      </c>
      <c r="D2906" t="s">
        <v>378</v>
      </c>
      <c r="E2906" t="s">
        <v>1364</v>
      </c>
      <c r="F2906" t="s">
        <v>1372</v>
      </c>
      <c r="G2906">
        <v>-30</v>
      </c>
      <c r="H2906">
        <v>19579</v>
      </c>
      <c r="K2906" t="s">
        <v>1383</v>
      </c>
    </row>
    <row r="2907" spans="1:11" x14ac:dyDescent="0.25">
      <c r="A2907" s="40">
        <v>45978.502129629633</v>
      </c>
      <c r="B2907" t="s">
        <v>1815</v>
      </c>
      <c r="C2907" t="s">
        <v>46</v>
      </c>
      <c r="D2907" t="s">
        <v>394</v>
      </c>
      <c r="E2907" t="s">
        <v>1364</v>
      </c>
      <c r="F2907" t="s">
        <v>1372</v>
      </c>
      <c r="G2907">
        <v>-30</v>
      </c>
      <c r="H2907">
        <v>3338</v>
      </c>
      <c r="K2907" t="s">
        <v>1383</v>
      </c>
    </row>
    <row r="2908" spans="1:11" x14ac:dyDescent="0.25">
      <c r="A2908" s="40">
        <v>45978.502129629633</v>
      </c>
      <c r="B2908" t="s">
        <v>1815</v>
      </c>
      <c r="C2908" t="s">
        <v>15</v>
      </c>
      <c r="D2908" t="s">
        <v>474</v>
      </c>
      <c r="E2908" t="s">
        <v>1364</v>
      </c>
      <c r="F2908" t="s">
        <v>1372</v>
      </c>
      <c r="G2908">
        <v>-40</v>
      </c>
      <c r="H2908">
        <v>10879</v>
      </c>
      <c r="K2908" t="s">
        <v>1383</v>
      </c>
    </row>
    <row r="2909" spans="1:11" x14ac:dyDescent="0.25">
      <c r="A2909" s="40">
        <v>45978.502129629633</v>
      </c>
      <c r="B2909" t="s">
        <v>1815</v>
      </c>
      <c r="C2909" t="s">
        <v>94</v>
      </c>
      <c r="D2909" t="s">
        <v>404</v>
      </c>
      <c r="E2909" t="s">
        <v>1364</v>
      </c>
      <c r="F2909" t="s">
        <v>1372</v>
      </c>
      <c r="G2909">
        <v>-70</v>
      </c>
      <c r="H2909">
        <v>4185</v>
      </c>
      <c r="K2909" t="s">
        <v>1383</v>
      </c>
    </row>
    <row r="2910" spans="1:11" x14ac:dyDescent="0.25">
      <c r="A2910" s="40">
        <v>45978.502129629633</v>
      </c>
      <c r="B2910" t="s">
        <v>1815</v>
      </c>
      <c r="C2910" t="s">
        <v>38</v>
      </c>
      <c r="D2910" t="s">
        <v>386</v>
      </c>
      <c r="E2910" t="s">
        <v>1364</v>
      </c>
      <c r="F2910" t="s">
        <v>1372</v>
      </c>
      <c r="G2910">
        <v>-165</v>
      </c>
      <c r="H2910">
        <v>24650</v>
      </c>
      <c r="K2910" t="s">
        <v>1383</v>
      </c>
    </row>
    <row r="2911" spans="1:11" x14ac:dyDescent="0.25">
      <c r="A2911" s="40">
        <v>45978.502129629633</v>
      </c>
      <c r="B2911" t="s">
        <v>1815</v>
      </c>
      <c r="C2911" t="s">
        <v>71</v>
      </c>
      <c r="D2911" t="s">
        <v>376</v>
      </c>
      <c r="E2911" t="s">
        <v>1364</v>
      </c>
      <c r="F2911" t="s">
        <v>1372</v>
      </c>
      <c r="G2911">
        <v>-30</v>
      </c>
      <c r="H2911">
        <v>3913</v>
      </c>
      <c r="K2911" t="s">
        <v>1383</v>
      </c>
    </row>
    <row r="2912" spans="1:11" x14ac:dyDescent="0.25">
      <c r="A2912" s="40">
        <v>45978.502129629633</v>
      </c>
      <c r="B2912" t="s">
        <v>1815</v>
      </c>
      <c r="C2912" t="s">
        <v>2</v>
      </c>
      <c r="D2912" t="s">
        <v>266</v>
      </c>
      <c r="E2912" t="s">
        <v>1364</v>
      </c>
      <c r="F2912" t="s">
        <v>1372</v>
      </c>
      <c r="G2912">
        <v>-40</v>
      </c>
      <c r="H2912">
        <v>3260</v>
      </c>
      <c r="K2912" t="s">
        <v>1383</v>
      </c>
    </row>
    <row r="2913" spans="1:11" x14ac:dyDescent="0.25">
      <c r="A2913" s="40">
        <v>45978.502129629633</v>
      </c>
      <c r="B2913" t="s">
        <v>1815</v>
      </c>
      <c r="C2913" t="s">
        <v>460</v>
      </c>
      <c r="D2913" t="s">
        <v>461</v>
      </c>
      <c r="E2913" t="s">
        <v>1364</v>
      </c>
      <c r="F2913" t="s">
        <v>1372</v>
      </c>
      <c r="G2913">
        <v>-120</v>
      </c>
      <c r="H2913">
        <v>3034</v>
      </c>
      <c r="K2913" t="s">
        <v>1383</v>
      </c>
    </row>
    <row r="2914" spans="1:11" x14ac:dyDescent="0.25">
      <c r="A2914" s="40">
        <v>45981.193668981483</v>
      </c>
      <c r="B2914" t="s">
        <v>1816</v>
      </c>
      <c r="C2914" t="s">
        <v>279</v>
      </c>
      <c r="D2914" t="s">
        <v>280</v>
      </c>
      <c r="E2914" t="s">
        <v>1364</v>
      </c>
      <c r="F2914" t="s">
        <v>1372</v>
      </c>
      <c r="G2914">
        <v>-40</v>
      </c>
      <c r="H2914">
        <v>250</v>
      </c>
      <c r="K2914" t="s">
        <v>1383</v>
      </c>
    </row>
    <row r="2915" spans="1:11" x14ac:dyDescent="0.25">
      <c r="A2915" s="40">
        <v>45981.193668981483</v>
      </c>
      <c r="B2915" t="s">
        <v>1816</v>
      </c>
      <c r="C2915" t="s">
        <v>42</v>
      </c>
      <c r="D2915" t="s">
        <v>391</v>
      </c>
      <c r="E2915" t="s">
        <v>1364</v>
      </c>
      <c r="F2915" t="s">
        <v>1372</v>
      </c>
      <c r="G2915">
        <v>-30</v>
      </c>
      <c r="H2915">
        <v>2205</v>
      </c>
      <c r="K2915" t="s">
        <v>1383</v>
      </c>
    </row>
    <row r="2916" spans="1:11" x14ac:dyDescent="0.25">
      <c r="A2916" s="40">
        <v>45981.193668981483</v>
      </c>
      <c r="B2916" t="s">
        <v>1816</v>
      </c>
      <c r="C2916" t="s">
        <v>414</v>
      </c>
      <c r="D2916" t="s">
        <v>415</v>
      </c>
      <c r="E2916" t="s">
        <v>1364</v>
      </c>
      <c r="F2916" t="s">
        <v>1372</v>
      </c>
      <c r="G2916">
        <v>-30</v>
      </c>
      <c r="H2916">
        <v>3434</v>
      </c>
      <c r="K2916" t="s">
        <v>1383</v>
      </c>
    </row>
    <row r="2917" spans="1:11" x14ac:dyDescent="0.25">
      <c r="A2917" s="40">
        <v>45981.193668981483</v>
      </c>
      <c r="B2917" t="s">
        <v>1816</v>
      </c>
      <c r="C2917" t="s">
        <v>46</v>
      </c>
      <c r="D2917" t="s">
        <v>394</v>
      </c>
      <c r="E2917" t="s">
        <v>1364</v>
      </c>
      <c r="F2917" t="s">
        <v>1372</v>
      </c>
      <c r="G2917">
        <v>-30</v>
      </c>
      <c r="H2917">
        <v>3308</v>
      </c>
      <c r="K2917" t="s">
        <v>1383</v>
      </c>
    </row>
    <row r="2918" spans="1:11" x14ac:dyDescent="0.25">
      <c r="A2918" s="40">
        <v>45981.193668981483</v>
      </c>
      <c r="B2918" t="s">
        <v>1816</v>
      </c>
      <c r="C2918" t="s">
        <v>1</v>
      </c>
      <c r="D2918" t="s">
        <v>250</v>
      </c>
      <c r="E2918" t="s">
        <v>1364</v>
      </c>
      <c r="F2918" t="s">
        <v>1372</v>
      </c>
      <c r="G2918">
        <v>-40</v>
      </c>
      <c r="H2918">
        <v>4829</v>
      </c>
      <c r="K2918" t="s">
        <v>1383</v>
      </c>
    </row>
    <row r="2919" spans="1:11" x14ac:dyDescent="0.25">
      <c r="A2919" s="40">
        <v>45981.193668981483</v>
      </c>
      <c r="B2919" t="s">
        <v>1816</v>
      </c>
      <c r="C2919" t="s">
        <v>85</v>
      </c>
      <c r="D2919" t="s">
        <v>320</v>
      </c>
      <c r="E2919" t="s">
        <v>1364</v>
      </c>
      <c r="F2919" t="s">
        <v>1372</v>
      </c>
      <c r="G2919">
        <v>-30</v>
      </c>
      <c r="H2919">
        <v>4855</v>
      </c>
      <c r="K2919" t="s">
        <v>1383</v>
      </c>
    </row>
    <row r="2920" spans="1:11" x14ac:dyDescent="0.25">
      <c r="A2920" s="40">
        <v>45981.324930555558</v>
      </c>
      <c r="B2920" t="s">
        <v>1817</v>
      </c>
      <c r="C2920" t="s">
        <v>279</v>
      </c>
      <c r="D2920" t="s">
        <v>280</v>
      </c>
      <c r="E2920" t="s">
        <v>1364</v>
      </c>
      <c r="F2920" t="s">
        <v>1372</v>
      </c>
      <c r="G2920">
        <v>-90</v>
      </c>
      <c r="H2920">
        <v>160</v>
      </c>
      <c r="K2920" t="s">
        <v>1383</v>
      </c>
    </row>
    <row r="2921" spans="1:11" x14ac:dyDescent="0.25">
      <c r="A2921" s="40">
        <v>45981.324930555558</v>
      </c>
      <c r="B2921" t="s">
        <v>1817</v>
      </c>
      <c r="C2921" t="s">
        <v>82</v>
      </c>
      <c r="D2921" t="s">
        <v>318</v>
      </c>
      <c r="E2921" t="s">
        <v>1364</v>
      </c>
      <c r="F2921" t="s">
        <v>1372</v>
      </c>
      <c r="G2921">
        <v>-90</v>
      </c>
      <c r="H2921">
        <v>2981</v>
      </c>
      <c r="K2921" t="s">
        <v>1383</v>
      </c>
    </row>
    <row r="2922" spans="1:11" x14ac:dyDescent="0.25">
      <c r="A2922" s="40">
        <v>45981.324930555558</v>
      </c>
      <c r="B2922" t="s">
        <v>1817</v>
      </c>
      <c r="C2922" t="s">
        <v>67</v>
      </c>
      <c r="D2922" t="s">
        <v>373</v>
      </c>
      <c r="E2922" t="s">
        <v>1364</v>
      </c>
      <c r="F2922" t="s">
        <v>1372</v>
      </c>
      <c r="G2922">
        <v>-155</v>
      </c>
      <c r="H2922">
        <v>3195</v>
      </c>
      <c r="K2922" t="s">
        <v>1383</v>
      </c>
    </row>
    <row r="2923" spans="1:11" x14ac:dyDescent="0.25">
      <c r="A2923" s="40">
        <v>45981.324930555558</v>
      </c>
      <c r="B2923" t="s">
        <v>1817</v>
      </c>
      <c r="C2923" t="s">
        <v>19</v>
      </c>
      <c r="D2923" t="s">
        <v>486</v>
      </c>
      <c r="E2923" t="s">
        <v>1364</v>
      </c>
      <c r="F2923" t="s">
        <v>1372</v>
      </c>
      <c r="G2923">
        <v>-155</v>
      </c>
      <c r="H2923">
        <v>3545</v>
      </c>
      <c r="K2923" t="s">
        <v>1383</v>
      </c>
    </row>
    <row r="2924" spans="1:11" x14ac:dyDescent="0.25">
      <c r="A2924" s="40">
        <v>45981.324930555558</v>
      </c>
      <c r="B2924" t="s">
        <v>1817</v>
      </c>
      <c r="C2924" t="s">
        <v>24</v>
      </c>
      <c r="D2924" t="s">
        <v>378</v>
      </c>
      <c r="E2924" t="s">
        <v>1364</v>
      </c>
      <c r="F2924" t="s">
        <v>1372</v>
      </c>
      <c r="G2924">
        <v>-215</v>
      </c>
      <c r="H2924">
        <v>19364</v>
      </c>
      <c r="K2924" t="s">
        <v>1383</v>
      </c>
    </row>
    <row r="2925" spans="1:11" x14ac:dyDescent="0.25">
      <c r="A2925" s="40">
        <v>45981.324930555558</v>
      </c>
      <c r="B2925" t="s">
        <v>1817</v>
      </c>
      <c r="C2925" t="s">
        <v>1</v>
      </c>
      <c r="D2925" t="s">
        <v>250</v>
      </c>
      <c r="E2925" t="s">
        <v>1364</v>
      </c>
      <c r="F2925" t="s">
        <v>1372</v>
      </c>
      <c r="G2925">
        <v>-410</v>
      </c>
      <c r="H2925">
        <v>4419</v>
      </c>
      <c r="K2925" t="s">
        <v>1383</v>
      </c>
    </row>
    <row r="2926" spans="1:11" x14ac:dyDescent="0.25">
      <c r="A2926" s="40">
        <v>45981.324930555558</v>
      </c>
      <c r="B2926" t="s">
        <v>1817</v>
      </c>
      <c r="C2926" t="s">
        <v>47</v>
      </c>
      <c r="D2926" t="s">
        <v>395</v>
      </c>
      <c r="E2926" t="s">
        <v>1364</v>
      </c>
      <c r="F2926" t="s">
        <v>1372</v>
      </c>
      <c r="G2926">
        <v>-90</v>
      </c>
      <c r="H2926">
        <v>19899</v>
      </c>
      <c r="K2926" t="s">
        <v>1383</v>
      </c>
    </row>
    <row r="2927" spans="1:11" x14ac:dyDescent="0.25">
      <c r="A2927" s="40">
        <v>45981.324930555558</v>
      </c>
      <c r="B2927" t="s">
        <v>1817</v>
      </c>
      <c r="C2927" t="s">
        <v>27</v>
      </c>
      <c r="D2927" t="s">
        <v>381</v>
      </c>
      <c r="E2927" t="s">
        <v>1364</v>
      </c>
      <c r="F2927" t="s">
        <v>1372</v>
      </c>
      <c r="G2927">
        <v>-350</v>
      </c>
      <c r="H2927">
        <v>36046</v>
      </c>
      <c r="K2927" t="s">
        <v>1383</v>
      </c>
    </row>
    <row r="2928" spans="1:11" x14ac:dyDescent="0.25">
      <c r="A2928" s="40">
        <v>45981.324930555558</v>
      </c>
      <c r="B2928" t="s">
        <v>1817</v>
      </c>
      <c r="C2928" t="s">
        <v>16</v>
      </c>
      <c r="D2928" t="s">
        <v>484</v>
      </c>
      <c r="E2928" t="s">
        <v>1364</v>
      </c>
      <c r="F2928" t="s">
        <v>1372</v>
      </c>
      <c r="G2928">
        <v>-155</v>
      </c>
      <c r="H2928">
        <v>1590</v>
      </c>
      <c r="K2928" t="s">
        <v>1383</v>
      </c>
    </row>
    <row r="2929" spans="1:11" x14ac:dyDescent="0.25">
      <c r="A2929" s="40">
        <v>45989.544710648152</v>
      </c>
      <c r="B2929" t="s">
        <v>1818</v>
      </c>
      <c r="C2929" t="s">
        <v>296</v>
      </c>
      <c r="D2929" t="s">
        <v>297</v>
      </c>
      <c r="E2929" t="s">
        <v>1364</v>
      </c>
      <c r="F2929" t="s">
        <v>1372</v>
      </c>
      <c r="G2929">
        <v>-1348</v>
      </c>
      <c r="H2929">
        <v>2543</v>
      </c>
      <c r="K2929" t="s">
        <v>1383</v>
      </c>
    </row>
    <row r="2930" spans="1:11" x14ac:dyDescent="0.25">
      <c r="A2930" s="40">
        <v>45989.544710648152</v>
      </c>
      <c r="B2930" t="s">
        <v>1818</v>
      </c>
      <c r="C2930" t="s">
        <v>7</v>
      </c>
      <c r="D2930" t="s">
        <v>307</v>
      </c>
      <c r="E2930" t="s">
        <v>1364</v>
      </c>
      <c r="F2930" t="s">
        <v>1372</v>
      </c>
      <c r="G2930">
        <v>-5392</v>
      </c>
      <c r="H2930">
        <v>672</v>
      </c>
      <c r="K2930" t="s">
        <v>1383</v>
      </c>
    </row>
    <row r="2931" spans="1:11" x14ac:dyDescent="0.25">
      <c r="A2931" s="40">
        <v>45989.544710648152</v>
      </c>
      <c r="B2931" t="s">
        <v>1818</v>
      </c>
      <c r="C2931" t="s">
        <v>3</v>
      </c>
      <c r="D2931" t="s">
        <v>287</v>
      </c>
      <c r="E2931" t="s">
        <v>1364</v>
      </c>
      <c r="F2931" t="s">
        <v>1372</v>
      </c>
      <c r="G2931">
        <v>-14716</v>
      </c>
      <c r="H2931">
        <v>-8116</v>
      </c>
      <c r="K2931" t="s">
        <v>1383</v>
      </c>
    </row>
    <row r="2932" spans="1:11" x14ac:dyDescent="0.25">
      <c r="A2932" s="40">
        <v>45989.544710648152</v>
      </c>
      <c r="B2932" t="s">
        <v>1818</v>
      </c>
      <c r="C2932" t="s">
        <v>56</v>
      </c>
      <c r="D2932" t="s">
        <v>313</v>
      </c>
      <c r="E2932" t="s">
        <v>1364</v>
      </c>
      <c r="F2932" t="s">
        <v>1372</v>
      </c>
      <c r="G2932">
        <v>-684</v>
      </c>
      <c r="H2932">
        <v>2047</v>
      </c>
      <c r="K2932" t="s">
        <v>1383</v>
      </c>
    </row>
    <row r="2933" spans="1:11" x14ac:dyDescent="0.25">
      <c r="A2933" s="40">
        <v>45989.544710648152</v>
      </c>
      <c r="B2933" t="s">
        <v>1818</v>
      </c>
      <c r="C2933" t="s">
        <v>82</v>
      </c>
      <c r="D2933" t="s">
        <v>318</v>
      </c>
      <c r="E2933" t="s">
        <v>1364</v>
      </c>
      <c r="F2933" t="s">
        <v>1372</v>
      </c>
      <c r="G2933">
        <v>-13992</v>
      </c>
      <c r="H2933">
        <v>-11011</v>
      </c>
      <c r="K2933" t="s">
        <v>1383</v>
      </c>
    </row>
    <row r="2934" spans="1:11" x14ac:dyDescent="0.25">
      <c r="A2934" s="40">
        <v>45989.544710648152</v>
      </c>
      <c r="B2934" t="s">
        <v>1818</v>
      </c>
      <c r="C2934" t="s">
        <v>326</v>
      </c>
      <c r="D2934" t="s">
        <v>327</v>
      </c>
      <c r="E2934" t="s">
        <v>1364</v>
      </c>
      <c r="F2934" t="s">
        <v>1372</v>
      </c>
      <c r="G2934">
        <v>-362</v>
      </c>
      <c r="H2934">
        <v>714</v>
      </c>
      <c r="K2934" t="s">
        <v>1383</v>
      </c>
    </row>
    <row r="2935" spans="1:11" x14ac:dyDescent="0.25">
      <c r="A2935" s="40">
        <v>45989.544710648152</v>
      </c>
      <c r="B2935" t="s">
        <v>1818</v>
      </c>
      <c r="C2935" t="s">
        <v>63</v>
      </c>
      <c r="D2935" t="s">
        <v>355</v>
      </c>
      <c r="E2935" t="s">
        <v>1364</v>
      </c>
      <c r="F2935" t="s">
        <v>1372</v>
      </c>
      <c r="G2935">
        <v>-1016</v>
      </c>
      <c r="H2935">
        <v>834</v>
      </c>
      <c r="K2935" t="s">
        <v>1383</v>
      </c>
    </row>
    <row r="2936" spans="1:11" x14ac:dyDescent="0.25">
      <c r="A2936" s="40">
        <v>45989.544710648152</v>
      </c>
      <c r="B2936" t="s">
        <v>1818</v>
      </c>
      <c r="C2936" t="s">
        <v>89</v>
      </c>
      <c r="D2936" t="s">
        <v>359</v>
      </c>
      <c r="E2936" t="s">
        <v>1364</v>
      </c>
      <c r="F2936" t="s">
        <v>1372</v>
      </c>
      <c r="G2936">
        <v>-2384</v>
      </c>
      <c r="H2936">
        <v>-1515</v>
      </c>
      <c r="K2936" t="s">
        <v>1383</v>
      </c>
    </row>
    <row r="2937" spans="1:11" x14ac:dyDescent="0.25">
      <c r="A2937" s="40">
        <v>45989.544710648152</v>
      </c>
      <c r="B2937" t="s">
        <v>1818</v>
      </c>
      <c r="C2937" t="s">
        <v>68</v>
      </c>
      <c r="D2937" t="s">
        <v>374</v>
      </c>
      <c r="E2937" t="s">
        <v>1364</v>
      </c>
      <c r="F2937" t="s">
        <v>1372</v>
      </c>
      <c r="G2937">
        <v>-7152</v>
      </c>
      <c r="H2937">
        <v>-5903</v>
      </c>
      <c r="K2937" t="s">
        <v>1383</v>
      </c>
    </row>
    <row r="2938" spans="1:11" x14ac:dyDescent="0.25">
      <c r="A2938" s="40">
        <v>45989.544710648152</v>
      </c>
      <c r="B2938" t="s">
        <v>1818</v>
      </c>
      <c r="C2938" t="s">
        <v>69</v>
      </c>
      <c r="D2938" t="s">
        <v>375</v>
      </c>
      <c r="E2938" t="s">
        <v>1364</v>
      </c>
      <c r="F2938" t="s">
        <v>1372</v>
      </c>
      <c r="G2938">
        <v>-6840</v>
      </c>
      <c r="H2938">
        <v>-2515</v>
      </c>
      <c r="K2938" t="s">
        <v>1383</v>
      </c>
    </row>
    <row r="2939" spans="1:11" x14ac:dyDescent="0.25">
      <c r="A2939" s="40">
        <v>45989.544710648152</v>
      </c>
      <c r="B2939" t="s">
        <v>1818</v>
      </c>
      <c r="C2939" t="s">
        <v>94</v>
      </c>
      <c r="D2939" t="s">
        <v>404</v>
      </c>
      <c r="E2939" t="s">
        <v>1364</v>
      </c>
      <c r="F2939" t="s">
        <v>1372</v>
      </c>
      <c r="G2939">
        <v>-684</v>
      </c>
      <c r="H2939">
        <v>3501</v>
      </c>
      <c r="K2939" t="s">
        <v>1383</v>
      </c>
    </row>
    <row r="2940" spans="1:11" x14ac:dyDescent="0.25">
      <c r="A2940" s="40">
        <v>45989.544710648152</v>
      </c>
      <c r="B2940" t="s">
        <v>1818</v>
      </c>
      <c r="C2940" t="s">
        <v>12</v>
      </c>
      <c r="D2940" t="s">
        <v>432</v>
      </c>
      <c r="E2940" t="s">
        <v>1364</v>
      </c>
      <c r="F2940" t="s">
        <v>1372</v>
      </c>
      <c r="G2940">
        <v>-362</v>
      </c>
      <c r="H2940">
        <v>-121</v>
      </c>
      <c r="K2940" t="s">
        <v>1383</v>
      </c>
    </row>
    <row r="2941" spans="1:11" x14ac:dyDescent="0.25">
      <c r="A2941" s="40">
        <v>45989.544710648152</v>
      </c>
      <c r="B2941" t="s">
        <v>1818</v>
      </c>
      <c r="C2941" t="s">
        <v>44</v>
      </c>
      <c r="D2941" t="s">
        <v>392</v>
      </c>
      <c r="E2941" t="s">
        <v>1364</v>
      </c>
      <c r="F2941" t="s">
        <v>1372</v>
      </c>
      <c r="G2941">
        <v>-6840</v>
      </c>
      <c r="H2941">
        <v>2232</v>
      </c>
      <c r="K2941" t="s">
        <v>1383</v>
      </c>
    </row>
    <row r="2942" spans="1:11" x14ac:dyDescent="0.25">
      <c r="A2942" s="40">
        <v>45989.544710648152</v>
      </c>
      <c r="B2942" t="s">
        <v>1818</v>
      </c>
      <c r="C2942" t="s">
        <v>96</v>
      </c>
      <c r="D2942" t="s">
        <v>406</v>
      </c>
      <c r="E2942" t="s">
        <v>1364</v>
      </c>
      <c r="F2942" t="s">
        <v>1372</v>
      </c>
      <c r="G2942">
        <v>-6840</v>
      </c>
      <c r="H2942">
        <v>-4975</v>
      </c>
      <c r="K2942" t="s">
        <v>1383</v>
      </c>
    </row>
    <row r="2943" spans="1:11" x14ac:dyDescent="0.25">
      <c r="A2943" s="40">
        <v>45989.544710648152</v>
      </c>
      <c r="B2943" t="s">
        <v>1818</v>
      </c>
      <c r="C2943" t="s">
        <v>456</v>
      </c>
      <c r="D2943" t="s">
        <v>457</v>
      </c>
      <c r="E2943" t="s">
        <v>1364</v>
      </c>
      <c r="F2943" t="s">
        <v>1372</v>
      </c>
      <c r="G2943">
        <v>-6840</v>
      </c>
      <c r="H2943">
        <v>-3709</v>
      </c>
      <c r="K2943" t="s">
        <v>1383</v>
      </c>
    </row>
    <row r="2944" spans="1:11" x14ac:dyDescent="0.25">
      <c r="A2944" s="40">
        <v>45989.544710648152</v>
      </c>
      <c r="B2944" t="s">
        <v>1818</v>
      </c>
      <c r="C2944" t="s">
        <v>13</v>
      </c>
      <c r="D2944" t="s">
        <v>453</v>
      </c>
      <c r="E2944" t="s">
        <v>1364</v>
      </c>
      <c r="F2944" t="s">
        <v>1372</v>
      </c>
      <c r="G2944">
        <v>-1348</v>
      </c>
      <c r="H2944">
        <v>966</v>
      </c>
      <c r="K2944" t="s">
        <v>1383</v>
      </c>
    </row>
    <row r="2945" spans="1:11" x14ac:dyDescent="0.25">
      <c r="A2945" s="40">
        <v>45989.544710648152</v>
      </c>
      <c r="B2945" t="s">
        <v>1818</v>
      </c>
      <c r="C2945" t="s">
        <v>24</v>
      </c>
      <c r="D2945" t="s">
        <v>378</v>
      </c>
      <c r="E2945" t="s">
        <v>1364</v>
      </c>
      <c r="F2945" t="s">
        <v>1372</v>
      </c>
      <c r="G2945">
        <v>-684</v>
      </c>
      <c r="H2945">
        <v>18680</v>
      </c>
      <c r="K2945" t="s">
        <v>1383</v>
      </c>
    </row>
    <row r="2946" spans="1:11" x14ac:dyDescent="0.25">
      <c r="A2946" s="40">
        <v>45989.544710648152</v>
      </c>
      <c r="B2946" t="s">
        <v>1818</v>
      </c>
      <c r="C2946" t="s">
        <v>18</v>
      </c>
      <c r="D2946" t="s">
        <v>487</v>
      </c>
      <c r="E2946" t="s">
        <v>1364</v>
      </c>
      <c r="F2946" t="s">
        <v>1372</v>
      </c>
      <c r="G2946">
        <v>-1016</v>
      </c>
      <c r="H2946">
        <v>1955</v>
      </c>
      <c r="K2946" t="s">
        <v>1383</v>
      </c>
    </row>
    <row r="2947" spans="1:11" x14ac:dyDescent="0.25">
      <c r="A2947" s="40">
        <v>45989.544710648152</v>
      </c>
      <c r="B2947" t="s">
        <v>1818</v>
      </c>
      <c r="C2947" t="s">
        <v>28</v>
      </c>
      <c r="D2947" t="s">
        <v>382</v>
      </c>
      <c r="E2947" t="s">
        <v>1364</v>
      </c>
      <c r="F2947" t="s">
        <v>1372</v>
      </c>
      <c r="G2947">
        <v>-362</v>
      </c>
      <c r="H2947">
        <v>2469</v>
      </c>
      <c r="K2947" t="s">
        <v>1383</v>
      </c>
    </row>
    <row r="2948" spans="1:11" x14ac:dyDescent="0.25">
      <c r="A2948" s="40">
        <v>45989.544710648152</v>
      </c>
      <c r="B2948" t="s">
        <v>1818</v>
      </c>
      <c r="C2948" t="s">
        <v>693</v>
      </c>
      <c r="D2948" t="s">
        <v>701</v>
      </c>
      <c r="E2948" t="s">
        <v>1364</v>
      </c>
      <c r="F2948" t="s">
        <v>1372</v>
      </c>
      <c r="G2948">
        <v>-362</v>
      </c>
      <c r="H2948">
        <v>-238</v>
      </c>
      <c r="K2948" t="s">
        <v>1383</v>
      </c>
    </row>
    <row r="2949" spans="1:11" x14ac:dyDescent="0.25">
      <c r="A2949" s="40">
        <v>45989.544710648152</v>
      </c>
      <c r="B2949" t="s">
        <v>1818</v>
      </c>
      <c r="C2949" t="s">
        <v>1</v>
      </c>
      <c r="D2949" t="s">
        <v>250</v>
      </c>
      <c r="E2949" t="s">
        <v>1364</v>
      </c>
      <c r="F2949" t="s">
        <v>1372</v>
      </c>
      <c r="G2949">
        <v>-19172</v>
      </c>
      <c r="H2949">
        <v>-14753</v>
      </c>
      <c r="K2949" t="s">
        <v>1383</v>
      </c>
    </row>
    <row r="2950" spans="1:11" x14ac:dyDescent="0.25">
      <c r="A2950" s="40">
        <v>45989.544710648152</v>
      </c>
      <c r="B2950" t="s">
        <v>1818</v>
      </c>
      <c r="C2950" t="s">
        <v>60</v>
      </c>
      <c r="D2950" t="s">
        <v>350</v>
      </c>
      <c r="E2950" t="s">
        <v>1364</v>
      </c>
      <c r="F2950" t="s">
        <v>1372</v>
      </c>
      <c r="G2950">
        <v>-5392</v>
      </c>
      <c r="H2950">
        <v>-3355</v>
      </c>
      <c r="K2950" t="s">
        <v>1383</v>
      </c>
    </row>
    <row r="2951" spans="1:11" x14ac:dyDescent="0.25">
      <c r="A2951" s="40">
        <v>45989.544710648152</v>
      </c>
      <c r="B2951" t="s">
        <v>1818</v>
      </c>
      <c r="C2951" t="s">
        <v>1763</v>
      </c>
      <c r="D2951" t="s">
        <v>1793</v>
      </c>
      <c r="E2951" t="s">
        <v>1364</v>
      </c>
      <c r="F2951" t="s">
        <v>1372</v>
      </c>
      <c r="G2951">
        <v>-684</v>
      </c>
      <c r="H2951">
        <v>1701</v>
      </c>
      <c r="K2951" t="s">
        <v>1383</v>
      </c>
    </row>
    <row r="2952" spans="1:11" x14ac:dyDescent="0.25">
      <c r="A2952" s="40">
        <v>45989.544710648152</v>
      </c>
      <c r="B2952" t="s">
        <v>1818</v>
      </c>
      <c r="C2952" t="s">
        <v>61</v>
      </c>
      <c r="D2952" t="s">
        <v>353</v>
      </c>
      <c r="E2952" t="s">
        <v>1364</v>
      </c>
      <c r="F2952" t="s">
        <v>1372</v>
      </c>
      <c r="G2952">
        <v>-6840</v>
      </c>
      <c r="H2952">
        <v>-2937</v>
      </c>
      <c r="K2952" t="s">
        <v>1383</v>
      </c>
    </row>
    <row r="2953" spans="1:11" x14ac:dyDescent="0.25">
      <c r="A2953" s="40">
        <v>45989.544710648152</v>
      </c>
      <c r="B2953" t="s">
        <v>1818</v>
      </c>
      <c r="C2953" t="s">
        <v>62</v>
      </c>
      <c r="D2953" t="s">
        <v>354</v>
      </c>
      <c r="E2953" t="s">
        <v>1364</v>
      </c>
      <c r="F2953" t="s">
        <v>1372</v>
      </c>
      <c r="G2953">
        <v>-362</v>
      </c>
      <c r="H2953">
        <v>2838</v>
      </c>
      <c r="K2953" t="s">
        <v>1383</v>
      </c>
    </row>
    <row r="2954" spans="1:11" x14ac:dyDescent="0.25">
      <c r="A2954" s="40">
        <v>45989.544710648152</v>
      </c>
      <c r="B2954" t="s">
        <v>1818</v>
      </c>
      <c r="C2954" t="s">
        <v>1363</v>
      </c>
      <c r="E2954" t="s">
        <v>1365</v>
      </c>
      <c r="F2954" t="s">
        <v>1372</v>
      </c>
      <c r="G2954">
        <v>-332</v>
      </c>
      <c r="H2954">
        <v>-257</v>
      </c>
      <c r="K2954" t="s">
        <v>1383</v>
      </c>
    </row>
    <row r="2955" spans="1:11" x14ac:dyDescent="0.25">
      <c r="A2955" s="40">
        <v>45989.544710648152</v>
      </c>
      <c r="B2955" t="s">
        <v>1818</v>
      </c>
      <c r="C2955" t="s">
        <v>21</v>
      </c>
      <c r="D2955" t="s">
        <v>488</v>
      </c>
      <c r="E2955" t="s">
        <v>1364</v>
      </c>
      <c r="F2955" t="s">
        <v>1372</v>
      </c>
      <c r="G2955">
        <v>-362</v>
      </c>
      <c r="H2955">
        <v>11310</v>
      </c>
      <c r="K2955" t="s">
        <v>1383</v>
      </c>
    </row>
    <row r="2956" spans="1:11" x14ac:dyDescent="0.25">
      <c r="A2956" s="40">
        <v>45989.544710648152</v>
      </c>
      <c r="B2956" t="s">
        <v>1818</v>
      </c>
      <c r="C2956" t="s">
        <v>31</v>
      </c>
      <c r="D2956" t="s">
        <v>493</v>
      </c>
      <c r="E2956" t="s">
        <v>1364</v>
      </c>
      <c r="F2956" t="s">
        <v>1372</v>
      </c>
      <c r="G2956">
        <v>-362</v>
      </c>
      <c r="H2956">
        <v>2479</v>
      </c>
      <c r="K2956" t="s">
        <v>1383</v>
      </c>
    </row>
    <row r="2957" spans="1:11" x14ac:dyDescent="0.25">
      <c r="A2957" s="40">
        <v>45989.544710648152</v>
      </c>
      <c r="B2957" t="s">
        <v>1818</v>
      </c>
      <c r="C2957" t="s">
        <v>14</v>
      </c>
      <c r="D2957" t="s">
        <v>483</v>
      </c>
      <c r="E2957" t="s">
        <v>1364</v>
      </c>
      <c r="F2957" t="s">
        <v>1372</v>
      </c>
      <c r="G2957">
        <v>-684</v>
      </c>
      <c r="H2957">
        <v>445</v>
      </c>
      <c r="K2957" t="s">
        <v>1383</v>
      </c>
    </row>
    <row r="2958" spans="1:11" x14ac:dyDescent="0.25">
      <c r="A2958" s="40">
        <v>45989.544710648152</v>
      </c>
      <c r="B2958" t="s">
        <v>1818</v>
      </c>
      <c r="C2958" t="s">
        <v>5</v>
      </c>
      <c r="D2958" t="s">
        <v>389</v>
      </c>
      <c r="E2958" t="s">
        <v>1364</v>
      </c>
      <c r="F2958" t="s">
        <v>1372</v>
      </c>
      <c r="G2958">
        <v>-8500</v>
      </c>
      <c r="H2958">
        <v>1151</v>
      </c>
      <c r="K2958" t="s">
        <v>1383</v>
      </c>
    </row>
    <row r="2959" spans="1:11" x14ac:dyDescent="0.25">
      <c r="A2959" s="40">
        <v>45989.544710648152</v>
      </c>
      <c r="B2959" t="s">
        <v>1818</v>
      </c>
      <c r="C2959" t="s">
        <v>20</v>
      </c>
      <c r="D2959" t="s">
        <v>498</v>
      </c>
      <c r="E2959" t="s">
        <v>1364</v>
      </c>
      <c r="F2959" t="s">
        <v>1372</v>
      </c>
      <c r="G2959">
        <v>-28084</v>
      </c>
      <c r="H2959">
        <v>-7727</v>
      </c>
      <c r="K2959" t="s">
        <v>1383</v>
      </c>
    </row>
    <row r="2960" spans="1:11" x14ac:dyDescent="0.25">
      <c r="A2960" s="40">
        <v>45989.544710648152</v>
      </c>
      <c r="B2960" t="s">
        <v>1818</v>
      </c>
      <c r="C2960" t="s">
        <v>441</v>
      </c>
      <c r="D2960" t="s">
        <v>442</v>
      </c>
      <c r="E2960" t="s">
        <v>1364</v>
      </c>
      <c r="F2960" t="s">
        <v>1372</v>
      </c>
      <c r="G2960">
        <v>-7152</v>
      </c>
      <c r="H2960">
        <v>-6817</v>
      </c>
      <c r="K2960" t="s">
        <v>1383</v>
      </c>
    </row>
    <row r="2961" spans="1:11" x14ac:dyDescent="0.25">
      <c r="A2961" s="40">
        <v>45989.544710648152</v>
      </c>
      <c r="B2961" t="s">
        <v>1818</v>
      </c>
      <c r="C2961" t="s">
        <v>102</v>
      </c>
      <c r="D2961" t="s">
        <v>508</v>
      </c>
      <c r="E2961" t="s">
        <v>1364</v>
      </c>
      <c r="F2961" t="s">
        <v>1372</v>
      </c>
      <c r="G2961">
        <v>-1348</v>
      </c>
      <c r="H2961">
        <v>2853</v>
      </c>
      <c r="K2961" t="s">
        <v>1383</v>
      </c>
    </row>
    <row r="2962" spans="1:11" x14ac:dyDescent="0.25">
      <c r="A2962" s="40">
        <v>45989.544710648152</v>
      </c>
      <c r="B2962" t="s">
        <v>1818</v>
      </c>
      <c r="C2962" t="s">
        <v>11</v>
      </c>
      <c r="D2962" t="s">
        <v>411</v>
      </c>
      <c r="E2962" t="s">
        <v>1364</v>
      </c>
      <c r="F2962" t="s">
        <v>1372</v>
      </c>
      <c r="G2962">
        <v>-1348</v>
      </c>
      <c r="H2962">
        <v>1809</v>
      </c>
      <c r="K2962" t="s">
        <v>1383</v>
      </c>
    </row>
    <row r="2963" spans="1:11" x14ac:dyDescent="0.25">
      <c r="A2963" s="40">
        <v>45989.544710648152</v>
      </c>
      <c r="B2963" t="s">
        <v>1818</v>
      </c>
      <c r="C2963" t="s">
        <v>27</v>
      </c>
      <c r="D2963" t="s">
        <v>381</v>
      </c>
      <c r="E2963" t="s">
        <v>1364</v>
      </c>
      <c r="F2963" t="s">
        <v>1372</v>
      </c>
      <c r="G2963">
        <v>-51400</v>
      </c>
      <c r="H2963">
        <v>-15354</v>
      </c>
      <c r="K2963" t="s">
        <v>1383</v>
      </c>
    </row>
    <row r="2964" spans="1:11" x14ac:dyDescent="0.25">
      <c r="A2964" s="40">
        <v>45989.544710648152</v>
      </c>
      <c r="B2964" t="s">
        <v>1818</v>
      </c>
      <c r="C2964" t="s">
        <v>47</v>
      </c>
      <c r="D2964" t="s">
        <v>395</v>
      </c>
      <c r="E2964" t="s">
        <v>1364</v>
      </c>
      <c r="F2964" t="s">
        <v>1372</v>
      </c>
      <c r="G2964">
        <v>-2384</v>
      </c>
      <c r="H2964">
        <v>17515</v>
      </c>
      <c r="K2964" t="s">
        <v>1383</v>
      </c>
    </row>
    <row r="2965" spans="1:11" x14ac:dyDescent="0.25">
      <c r="A2965" s="40">
        <v>45989.544710648152</v>
      </c>
      <c r="B2965" t="s">
        <v>1818</v>
      </c>
      <c r="C2965" t="s">
        <v>1761</v>
      </c>
      <c r="E2965" t="s">
        <v>1365</v>
      </c>
      <c r="F2965" t="s">
        <v>1372</v>
      </c>
      <c r="G2965">
        <v>-332</v>
      </c>
      <c r="H2965">
        <v>15</v>
      </c>
      <c r="K2965" t="s">
        <v>1383</v>
      </c>
    </row>
    <row r="2966" spans="1:11" x14ac:dyDescent="0.25">
      <c r="A2966" s="40">
        <v>45989.544710648152</v>
      </c>
      <c r="B2966" t="s">
        <v>1818</v>
      </c>
      <c r="C2966" t="s">
        <v>1353</v>
      </c>
      <c r="E2966" t="s">
        <v>1365</v>
      </c>
      <c r="F2966" t="s">
        <v>1372</v>
      </c>
      <c r="G2966">
        <v>-6295</v>
      </c>
      <c r="H2966">
        <v>-4761</v>
      </c>
      <c r="K2966" t="s">
        <v>1383</v>
      </c>
    </row>
    <row r="2967" spans="1:11" x14ac:dyDescent="0.25">
      <c r="A2967" s="40">
        <v>45989.544710648152</v>
      </c>
      <c r="B2967" t="s">
        <v>1818</v>
      </c>
      <c r="C2967" t="s">
        <v>1751</v>
      </c>
      <c r="D2967" t="s">
        <v>1791</v>
      </c>
      <c r="E2967" t="s">
        <v>1364</v>
      </c>
      <c r="F2967" t="s">
        <v>1372</v>
      </c>
      <c r="G2967">
        <v>-337</v>
      </c>
      <c r="H2967">
        <v>1003</v>
      </c>
      <c r="K2967" t="s">
        <v>1383</v>
      </c>
    </row>
    <row r="2968" spans="1:11" x14ac:dyDescent="0.25">
      <c r="A2968" s="40">
        <v>45989.544710648152</v>
      </c>
      <c r="B2968" t="s">
        <v>1818</v>
      </c>
      <c r="C2968" t="s">
        <v>362</v>
      </c>
      <c r="D2968" t="s">
        <v>363</v>
      </c>
      <c r="E2968" t="s">
        <v>1364</v>
      </c>
      <c r="F2968" t="s">
        <v>1372</v>
      </c>
      <c r="G2968">
        <v>-362</v>
      </c>
      <c r="H2968">
        <v>1328</v>
      </c>
      <c r="K2968" t="s">
        <v>1383</v>
      </c>
    </row>
    <row r="2969" spans="1:11" x14ac:dyDescent="0.25">
      <c r="A2969" s="40">
        <v>45990.404189814813</v>
      </c>
      <c r="B2969" t="s">
        <v>1819</v>
      </c>
      <c r="C2969" t="s">
        <v>1</v>
      </c>
      <c r="D2969" t="s">
        <v>250</v>
      </c>
      <c r="E2969" t="s">
        <v>1364</v>
      </c>
      <c r="F2969" t="s">
        <v>1372</v>
      </c>
      <c r="G2969">
        <v>-1170</v>
      </c>
      <c r="H2969">
        <v>-15923</v>
      </c>
      <c r="K2969" t="s">
        <v>1383</v>
      </c>
    </row>
    <row r="2970" spans="1:11" x14ac:dyDescent="0.25">
      <c r="A2970" s="40">
        <v>45990.404189814813</v>
      </c>
      <c r="B2970" t="s">
        <v>1819</v>
      </c>
      <c r="C2970" t="s">
        <v>27</v>
      </c>
      <c r="D2970" t="s">
        <v>381</v>
      </c>
      <c r="E2970" t="s">
        <v>1364</v>
      </c>
      <c r="F2970" t="s">
        <v>1372</v>
      </c>
      <c r="G2970">
        <v>-280</v>
      </c>
      <c r="H2970">
        <v>-15634</v>
      </c>
      <c r="K2970" t="s">
        <v>1383</v>
      </c>
    </row>
    <row r="2971" spans="1:11" x14ac:dyDescent="0.25">
      <c r="A2971" s="40">
        <v>45990.404189814813</v>
      </c>
      <c r="B2971" t="s">
        <v>1819</v>
      </c>
      <c r="C2971" t="s">
        <v>70</v>
      </c>
      <c r="D2971" t="s">
        <v>402</v>
      </c>
      <c r="E2971" t="s">
        <v>1364</v>
      </c>
      <c r="F2971" t="s">
        <v>1372</v>
      </c>
      <c r="G2971">
        <v>-110</v>
      </c>
      <c r="H2971">
        <v>19004</v>
      </c>
      <c r="K2971" t="s">
        <v>1383</v>
      </c>
    </row>
    <row r="2972" spans="1:11" x14ac:dyDescent="0.25">
      <c r="A2972" s="40">
        <v>45990.404189814813</v>
      </c>
      <c r="B2972" t="s">
        <v>1819</v>
      </c>
      <c r="C2972" t="s">
        <v>47</v>
      </c>
      <c r="D2972" t="s">
        <v>395</v>
      </c>
      <c r="E2972" t="s">
        <v>1364</v>
      </c>
      <c r="F2972" t="s">
        <v>1372</v>
      </c>
      <c r="G2972">
        <v>-50</v>
      </c>
      <c r="H2972">
        <v>17465</v>
      </c>
      <c r="K2972" t="s">
        <v>1383</v>
      </c>
    </row>
    <row r="2973" spans="1:11" x14ac:dyDescent="0.25">
      <c r="A2973" s="40">
        <v>45990.404189814813</v>
      </c>
      <c r="B2973" t="s">
        <v>1819</v>
      </c>
      <c r="C2973" t="s">
        <v>7</v>
      </c>
      <c r="D2973" t="s">
        <v>307</v>
      </c>
      <c r="E2973" t="s">
        <v>1364</v>
      </c>
      <c r="F2973" t="s">
        <v>1372</v>
      </c>
      <c r="G2973">
        <v>-165</v>
      </c>
      <c r="H2973">
        <v>507</v>
      </c>
      <c r="K2973" t="s">
        <v>1383</v>
      </c>
    </row>
    <row r="2974" spans="1:11" x14ac:dyDescent="0.25">
      <c r="A2974" s="40">
        <v>45990.404189814813</v>
      </c>
      <c r="B2974" t="s">
        <v>1819</v>
      </c>
      <c r="C2974" t="s">
        <v>20</v>
      </c>
      <c r="D2974" t="s">
        <v>498</v>
      </c>
      <c r="E2974" t="s">
        <v>1364</v>
      </c>
      <c r="F2974" t="s">
        <v>1372</v>
      </c>
      <c r="G2974">
        <v>-280</v>
      </c>
      <c r="H2974">
        <v>-8007</v>
      </c>
      <c r="K2974" t="s">
        <v>1383</v>
      </c>
    </row>
    <row r="2975" spans="1:11" x14ac:dyDescent="0.25">
      <c r="A2975" s="40">
        <v>45990.404189814813</v>
      </c>
      <c r="B2975" t="s">
        <v>1819</v>
      </c>
      <c r="C2975" t="s">
        <v>96</v>
      </c>
      <c r="D2975" t="s">
        <v>406</v>
      </c>
      <c r="E2975" t="s">
        <v>1364</v>
      </c>
      <c r="F2975" t="s">
        <v>1372</v>
      </c>
      <c r="G2975">
        <v>-60</v>
      </c>
      <c r="H2975">
        <v>-5035</v>
      </c>
      <c r="K2975" t="s">
        <v>1383</v>
      </c>
    </row>
    <row r="2976" spans="1:11" x14ac:dyDescent="0.25">
      <c r="A2976" s="40">
        <v>45990.404189814813</v>
      </c>
      <c r="B2976" t="s">
        <v>1819</v>
      </c>
      <c r="C2976" t="s">
        <v>63</v>
      </c>
      <c r="D2976" t="s">
        <v>355</v>
      </c>
      <c r="E2976" t="s">
        <v>1364</v>
      </c>
      <c r="F2976" t="s">
        <v>1372</v>
      </c>
      <c r="G2976">
        <v>-290</v>
      </c>
      <c r="H2976">
        <v>544</v>
      </c>
      <c r="K2976" t="s">
        <v>1383</v>
      </c>
    </row>
    <row r="2977" spans="1:11" x14ac:dyDescent="0.25">
      <c r="A2977" s="40">
        <v>45990.404189814813</v>
      </c>
      <c r="B2977" t="s">
        <v>1819</v>
      </c>
      <c r="C2977" t="s">
        <v>38</v>
      </c>
      <c r="D2977" t="s">
        <v>386</v>
      </c>
      <c r="E2977" t="s">
        <v>1364</v>
      </c>
      <c r="F2977" t="s">
        <v>1372</v>
      </c>
      <c r="G2977">
        <v>-410</v>
      </c>
      <c r="H2977">
        <v>24240</v>
      </c>
      <c r="K2977" t="s">
        <v>1383</v>
      </c>
    </row>
    <row r="2978" spans="1:11" x14ac:dyDescent="0.25">
      <c r="A2978" s="40">
        <v>45990.404189814813</v>
      </c>
      <c r="B2978" t="s">
        <v>1819</v>
      </c>
      <c r="C2978" t="s">
        <v>24</v>
      </c>
      <c r="D2978" t="s">
        <v>378</v>
      </c>
      <c r="E2978" t="s">
        <v>1364</v>
      </c>
      <c r="F2978" t="s">
        <v>1372</v>
      </c>
      <c r="G2978">
        <v>-195</v>
      </c>
      <c r="H2978">
        <v>18485</v>
      </c>
      <c r="K2978" t="s">
        <v>1383</v>
      </c>
    </row>
    <row r="2979" spans="1:11" x14ac:dyDescent="0.25">
      <c r="A2979" s="40">
        <v>45990.404189814813</v>
      </c>
      <c r="B2979" t="s">
        <v>1819</v>
      </c>
      <c r="C2979" t="s">
        <v>370</v>
      </c>
      <c r="D2979" t="s">
        <v>371</v>
      </c>
      <c r="E2979" t="s">
        <v>1364</v>
      </c>
      <c r="F2979" t="s">
        <v>1372</v>
      </c>
      <c r="G2979">
        <v>-110</v>
      </c>
      <c r="H2979">
        <v>2141</v>
      </c>
      <c r="K2979" t="s">
        <v>1383</v>
      </c>
    </row>
    <row r="2980" spans="1:11" x14ac:dyDescent="0.25">
      <c r="A2980" s="40">
        <v>45990.404189814813</v>
      </c>
      <c r="B2980" t="s">
        <v>1819</v>
      </c>
      <c r="C2980" t="s">
        <v>229</v>
      </c>
      <c r="D2980" t="s">
        <v>321</v>
      </c>
      <c r="E2980" t="s">
        <v>1364</v>
      </c>
      <c r="F2980" t="s">
        <v>1372</v>
      </c>
      <c r="G2980">
        <v>-215</v>
      </c>
      <c r="H2980">
        <v>6649</v>
      </c>
      <c r="K2980" t="s">
        <v>1383</v>
      </c>
    </row>
    <row r="2981" spans="1:11" x14ac:dyDescent="0.25">
      <c r="A2981" s="40">
        <v>45990.404189814813</v>
      </c>
      <c r="B2981" t="s">
        <v>1819</v>
      </c>
      <c r="C2981" t="s">
        <v>25</v>
      </c>
      <c r="D2981" t="s">
        <v>491</v>
      </c>
      <c r="E2981" t="s">
        <v>1364</v>
      </c>
      <c r="F2981" t="s">
        <v>1372</v>
      </c>
      <c r="G2981">
        <v>-370</v>
      </c>
      <c r="H2981">
        <v>9806</v>
      </c>
      <c r="K2981" t="s">
        <v>1383</v>
      </c>
    </row>
    <row r="2982" spans="1:11" x14ac:dyDescent="0.25">
      <c r="A2982" s="40">
        <v>45990.404189814813</v>
      </c>
      <c r="B2982" t="s">
        <v>1819</v>
      </c>
      <c r="C2982" t="s">
        <v>68</v>
      </c>
      <c r="D2982" t="s">
        <v>374</v>
      </c>
      <c r="E2982" t="s">
        <v>1364</v>
      </c>
      <c r="F2982" t="s">
        <v>1372</v>
      </c>
      <c r="G2982">
        <v>-90</v>
      </c>
      <c r="H2982">
        <v>-5993</v>
      </c>
      <c r="K2982" t="s">
        <v>1383</v>
      </c>
    </row>
    <row r="2983" spans="1:11" x14ac:dyDescent="0.25">
      <c r="A2983" s="40">
        <v>45990.404189814813</v>
      </c>
      <c r="B2983" t="s">
        <v>1819</v>
      </c>
      <c r="C2983" t="s">
        <v>14</v>
      </c>
      <c r="D2983" t="s">
        <v>483</v>
      </c>
      <c r="E2983" t="s">
        <v>1364</v>
      </c>
      <c r="F2983" t="s">
        <v>1372</v>
      </c>
      <c r="G2983">
        <v>-370</v>
      </c>
      <c r="H2983">
        <v>75</v>
      </c>
      <c r="K2983" t="s">
        <v>1383</v>
      </c>
    </row>
    <row r="2984" spans="1:11" x14ac:dyDescent="0.25">
      <c r="A2984" s="40">
        <v>45990.404189814813</v>
      </c>
      <c r="B2984" t="s">
        <v>1819</v>
      </c>
      <c r="C2984" t="s">
        <v>2</v>
      </c>
      <c r="D2984" t="s">
        <v>266</v>
      </c>
      <c r="E2984" t="s">
        <v>1364</v>
      </c>
      <c r="F2984" t="s">
        <v>1372</v>
      </c>
      <c r="G2984">
        <v>-60</v>
      </c>
      <c r="H2984">
        <v>3200</v>
      </c>
      <c r="K2984" t="s">
        <v>1383</v>
      </c>
    </row>
    <row r="2985" spans="1:11" x14ac:dyDescent="0.25">
      <c r="A2985" s="40">
        <v>45990.404189814813</v>
      </c>
      <c r="B2985" t="s">
        <v>1819</v>
      </c>
      <c r="C2985" t="s">
        <v>333</v>
      </c>
      <c r="D2985" t="s">
        <v>334</v>
      </c>
      <c r="E2985" t="s">
        <v>1364</v>
      </c>
      <c r="F2985" t="s">
        <v>1372</v>
      </c>
      <c r="G2985">
        <v>-110</v>
      </c>
      <c r="H2985">
        <v>6323</v>
      </c>
      <c r="K2985" t="s">
        <v>1383</v>
      </c>
    </row>
    <row r="2986" spans="1:11" x14ac:dyDescent="0.25">
      <c r="A2986" s="40">
        <v>45990.404189814813</v>
      </c>
      <c r="B2986" t="s">
        <v>1819</v>
      </c>
      <c r="C2986" t="s">
        <v>42</v>
      </c>
      <c r="D2986" t="s">
        <v>391</v>
      </c>
      <c r="E2986" t="s">
        <v>1364</v>
      </c>
      <c r="F2986" t="s">
        <v>1372</v>
      </c>
      <c r="G2986">
        <v>-30</v>
      </c>
      <c r="H2986">
        <v>2175</v>
      </c>
      <c r="K2986" t="s">
        <v>1383</v>
      </c>
    </row>
    <row r="2987" spans="1:11" x14ac:dyDescent="0.25">
      <c r="A2987" s="40">
        <v>45990.404189814813</v>
      </c>
      <c r="B2987" t="s">
        <v>1819</v>
      </c>
      <c r="C2987" t="s">
        <v>94</v>
      </c>
      <c r="D2987" t="s">
        <v>404</v>
      </c>
      <c r="E2987" t="s">
        <v>1364</v>
      </c>
      <c r="F2987" t="s">
        <v>1372</v>
      </c>
      <c r="G2987">
        <v>-50</v>
      </c>
      <c r="H2987">
        <v>3451</v>
      </c>
      <c r="K2987" t="s">
        <v>1383</v>
      </c>
    </row>
    <row r="2988" spans="1:11" x14ac:dyDescent="0.25">
      <c r="A2988" s="40">
        <v>45990.404189814813</v>
      </c>
      <c r="B2988" t="s">
        <v>1819</v>
      </c>
      <c r="C2988" t="s">
        <v>36</v>
      </c>
      <c r="D2988" t="s">
        <v>385</v>
      </c>
      <c r="E2988" t="s">
        <v>1364</v>
      </c>
      <c r="F2988" t="s">
        <v>1372</v>
      </c>
      <c r="G2988">
        <v>-110</v>
      </c>
      <c r="H2988">
        <v>844</v>
      </c>
      <c r="K2988" t="s">
        <v>1383</v>
      </c>
    </row>
    <row r="2989" spans="1:11" x14ac:dyDescent="0.25">
      <c r="A2989" s="40">
        <v>45990.404189814813</v>
      </c>
      <c r="B2989" t="s">
        <v>1819</v>
      </c>
      <c r="C2989" t="s">
        <v>3</v>
      </c>
      <c r="D2989" t="s">
        <v>287</v>
      </c>
      <c r="E2989" t="s">
        <v>1364</v>
      </c>
      <c r="F2989" t="s">
        <v>1372</v>
      </c>
      <c r="G2989">
        <v>-40</v>
      </c>
      <c r="H2989">
        <v>-8156</v>
      </c>
      <c r="K2989" t="s">
        <v>1383</v>
      </c>
    </row>
    <row r="2990" spans="1:11" x14ac:dyDescent="0.25">
      <c r="A2990" s="40">
        <v>45990.404189814813</v>
      </c>
      <c r="B2990" t="s">
        <v>1819</v>
      </c>
      <c r="C2990" t="s">
        <v>76</v>
      </c>
      <c r="D2990" t="s">
        <v>252</v>
      </c>
      <c r="E2990" t="s">
        <v>1364</v>
      </c>
      <c r="F2990" t="s">
        <v>1372</v>
      </c>
      <c r="G2990">
        <v>-30</v>
      </c>
      <c r="H2990">
        <v>2320</v>
      </c>
      <c r="K2990" t="s">
        <v>1383</v>
      </c>
    </row>
    <row r="2991" spans="1:11" x14ac:dyDescent="0.25">
      <c r="A2991" s="40">
        <v>45990.404189814813</v>
      </c>
      <c r="B2991" t="s">
        <v>1819</v>
      </c>
      <c r="C2991" t="s">
        <v>55</v>
      </c>
      <c r="D2991" t="s">
        <v>312</v>
      </c>
      <c r="E2991" t="s">
        <v>1364</v>
      </c>
      <c r="F2991" t="s">
        <v>1372</v>
      </c>
      <c r="G2991">
        <v>-110</v>
      </c>
      <c r="H2991">
        <v>921</v>
      </c>
      <c r="K2991" t="s">
        <v>1383</v>
      </c>
    </row>
    <row r="2992" spans="1:11" x14ac:dyDescent="0.25">
      <c r="A2992" s="40">
        <v>45990.404189814813</v>
      </c>
      <c r="B2992" t="s">
        <v>1819</v>
      </c>
      <c r="C2992" t="s">
        <v>1762</v>
      </c>
      <c r="D2992" t="s">
        <v>1792</v>
      </c>
      <c r="E2992" t="s">
        <v>1364</v>
      </c>
      <c r="F2992" t="s">
        <v>1372</v>
      </c>
      <c r="G2992">
        <v>-370</v>
      </c>
      <c r="H2992">
        <v>613</v>
      </c>
      <c r="K2992" t="s">
        <v>1383</v>
      </c>
    </row>
    <row r="2993" spans="1:12" x14ac:dyDescent="0.25">
      <c r="A2993" s="40">
        <v>45990.404189814813</v>
      </c>
      <c r="B2993" t="s">
        <v>1819</v>
      </c>
      <c r="C2993" t="s">
        <v>462</v>
      </c>
      <c r="D2993" t="s">
        <v>463</v>
      </c>
      <c r="E2993" t="s">
        <v>1364</v>
      </c>
      <c r="F2993" t="s">
        <v>1372</v>
      </c>
      <c r="G2993">
        <v>-30</v>
      </c>
      <c r="H2993">
        <v>2549</v>
      </c>
      <c r="K2993" t="s">
        <v>1383</v>
      </c>
    </row>
    <row r="2994" spans="1:12" x14ac:dyDescent="0.25">
      <c r="A2994" s="40">
        <v>45990.404189814813</v>
      </c>
      <c r="B2994" t="s">
        <v>1819</v>
      </c>
      <c r="C2994" t="s">
        <v>43</v>
      </c>
      <c r="D2994" t="s">
        <v>499</v>
      </c>
      <c r="E2994" t="s">
        <v>1364</v>
      </c>
      <c r="F2994" t="s">
        <v>1372</v>
      </c>
      <c r="G2994">
        <v>-40</v>
      </c>
      <c r="H2994">
        <v>2774</v>
      </c>
      <c r="K2994" t="s">
        <v>1383</v>
      </c>
    </row>
    <row r="2995" spans="1:12" x14ac:dyDescent="0.25">
      <c r="A2995" s="40">
        <v>45990.404189814813</v>
      </c>
      <c r="B2995" t="s">
        <v>1819</v>
      </c>
      <c r="C2995" t="s">
        <v>326</v>
      </c>
      <c r="D2995" t="s">
        <v>327</v>
      </c>
      <c r="E2995" t="s">
        <v>1364</v>
      </c>
      <c r="F2995" t="s">
        <v>1372</v>
      </c>
      <c r="G2995">
        <v>-195</v>
      </c>
      <c r="H2995">
        <v>519</v>
      </c>
      <c r="K2995" t="s">
        <v>1383</v>
      </c>
    </row>
    <row r="2996" spans="1:12" x14ac:dyDescent="0.25">
      <c r="A2996" s="40">
        <v>45990.404189814813</v>
      </c>
      <c r="B2996" t="s">
        <v>1819</v>
      </c>
      <c r="C2996" t="s">
        <v>414</v>
      </c>
      <c r="D2996" t="s">
        <v>415</v>
      </c>
      <c r="E2996" t="s">
        <v>1364</v>
      </c>
      <c r="F2996" t="s">
        <v>1372</v>
      </c>
      <c r="G2996">
        <v>-90</v>
      </c>
      <c r="H2996">
        <v>3344</v>
      </c>
      <c r="K2996" t="s">
        <v>1383</v>
      </c>
    </row>
    <row r="2997" spans="1:12" x14ac:dyDescent="0.25">
      <c r="A2997" s="40">
        <v>45990.404189814813</v>
      </c>
      <c r="B2997" t="s">
        <v>1819</v>
      </c>
      <c r="C2997" t="s">
        <v>62</v>
      </c>
      <c r="D2997" t="s">
        <v>354</v>
      </c>
      <c r="E2997" t="s">
        <v>1364</v>
      </c>
      <c r="F2997" t="s">
        <v>1372</v>
      </c>
      <c r="G2997">
        <v>-70</v>
      </c>
      <c r="H2997">
        <v>2768</v>
      </c>
      <c r="K2997" t="s">
        <v>1383</v>
      </c>
    </row>
    <row r="2998" spans="1:12" x14ac:dyDescent="0.25">
      <c r="A2998" s="40">
        <v>45990.404189814813</v>
      </c>
      <c r="B2998" t="s">
        <v>1819</v>
      </c>
      <c r="C2998" t="s">
        <v>75</v>
      </c>
      <c r="D2998" t="s">
        <v>251</v>
      </c>
      <c r="E2998" t="s">
        <v>1364</v>
      </c>
      <c r="F2998" t="s">
        <v>1372</v>
      </c>
      <c r="G2998">
        <v>-40</v>
      </c>
      <c r="H2998">
        <v>2278</v>
      </c>
      <c r="K2998" t="s">
        <v>1383</v>
      </c>
    </row>
    <row r="2999" spans="1:12" x14ac:dyDescent="0.25">
      <c r="A2999" s="40">
        <v>45990.404189814813</v>
      </c>
      <c r="B2999" t="s">
        <v>1819</v>
      </c>
      <c r="C2999" t="s">
        <v>18</v>
      </c>
      <c r="D2999" t="s">
        <v>487</v>
      </c>
      <c r="E2999" t="s">
        <v>1364</v>
      </c>
      <c r="F2999" t="s">
        <v>1372</v>
      </c>
      <c r="G2999">
        <v>-195</v>
      </c>
      <c r="H2999">
        <v>1760</v>
      </c>
      <c r="K2999" t="s">
        <v>1383</v>
      </c>
    </row>
    <row r="3000" spans="1:12" x14ac:dyDescent="0.25">
      <c r="A3000" s="40">
        <v>45990.404189814813</v>
      </c>
      <c r="B3000" t="s">
        <v>1819</v>
      </c>
      <c r="C3000" t="s">
        <v>262</v>
      </c>
      <c r="D3000" t="s">
        <v>263</v>
      </c>
      <c r="E3000" t="s">
        <v>1364</v>
      </c>
      <c r="F3000" t="s">
        <v>1372</v>
      </c>
      <c r="G3000">
        <v>-50</v>
      </c>
      <c r="H3000">
        <v>2814</v>
      </c>
      <c r="K3000" t="s">
        <v>1383</v>
      </c>
    </row>
    <row r="3001" spans="1:12" x14ac:dyDescent="0.25">
      <c r="A3001" s="40">
        <v>45990.404189814813</v>
      </c>
      <c r="B3001" t="s">
        <v>1819</v>
      </c>
      <c r="C3001" t="s">
        <v>324</v>
      </c>
      <c r="D3001" t="s">
        <v>325</v>
      </c>
      <c r="E3001" t="s">
        <v>1364</v>
      </c>
      <c r="F3001" t="s">
        <v>1372</v>
      </c>
      <c r="G3001">
        <v>-110</v>
      </c>
      <c r="H3001">
        <v>838</v>
      </c>
      <c r="K3001" t="s">
        <v>1383</v>
      </c>
    </row>
    <row r="3002" spans="1:12" x14ac:dyDescent="0.25">
      <c r="A3002" s="40">
        <v>45990.404189814813</v>
      </c>
      <c r="B3002" t="s">
        <v>1819</v>
      </c>
      <c r="C3002" t="s">
        <v>1363</v>
      </c>
      <c r="E3002" t="s">
        <v>1365</v>
      </c>
      <c r="F3002" t="s">
        <v>1372</v>
      </c>
      <c r="G3002">
        <v>-165</v>
      </c>
      <c r="H3002">
        <v>-422</v>
      </c>
      <c r="K3002" t="s">
        <v>1383</v>
      </c>
    </row>
    <row r="3003" spans="1:12" x14ac:dyDescent="0.25">
      <c r="A3003" s="40">
        <v>45994.186863425923</v>
      </c>
      <c r="B3003" t="s">
        <v>1818</v>
      </c>
      <c r="C3003" t="s">
        <v>1353</v>
      </c>
      <c r="E3003" t="s">
        <v>1365</v>
      </c>
      <c r="F3003" t="s">
        <v>695</v>
      </c>
      <c r="G3003">
        <v>6000</v>
      </c>
      <c r="H3003">
        <v>1239</v>
      </c>
      <c r="I3003" t="s">
        <v>1820</v>
      </c>
      <c r="K3003" t="s">
        <v>1465</v>
      </c>
      <c r="L3003">
        <v>2352</v>
      </c>
    </row>
    <row r="3004" spans="1:12" x14ac:dyDescent="0.25">
      <c r="A3004" s="40">
        <v>45994.186863425923</v>
      </c>
      <c r="B3004" t="s">
        <v>1818</v>
      </c>
      <c r="C3004" t="s">
        <v>693</v>
      </c>
      <c r="D3004" t="s">
        <v>701</v>
      </c>
      <c r="E3004" t="s">
        <v>1364</v>
      </c>
      <c r="F3004" t="s">
        <v>695</v>
      </c>
      <c r="G3004">
        <v>1000</v>
      </c>
      <c r="H3004">
        <v>762</v>
      </c>
      <c r="I3004" t="s">
        <v>700</v>
      </c>
      <c r="K3004" t="s">
        <v>1465</v>
      </c>
      <c r="L3004">
        <v>1339</v>
      </c>
    </row>
    <row r="3005" spans="1:12" x14ac:dyDescent="0.25">
      <c r="A3005" s="40">
        <v>45994.186863425923</v>
      </c>
      <c r="B3005" t="s">
        <v>1818</v>
      </c>
      <c r="C3005" t="s">
        <v>1363</v>
      </c>
      <c r="E3005" t="s">
        <v>1365</v>
      </c>
      <c r="F3005" t="s">
        <v>695</v>
      </c>
      <c r="G3005">
        <v>600</v>
      </c>
      <c r="H3005">
        <v>178</v>
      </c>
      <c r="I3005" t="s">
        <v>1410</v>
      </c>
      <c r="K3005" t="s">
        <v>1465</v>
      </c>
      <c r="L3005">
        <v>3918</v>
      </c>
    </row>
    <row r="3006" spans="1:12" x14ac:dyDescent="0.25">
      <c r="A3006" s="40">
        <v>45994.186863425923</v>
      </c>
      <c r="B3006" t="s">
        <v>1818</v>
      </c>
      <c r="C3006" t="s">
        <v>82</v>
      </c>
      <c r="D3006" t="s">
        <v>318</v>
      </c>
      <c r="E3006" t="s">
        <v>1364</v>
      </c>
      <c r="F3006" t="s">
        <v>695</v>
      </c>
      <c r="G3006">
        <v>21000</v>
      </c>
      <c r="H3006">
        <v>9989</v>
      </c>
      <c r="I3006" t="s">
        <v>696</v>
      </c>
      <c r="K3006" t="s">
        <v>1465</v>
      </c>
      <c r="L3006">
        <v>296.94</v>
      </c>
    </row>
    <row r="3007" spans="1:12" x14ac:dyDescent="0.25">
      <c r="A3007" s="40">
        <v>45994.186863425923</v>
      </c>
      <c r="B3007" t="s">
        <v>1818</v>
      </c>
      <c r="C3007" t="s">
        <v>69</v>
      </c>
      <c r="D3007" t="s">
        <v>375</v>
      </c>
      <c r="E3007" t="s">
        <v>1364</v>
      </c>
      <c r="F3007" t="s">
        <v>695</v>
      </c>
      <c r="G3007">
        <v>9000</v>
      </c>
      <c r="H3007">
        <v>6485</v>
      </c>
      <c r="I3007" t="s">
        <v>1410</v>
      </c>
      <c r="K3007" t="s">
        <v>1465</v>
      </c>
      <c r="L3007">
        <v>216</v>
      </c>
    </row>
    <row r="3008" spans="1:12" x14ac:dyDescent="0.25">
      <c r="A3008" s="40">
        <v>45994.186863425923</v>
      </c>
      <c r="B3008" t="s">
        <v>1818</v>
      </c>
      <c r="C3008" t="s">
        <v>68</v>
      </c>
      <c r="D3008" t="s">
        <v>374</v>
      </c>
      <c r="E3008" t="s">
        <v>1364</v>
      </c>
      <c r="F3008" t="s">
        <v>695</v>
      </c>
      <c r="G3008">
        <v>12000</v>
      </c>
      <c r="H3008">
        <v>6007</v>
      </c>
      <c r="I3008" t="s">
        <v>1410</v>
      </c>
      <c r="K3008" t="s">
        <v>1465</v>
      </c>
      <c r="L3008">
        <v>213.6</v>
      </c>
    </row>
    <row r="3009" spans="1:12" x14ac:dyDescent="0.25">
      <c r="A3009" s="40">
        <v>45994.186863425923</v>
      </c>
      <c r="B3009" t="s">
        <v>1818</v>
      </c>
      <c r="C3009" t="s">
        <v>441</v>
      </c>
      <c r="D3009" t="s">
        <v>442</v>
      </c>
      <c r="E3009" t="s">
        <v>1364</v>
      </c>
      <c r="F3009" t="s">
        <v>695</v>
      </c>
      <c r="G3009">
        <v>8000</v>
      </c>
      <c r="H3009">
        <v>1183</v>
      </c>
      <c r="I3009" t="s">
        <v>696</v>
      </c>
      <c r="K3009" t="s">
        <v>1465</v>
      </c>
      <c r="L3009">
        <v>86.24</v>
      </c>
    </row>
    <row r="3010" spans="1:12" x14ac:dyDescent="0.25">
      <c r="A3010" s="40">
        <v>45994.186863425923</v>
      </c>
      <c r="B3010" t="s">
        <v>1818</v>
      </c>
      <c r="C3010" t="s">
        <v>61</v>
      </c>
      <c r="D3010" t="s">
        <v>353</v>
      </c>
      <c r="E3010" t="s">
        <v>1364</v>
      </c>
      <c r="F3010" t="s">
        <v>695</v>
      </c>
      <c r="G3010">
        <v>9000</v>
      </c>
      <c r="H3010">
        <v>6063</v>
      </c>
      <c r="I3010" t="s">
        <v>696</v>
      </c>
      <c r="K3010" t="s">
        <v>1465</v>
      </c>
      <c r="L3010">
        <v>236.88</v>
      </c>
    </row>
    <row r="3011" spans="1:12" x14ac:dyDescent="0.25">
      <c r="A3011" s="40">
        <v>45994.186863425923</v>
      </c>
      <c r="B3011" t="s">
        <v>1818</v>
      </c>
      <c r="C3011" t="s">
        <v>89</v>
      </c>
      <c r="D3011" t="s">
        <v>359</v>
      </c>
      <c r="E3011" t="s">
        <v>1364</v>
      </c>
      <c r="F3011" t="s">
        <v>695</v>
      </c>
      <c r="G3011">
        <v>3000</v>
      </c>
      <c r="H3011">
        <v>1485</v>
      </c>
      <c r="I3011" t="s">
        <v>511</v>
      </c>
      <c r="K3011" t="s">
        <v>1465</v>
      </c>
      <c r="L3011">
        <v>272.49</v>
      </c>
    </row>
    <row r="3012" spans="1:12" x14ac:dyDescent="0.25">
      <c r="A3012" s="40">
        <v>45994.186863425923</v>
      </c>
      <c r="B3012" t="s">
        <v>1818</v>
      </c>
      <c r="C3012" t="s">
        <v>60</v>
      </c>
      <c r="D3012" t="s">
        <v>350</v>
      </c>
      <c r="E3012" t="s">
        <v>1364</v>
      </c>
      <c r="F3012" t="s">
        <v>695</v>
      </c>
      <c r="G3012">
        <v>6000</v>
      </c>
      <c r="H3012">
        <v>2645</v>
      </c>
      <c r="I3012" t="s">
        <v>696</v>
      </c>
      <c r="K3012" t="s">
        <v>1465</v>
      </c>
      <c r="L3012">
        <v>105.84</v>
      </c>
    </row>
    <row r="3013" spans="1:12" x14ac:dyDescent="0.25">
      <c r="A3013" s="40">
        <v>45994.186863425923</v>
      </c>
      <c r="B3013" t="s">
        <v>1818</v>
      </c>
      <c r="C3013" t="s">
        <v>3</v>
      </c>
      <c r="D3013" t="s">
        <v>287</v>
      </c>
      <c r="E3013" t="s">
        <v>1364</v>
      </c>
      <c r="F3013" t="s">
        <v>695</v>
      </c>
      <c r="G3013">
        <v>20000</v>
      </c>
      <c r="H3013">
        <v>11844</v>
      </c>
      <c r="I3013" t="s">
        <v>696</v>
      </c>
      <c r="K3013" t="s">
        <v>1465</v>
      </c>
      <c r="L3013">
        <v>84</v>
      </c>
    </row>
    <row r="3014" spans="1:12" x14ac:dyDescent="0.25">
      <c r="A3014" s="40">
        <v>45994.186863425923</v>
      </c>
      <c r="B3014" t="s">
        <v>1818</v>
      </c>
      <c r="C3014" t="s">
        <v>1</v>
      </c>
      <c r="D3014" t="s">
        <v>250</v>
      </c>
      <c r="E3014" t="s">
        <v>1364</v>
      </c>
      <c r="F3014" t="s">
        <v>695</v>
      </c>
      <c r="G3014">
        <v>20000</v>
      </c>
      <c r="H3014">
        <v>4077</v>
      </c>
      <c r="I3014" t="s">
        <v>696</v>
      </c>
      <c r="K3014" t="s">
        <v>1465</v>
      </c>
      <c r="L3014">
        <v>36.4</v>
      </c>
    </row>
    <row r="3015" spans="1:12" x14ac:dyDescent="0.25">
      <c r="A3015" s="40">
        <v>45994.186863425923</v>
      </c>
      <c r="B3015" t="s">
        <v>1818</v>
      </c>
      <c r="C3015" t="s">
        <v>20</v>
      </c>
      <c r="D3015" t="s">
        <v>498</v>
      </c>
      <c r="E3015" t="s">
        <v>1364</v>
      </c>
      <c r="F3015" t="s">
        <v>695</v>
      </c>
      <c r="G3015">
        <v>30000</v>
      </c>
      <c r="H3015">
        <v>21993</v>
      </c>
      <c r="I3015" t="s">
        <v>696</v>
      </c>
      <c r="K3015" t="s">
        <v>1465</v>
      </c>
      <c r="L3015">
        <v>25.2</v>
      </c>
    </row>
    <row r="3016" spans="1:12" x14ac:dyDescent="0.25">
      <c r="A3016" s="40">
        <v>45994.186863425923</v>
      </c>
      <c r="B3016" t="s">
        <v>1818</v>
      </c>
      <c r="C3016" t="s">
        <v>456</v>
      </c>
      <c r="D3016" t="s">
        <v>457</v>
      </c>
      <c r="E3016" t="s">
        <v>1364</v>
      </c>
      <c r="F3016" t="s">
        <v>695</v>
      </c>
      <c r="G3016">
        <v>4000</v>
      </c>
      <c r="H3016">
        <v>291</v>
      </c>
      <c r="I3016" t="s">
        <v>696</v>
      </c>
      <c r="K3016" t="s">
        <v>1465</v>
      </c>
      <c r="L3016">
        <v>55.44</v>
      </c>
    </row>
    <row r="3017" spans="1:12" x14ac:dyDescent="0.25">
      <c r="A3017" s="40">
        <v>45994.186863425923</v>
      </c>
      <c r="B3017" t="s">
        <v>1818</v>
      </c>
      <c r="C3017" t="s">
        <v>27</v>
      </c>
      <c r="D3017" t="s">
        <v>381</v>
      </c>
      <c r="E3017" t="s">
        <v>1364</v>
      </c>
      <c r="F3017" t="s">
        <v>695</v>
      </c>
      <c r="G3017">
        <v>50000</v>
      </c>
      <c r="H3017">
        <v>34366</v>
      </c>
      <c r="I3017" t="s">
        <v>696</v>
      </c>
      <c r="K3017" t="s">
        <v>1465</v>
      </c>
      <c r="L3017">
        <v>35</v>
      </c>
    </row>
    <row r="3018" spans="1:12" x14ac:dyDescent="0.25">
      <c r="A3018" s="40">
        <v>45994.186863425923</v>
      </c>
      <c r="B3018" t="s">
        <v>1818</v>
      </c>
      <c r="C3018" t="s">
        <v>12</v>
      </c>
      <c r="D3018" t="s">
        <v>432</v>
      </c>
      <c r="E3018" t="s">
        <v>1364</v>
      </c>
      <c r="F3018" t="s">
        <v>695</v>
      </c>
      <c r="G3018">
        <v>10000</v>
      </c>
      <c r="H3018">
        <v>9879</v>
      </c>
      <c r="I3018" t="s">
        <v>696</v>
      </c>
      <c r="K3018" t="s">
        <v>1465</v>
      </c>
      <c r="L3018">
        <v>9.8000000000000007</v>
      </c>
    </row>
    <row r="3019" spans="1:12" x14ac:dyDescent="0.25">
      <c r="A3019" s="40">
        <v>45994.186863425923</v>
      </c>
      <c r="B3019" t="s">
        <v>1818</v>
      </c>
      <c r="C3019" t="s">
        <v>96</v>
      </c>
      <c r="D3019" t="s">
        <v>406</v>
      </c>
      <c r="E3019" t="s">
        <v>1364</v>
      </c>
      <c r="F3019" t="s">
        <v>695</v>
      </c>
      <c r="G3019">
        <v>10000</v>
      </c>
      <c r="H3019">
        <v>4965</v>
      </c>
      <c r="I3019" t="s">
        <v>696</v>
      </c>
      <c r="K3019" t="s">
        <v>1465</v>
      </c>
      <c r="L3019">
        <v>8.4</v>
      </c>
    </row>
    <row r="3020" spans="1:12" x14ac:dyDescent="0.25">
      <c r="A3020" s="40">
        <v>45994.246215277781</v>
      </c>
      <c r="B3020" t="s">
        <v>1821</v>
      </c>
      <c r="C3020" t="s">
        <v>6</v>
      </c>
      <c r="D3020" t="s">
        <v>400</v>
      </c>
      <c r="E3020" t="s">
        <v>1364</v>
      </c>
      <c r="F3020" t="s">
        <v>1372</v>
      </c>
      <c r="G3020">
        <v>-880</v>
      </c>
      <c r="H3020">
        <v>4567</v>
      </c>
      <c r="K3020" t="s">
        <v>1383</v>
      </c>
    </row>
    <row r="3021" spans="1:12" x14ac:dyDescent="0.25">
      <c r="A3021" s="40">
        <v>45994.246215277781</v>
      </c>
      <c r="B3021" t="s">
        <v>1821</v>
      </c>
      <c r="C3021" t="s">
        <v>38</v>
      </c>
      <c r="D3021" t="s">
        <v>386</v>
      </c>
      <c r="E3021" t="s">
        <v>1364</v>
      </c>
      <c r="F3021" t="s">
        <v>1372</v>
      </c>
      <c r="G3021">
        <v>-880</v>
      </c>
      <c r="H3021">
        <v>23360</v>
      </c>
      <c r="K3021" t="s">
        <v>1383</v>
      </c>
    </row>
    <row r="3022" spans="1:12" x14ac:dyDescent="0.25">
      <c r="A3022" s="40">
        <v>45994.246215277781</v>
      </c>
      <c r="B3022" t="s">
        <v>1821</v>
      </c>
      <c r="C3022" t="s">
        <v>63</v>
      </c>
      <c r="D3022" t="s">
        <v>355</v>
      </c>
      <c r="E3022" t="s">
        <v>1364</v>
      </c>
      <c r="F3022" t="s">
        <v>1372</v>
      </c>
      <c r="G3022">
        <v>-60</v>
      </c>
      <c r="H3022">
        <v>484</v>
      </c>
      <c r="K3022" t="s">
        <v>1383</v>
      </c>
    </row>
    <row r="3023" spans="1:12" x14ac:dyDescent="0.25">
      <c r="A3023" s="40">
        <v>45994.246215277781</v>
      </c>
      <c r="B3023" t="s">
        <v>1821</v>
      </c>
      <c r="C3023" t="s">
        <v>95</v>
      </c>
      <c r="D3023" t="s">
        <v>405</v>
      </c>
      <c r="E3023" t="s">
        <v>1364</v>
      </c>
      <c r="F3023" t="s">
        <v>1372</v>
      </c>
      <c r="G3023">
        <v>-110</v>
      </c>
      <c r="H3023">
        <v>2765</v>
      </c>
      <c r="K3023" t="s">
        <v>1383</v>
      </c>
    </row>
    <row r="3024" spans="1:12" x14ac:dyDescent="0.25">
      <c r="A3024" s="40">
        <v>45994.246215277781</v>
      </c>
      <c r="B3024" t="s">
        <v>1821</v>
      </c>
      <c r="C3024" t="s">
        <v>85</v>
      </c>
      <c r="D3024" t="s">
        <v>320</v>
      </c>
      <c r="E3024" t="s">
        <v>1364</v>
      </c>
      <c r="F3024" t="s">
        <v>1372</v>
      </c>
      <c r="G3024">
        <v>-880</v>
      </c>
      <c r="H3024">
        <v>3975</v>
      </c>
      <c r="K3024" t="s">
        <v>1383</v>
      </c>
    </row>
    <row r="3025" spans="1:11" x14ac:dyDescent="0.25">
      <c r="A3025" s="40">
        <v>45994.246215277781</v>
      </c>
      <c r="B3025" t="s">
        <v>1821</v>
      </c>
      <c r="C3025" t="s">
        <v>62</v>
      </c>
      <c r="D3025" t="s">
        <v>354</v>
      </c>
      <c r="E3025" t="s">
        <v>1364</v>
      </c>
      <c r="F3025" t="s">
        <v>1372</v>
      </c>
      <c r="G3025">
        <v>-50</v>
      </c>
      <c r="H3025">
        <v>2718</v>
      </c>
      <c r="K3025" t="s">
        <v>1383</v>
      </c>
    </row>
    <row r="3026" spans="1:11" x14ac:dyDescent="0.25">
      <c r="A3026" s="40">
        <v>45996.223807870374</v>
      </c>
      <c r="B3026" t="s">
        <v>1822</v>
      </c>
      <c r="C3026" t="s">
        <v>1</v>
      </c>
      <c r="D3026" t="s">
        <v>250</v>
      </c>
      <c r="E3026" t="s">
        <v>1364</v>
      </c>
      <c r="F3026" t="s">
        <v>1372</v>
      </c>
      <c r="G3026">
        <v>-750</v>
      </c>
      <c r="H3026">
        <v>3327</v>
      </c>
      <c r="K3026" t="s">
        <v>1383</v>
      </c>
    </row>
    <row r="3027" spans="1:11" x14ac:dyDescent="0.25">
      <c r="A3027" s="40">
        <v>45996.223807870374</v>
      </c>
      <c r="B3027" t="s">
        <v>1822</v>
      </c>
      <c r="C3027" t="s">
        <v>27</v>
      </c>
      <c r="D3027" t="s">
        <v>381</v>
      </c>
      <c r="E3027" t="s">
        <v>1364</v>
      </c>
      <c r="F3027" t="s">
        <v>1372</v>
      </c>
      <c r="G3027">
        <v>-2990</v>
      </c>
      <c r="H3027">
        <v>31376</v>
      </c>
      <c r="I3027" s="19"/>
      <c r="K3027" t="s">
        <v>1383</v>
      </c>
    </row>
    <row r="3028" spans="1:11" x14ac:dyDescent="0.25">
      <c r="A3028" s="40">
        <v>45996.223807870374</v>
      </c>
      <c r="B3028" t="s">
        <v>1822</v>
      </c>
      <c r="C3028" t="s">
        <v>15</v>
      </c>
      <c r="D3028" t="s">
        <v>474</v>
      </c>
      <c r="E3028" t="s">
        <v>1364</v>
      </c>
      <c r="F3028" t="s">
        <v>1372</v>
      </c>
      <c r="G3028">
        <v>-90</v>
      </c>
      <c r="H3028">
        <v>10789</v>
      </c>
      <c r="K3028" t="s">
        <v>1383</v>
      </c>
    </row>
    <row r="3029" spans="1:11" x14ac:dyDescent="0.25">
      <c r="A3029" s="40">
        <v>45996.223807870374</v>
      </c>
      <c r="B3029" t="s">
        <v>1822</v>
      </c>
      <c r="C3029" t="s">
        <v>5</v>
      </c>
      <c r="D3029" t="s">
        <v>389</v>
      </c>
      <c r="E3029" t="s">
        <v>1364</v>
      </c>
      <c r="F3029" t="s">
        <v>1372</v>
      </c>
      <c r="G3029">
        <v>-630</v>
      </c>
      <c r="H3029">
        <v>521</v>
      </c>
      <c r="K3029" t="s">
        <v>1383</v>
      </c>
    </row>
    <row r="3030" spans="1:11" x14ac:dyDescent="0.25">
      <c r="A3030" s="40">
        <v>45996.223807870374</v>
      </c>
      <c r="B3030" t="s">
        <v>1822</v>
      </c>
      <c r="C3030" t="s">
        <v>24</v>
      </c>
      <c r="D3030" t="s">
        <v>378</v>
      </c>
      <c r="E3030" t="s">
        <v>1364</v>
      </c>
      <c r="F3030" t="s">
        <v>1372</v>
      </c>
      <c r="G3030">
        <v>-50</v>
      </c>
      <c r="H3030">
        <v>18435</v>
      </c>
      <c r="K3030" t="s">
        <v>1383</v>
      </c>
    </row>
    <row r="3031" spans="1:11" x14ac:dyDescent="0.25">
      <c r="A3031" s="40">
        <v>45996.223807870374</v>
      </c>
      <c r="B3031" t="s">
        <v>1822</v>
      </c>
      <c r="C3031" t="s">
        <v>7</v>
      </c>
      <c r="D3031" t="s">
        <v>307</v>
      </c>
      <c r="E3031" t="s">
        <v>1364</v>
      </c>
      <c r="F3031" t="s">
        <v>1372</v>
      </c>
      <c r="G3031">
        <v>-280</v>
      </c>
      <c r="H3031">
        <v>227</v>
      </c>
      <c r="K3031" t="s">
        <v>1383</v>
      </c>
    </row>
    <row r="3032" spans="1:11" x14ac:dyDescent="0.25">
      <c r="A3032" s="40">
        <v>45996.223807870374</v>
      </c>
      <c r="B3032" t="s">
        <v>1822</v>
      </c>
      <c r="C3032" t="s">
        <v>20</v>
      </c>
      <c r="D3032" t="s">
        <v>498</v>
      </c>
      <c r="E3032" t="s">
        <v>1364</v>
      </c>
      <c r="F3032" t="s">
        <v>1372</v>
      </c>
      <c r="G3032">
        <v>-1330</v>
      </c>
      <c r="H3032">
        <v>20663</v>
      </c>
      <c r="K3032" t="s">
        <v>1383</v>
      </c>
    </row>
    <row r="3033" spans="1:11" x14ac:dyDescent="0.25">
      <c r="A3033" s="40">
        <v>45996.223807870374</v>
      </c>
      <c r="B3033" t="s">
        <v>1822</v>
      </c>
      <c r="C3033" t="s">
        <v>60</v>
      </c>
      <c r="D3033" t="s">
        <v>350</v>
      </c>
      <c r="E3033" t="s">
        <v>1364</v>
      </c>
      <c r="F3033" t="s">
        <v>1372</v>
      </c>
      <c r="G3033">
        <v>-380</v>
      </c>
      <c r="H3033">
        <v>2265</v>
      </c>
      <c r="K3033" t="s">
        <v>1383</v>
      </c>
    </row>
    <row r="3034" spans="1:11" x14ac:dyDescent="0.25">
      <c r="A3034" s="40">
        <v>45996.223807870374</v>
      </c>
      <c r="B3034" t="s">
        <v>1822</v>
      </c>
      <c r="C3034" t="s">
        <v>63</v>
      </c>
      <c r="D3034" t="s">
        <v>355</v>
      </c>
      <c r="E3034" t="s">
        <v>1364</v>
      </c>
      <c r="F3034" t="s">
        <v>1372</v>
      </c>
      <c r="G3034">
        <v>-50</v>
      </c>
      <c r="H3034">
        <v>434</v>
      </c>
      <c r="K3034" t="s">
        <v>1383</v>
      </c>
    </row>
    <row r="3035" spans="1:11" x14ac:dyDescent="0.25">
      <c r="A3035" s="40">
        <v>45996.223807870374</v>
      </c>
      <c r="B3035" t="s">
        <v>1822</v>
      </c>
      <c r="C3035" t="s">
        <v>82</v>
      </c>
      <c r="D3035" t="s">
        <v>318</v>
      </c>
      <c r="E3035" t="s">
        <v>1364</v>
      </c>
      <c r="F3035" t="s">
        <v>1372</v>
      </c>
      <c r="G3035">
        <v>-50</v>
      </c>
      <c r="H3035">
        <v>9939</v>
      </c>
      <c r="K3035" t="s">
        <v>1383</v>
      </c>
    </row>
    <row r="3036" spans="1:11" x14ac:dyDescent="0.25">
      <c r="A3036" s="40">
        <v>45996.223807870374</v>
      </c>
      <c r="B3036" t="s">
        <v>1822</v>
      </c>
      <c r="C3036" t="s">
        <v>68</v>
      </c>
      <c r="D3036" t="s">
        <v>374</v>
      </c>
      <c r="E3036" t="s">
        <v>1364</v>
      </c>
      <c r="F3036" t="s">
        <v>1372</v>
      </c>
      <c r="G3036">
        <v>-690</v>
      </c>
      <c r="H3036">
        <v>5317</v>
      </c>
      <c r="K3036" t="s">
        <v>1383</v>
      </c>
    </row>
    <row r="3037" spans="1:11" x14ac:dyDescent="0.25">
      <c r="A3037" s="40">
        <v>45996.223807870374</v>
      </c>
      <c r="B3037" t="s">
        <v>1822</v>
      </c>
      <c r="C3037" t="s">
        <v>29</v>
      </c>
      <c r="D3037" t="s">
        <v>383</v>
      </c>
      <c r="E3037" t="s">
        <v>1364</v>
      </c>
      <c r="F3037" t="s">
        <v>1372</v>
      </c>
      <c r="G3037">
        <v>-90</v>
      </c>
      <c r="H3037">
        <v>7981</v>
      </c>
      <c r="K3037" t="s">
        <v>1383</v>
      </c>
    </row>
    <row r="3038" spans="1:11" x14ac:dyDescent="0.25">
      <c r="A3038" s="40">
        <v>45996.223807870374</v>
      </c>
      <c r="B3038" t="s">
        <v>1822</v>
      </c>
      <c r="C3038" t="s">
        <v>292</v>
      </c>
      <c r="D3038" t="s">
        <v>293</v>
      </c>
      <c r="E3038" t="s">
        <v>1364</v>
      </c>
      <c r="F3038" t="s">
        <v>1372</v>
      </c>
      <c r="G3038">
        <v>-350</v>
      </c>
      <c r="H3038">
        <v>5510</v>
      </c>
      <c r="K3038" t="s">
        <v>1383</v>
      </c>
    </row>
    <row r="3039" spans="1:11" x14ac:dyDescent="0.25">
      <c r="A3039" s="40">
        <v>45996.223807870374</v>
      </c>
      <c r="B3039" t="s">
        <v>1822</v>
      </c>
      <c r="C3039" t="s">
        <v>69</v>
      </c>
      <c r="D3039" t="s">
        <v>375</v>
      </c>
      <c r="E3039" t="s">
        <v>1364</v>
      </c>
      <c r="F3039" t="s">
        <v>1372</v>
      </c>
      <c r="G3039">
        <v>-660</v>
      </c>
      <c r="H3039">
        <v>5825</v>
      </c>
      <c r="K3039" t="s">
        <v>1383</v>
      </c>
    </row>
    <row r="3040" spans="1:11" x14ac:dyDescent="0.25">
      <c r="A3040" s="40">
        <v>45996.223807870374</v>
      </c>
      <c r="B3040" t="s">
        <v>1822</v>
      </c>
      <c r="C3040" t="s">
        <v>3</v>
      </c>
      <c r="D3040" t="s">
        <v>287</v>
      </c>
      <c r="E3040" t="s">
        <v>1364</v>
      </c>
      <c r="F3040" t="s">
        <v>1372</v>
      </c>
      <c r="G3040">
        <v>-1240</v>
      </c>
      <c r="H3040">
        <v>10604</v>
      </c>
      <c r="K3040" t="s">
        <v>1383</v>
      </c>
    </row>
    <row r="3041" spans="1:12" x14ac:dyDescent="0.25">
      <c r="A3041" s="40">
        <v>45996.223807870374</v>
      </c>
      <c r="B3041" t="s">
        <v>1822</v>
      </c>
      <c r="C3041" t="s">
        <v>1750</v>
      </c>
      <c r="E3041" t="s">
        <v>1365</v>
      </c>
      <c r="F3041" t="s">
        <v>1372</v>
      </c>
      <c r="G3041">
        <v>-35</v>
      </c>
      <c r="H3041">
        <v>1444</v>
      </c>
      <c r="K3041" t="s">
        <v>1383</v>
      </c>
    </row>
    <row r="3042" spans="1:12" x14ac:dyDescent="0.25">
      <c r="A3042" s="40">
        <v>45996.223807870374</v>
      </c>
      <c r="B3042" t="s">
        <v>1822</v>
      </c>
      <c r="C3042" t="s">
        <v>89</v>
      </c>
      <c r="D3042" t="s">
        <v>359</v>
      </c>
      <c r="E3042" t="s">
        <v>1364</v>
      </c>
      <c r="F3042" t="s">
        <v>1372</v>
      </c>
      <c r="G3042">
        <v>-155</v>
      </c>
      <c r="H3042">
        <v>1330</v>
      </c>
      <c r="K3042" t="s">
        <v>1383</v>
      </c>
    </row>
    <row r="3043" spans="1:12" x14ac:dyDescent="0.25">
      <c r="A3043" s="40">
        <v>45996.223807870374</v>
      </c>
      <c r="B3043" t="s">
        <v>1822</v>
      </c>
      <c r="C3043" t="s">
        <v>296</v>
      </c>
      <c r="D3043" t="s">
        <v>297</v>
      </c>
      <c r="E3043" t="s">
        <v>1364</v>
      </c>
      <c r="F3043" t="s">
        <v>1372</v>
      </c>
      <c r="G3043">
        <v>-185</v>
      </c>
      <c r="H3043">
        <v>2358</v>
      </c>
      <c r="K3043" t="s">
        <v>1383</v>
      </c>
    </row>
    <row r="3044" spans="1:12" x14ac:dyDescent="0.25">
      <c r="A3044" s="40">
        <v>45996.223807870374</v>
      </c>
      <c r="B3044" t="s">
        <v>1822</v>
      </c>
      <c r="C3044" t="s">
        <v>56</v>
      </c>
      <c r="D3044" t="s">
        <v>313</v>
      </c>
      <c r="E3044" t="s">
        <v>1364</v>
      </c>
      <c r="F3044" t="s">
        <v>1372</v>
      </c>
      <c r="G3044">
        <v>-50</v>
      </c>
      <c r="H3044">
        <v>1997</v>
      </c>
      <c r="K3044" t="s">
        <v>1383</v>
      </c>
    </row>
    <row r="3045" spans="1:12" x14ac:dyDescent="0.25">
      <c r="A3045" s="40">
        <v>45996.223807870374</v>
      </c>
      <c r="B3045" t="s">
        <v>1822</v>
      </c>
      <c r="C3045" t="s">
        <v>230</v>
      </c>
      <c r="D3045" t="s">
        <v>255</v>
      </c>
      <c r="E3045" t="s">
        <v>1364</v>
      </c>
      <c r="F3045" t="s">
        <v>1372</v>
      </c>
      <c r="G3045">
        <v>-50</v>
      </c>
      <c r="H3045">
        <v>2719</v>
      </c>
      <c r="K3045" t="s">
        <v>1383</v>
      </c>
    </row>
    <row r="3046" spans="1:12" x14ac:dyDescent="0.25">
      <c r="A3046" s="40">
        <v>45996.223807870374</v>
      </c>
      <c r="B3046" t="s">
        <v>1822</v>
      </c>
      <c r="C3046" t="s">
        <v>1353</v>
      </c>
      <c r="E3046" t="s">
        <v>1365</v>
      </c>
      <c r="F3046" t="s">
        <v>1372</v>
      </c>
      <c r="G3046">
        <v>-470</v>
      </c>
      <c r="H3046">
        <v>769</v>
      </c>
      <c r="K3046" t="s">
        <v>1383</v>
      </c>
    </row>
    <row r="3047" spans="1:12" x14ac:dyDescent="0.25">
      <c r="A3047" s="40">
        <v>45996.223807870374</v>
      </c>
      <c r="B3047" t="s">
        <v>1822</v>
      </c>
      <c r="C3047" t="s">
        <v>420</v>
      </c>
      <c r="D3047" t="s">
        <v>421</v>
      </c>
      <c r="E3047" t="s">
        <v>1364</v>
      </c>
      <c r="F3047" t="s">
        <v>1372</v>
      </c>
      <c r="G3047">
        <v>-185</v>
      </c>
      <c r="H3047">
        <v>7394</v>
      </c>
      <c r="K3047" t="s">
        <v>1383</v>
      </c>
    </row>
    <row r="3048" spans="1:12" x14ac:dyDescent="0.25">
      <c r="A3048" s="40">
        <v>45996.223807870374</v>
      </c>
      <c r="B3048" t="s">
        <v>1822</v>
      </c>
      <c r="C3048" t="s">
        <v>441</v>
      </c>
      <c r="D3048" t="s">
        <v>442</v>
      </c>
      <c r="E3048" t="s">
        <v>1364</v>
      </c>
      <c r="F3048" t="s">
        <v>1372</v>
      </c>
      <c r="G3048">
        <v>-50</v>
      </c>
      <c r="H3048">
        <v>1133</v>
      </c>
      <c r="K3048" t="s">
        <v>1383</v>
      </c>
    </row>
    <row r="3049" spans="1:12" x14ac:dyDescent="0.25">
      <c r="A3049" s="40">
        <v>45996.223807870374</v>
      </c>
      <c r="B3049" t="s">
        <v>1822</v>
      </c>
      <c r="C3049" t="s">
        <v>428</v>
      </c>
      <c r="D3049" t="s">
        <v>429</v>
      </c>
      <c r="E3049" t="s">
        <v>1364</v>
      </c>
      <c r="F3049" t="s">
        <v>1372</v>
      </c>
      <c r="G3049">
        <v>-1180</v>
      </c>
      <c r="H3049">
        <v>4029</v>
      </c>
      <c r="K3049" t="s">
        <v>1383</v>
      </c>
    </row>
    <row r="3050" spans="1:12" x14ac:dyDescent="0.25">
      <c r="A3050" s="40">
        <v>45996.223807870374</v>
      </c>
      <c r="B3050" t="s">
        <v>1822</v>
      </c>
      <c r="C3050" t="s">
        <v>18</v>
      </c>
      <c r="D3050" t="s">
        <v>487</v>
      </c>
      <c r="E3050" t="s">
        <v>1364</v>
      </c>
      <c r="F3050" t="s">
        <v>1372</v>
      </c>
      <c r="G3050">
        <v>-690</v>
      </c>
      <c r="H3050">
        <v>1070</v>
      </c>
      <c r="K3050" t="s">
        <v>1383</v>
      </c>
    </row>
    <row r="3051" spans="1:12" x14ac:dyDescent="0.25">
      <c r="A3051" s="40">
        <v>45996.223807870374</v>
      </c>
      <c r="B3051" t="s">
        <v>1822</v>
      </c>
      <c r="C3051" t="s">
        <v>1763</v>
      </c>
      <c r="D3051" t="s">
        <v>1793</v>
      </c>
      <c r="E3051" t="s">
        <v>1364</v>
      </c>
      <c r="F3051" t="s">
        <v>1372</v>
      </c>
      <c r="G3051">
        <v>-50</v>
      </c>
      <c r="H3051">
        <v>1651</v>
      </c>
      <c r="K3051" t="s">
        <v>1383</v>
      </c>
    </row>
    <row r="3052" spans="1:12" x14ac:dyDescent="0.25">
      <c r="A3052" s="40">
        <v>45996.223807870374</v>
      </c>
      <c r="B3052" t="s">
        <v>1822</v>
      </c>
      <c r="C3052" t="s">
        <v>61</v>
      </c>
      <c r="D3052" t="s">
        <v>353</v>
      </c>
      <c r="E3052" t="s">
        <v>1364</v>
      </c>
      <c r="F3052" t="s">
        <v>1372</v>
      </c>
      <c r="G3052">
        <v>-600</v>
      </c>
      <c r="H3052">
        <v>5463</v>
      </c>
      <c r="K3052" t="s">
        <v>1383</v>
      </c>
    </row>
    <row r="3053" spans="1:12" x14ac:dyDescent="0.25">
      <c r="A3053" s="40">
        <v>45996.223807870374</v>
      </c>
      <c r="B3053" t="s">
        <v>1822</v>
      </c>
      <c r="C3053" t="s">
        <v>456</v>
      </c>
      <c r="D3053" t="s">
        <v>457</v>
      </c>
      <c r="E3053" t="s">
        <v>1364</v>
      </c>
      <c r="F3053" t="s">
        <v>1372</v>
      </c>
      <c r="G3053">
        <v>-600</v>
      </c>
      <c r="H3053">
        <v>-309</v>
      </c>
      <c r="K3053" t="s">
        <v>1383</v>
      </c>
    </row>
    <row r="3054" spans="1:12" x14ac:dyDescent="0.25">
      <c r="A3054" s="40">
        <v>45996.223807870374</v>
      </c>
      <c r="B3054" t="s">
        <v>1822</v>
      </c>
      <c r="C3054" t="s">
        <v>1751</v>
      </c>
      <c r="D3054" t="s">
        <v>1791</v>
      </c>
      <c r="E3054" t="s">
        <v>1364</v>
      </c>
      <c r="F3054" t="s">
        <v>1372</v>
      </c>
      <c r="G3054">
        <v>-35</v>
      </c>
      <c r="H3054">
        <v>968</v>
      </c>
      <c r="K3054" t="s">
        <v>1383</v>
      </c>
    </row>
    <row r="3055" spans="1:12" x14ac:dyDescent="0.25">
      <c r="A3055" s="40">
        <v>45997.248368055552</v>
      </c>
      <c r="B3055" t="s">
        <v>1822</v>
      </c>
      <c r="C3055" t="s">
        <v>1823</v>
      </c>
      <c r="E3055" t="s">
        <v>1364</v>
      </c>
      <c r="F3055" t="s">
        <v>695</v>
      </c>
      <c r="G3055">
        <v>3000</v>
      </c>
      <c r="H3055">
        <v>3000</v>
      </c>
      <c r="I3055" t="s">
        <v>696</v>
      </c>
      <c r="J3055" t="s">
        <v>1752</v>
      </c>
      <c r="K3055" t="s">
        <v>1465</v>
      </c>
      <c r="L3055">
        <v>475.44</v>
      </c>
    </row>
    <row r="3056" spans="1:12" x14ac:dyDescent="0.25">
      <c r="A3056" s="40">
        <v>45997.248368055552</v>
      </c>
      <c r="B3056" t="s">
        <v>1822</v>
      </c>
      <c r="C3056" t="s">
        <v>1823</v>
      </c>
      <c r="E3056" t="s">
        <v>1364</v>
      </c>
      <c r="F3056" t="s">
        <v>1372</v>
      </c>
      <c r="G3056">
        <v>-35</v>
      </c>
      <c r="H3056">
        <v>2965</v>
      </c>
      <c r="K3056" t="s">
        <v>1465</v>
      </c>
    </row>
    <row r="3057" spans="1:12" x14ac:dyDescent="0.25">
      <c r="A3057" s="40">
        <v>45997.248368055552</v>
      </c>
      <c r="B3057" t="s">
        <v>1822</v>
      </c>
      <c r="C3057" t="s">
        <v>456</v>
      </c>
      <c r="D3057" t="s">
        <v>457</v>
      </c>
      <c r="E3057" t="s">
        <v>1364</v>
      </c>
      <c r="F3057" t="s">
        <v>695</v>
      </c>
      <c r="G3057">
        <v>2000</v>
      </c>
      <c r="H3057">
        <v>1691</v>
      </c>
      <c r="I3057" t="s">
        <v>696</v>
      </c>
      <c r="K3057" t="s">
        <v>1465</v>
      </c>
      <c r="L3057">
        <v>31.08</v>
      </c>
    </row>
    <row r="3058" spans="1:12" x14ac:dyDescent="0.25">
      <c r="A3058" s="40">
        <v>46006.537048611113</v>
      </c>
      <c r="B3058" t="s">
        <v>1827</v>
      </c>
      <c r="C3058" t="s">
        <v>324</v>
      </c>
      <c r="D3058" t="s">
        <v>325</v>
      </c>
      <c r="E3058" t="s">
        <v>1364</v>
      </c>
      <c r="F3058" t="s">
        <v>1372</v>
      </c>
      <c r="G3058">
        <v>-28</v>
      </c>
      <c r="H3058">
        <v>810</v>
      </c>
      <c r="K3058" t="s">
        <v>1383</v>
      </c>
    </row>
    <row r="3059" spans="1:12" x14ac:dyDescent="0.25">
      <c r="A3059" s="40">
        <v>46006.537048611113</v>
      </c>
      <c r="B3059" t="s">
        <v>1827</v>
      </c>
      <c r="C3059" t="s">
        <v>24</v>
      </c>
      <c r="D3059" t="s">
        <v>378</v>
      </c>
      <c r="E3059" t="s">
        <v>1364</v>
      </c>
      <c r="F3059" t="s">
        <v>1372</v>
      </c>
      <c r="G3059">
        <v>-28</v>
      </c>
      <c r="H3059">
        <v>18407</v>
      </c>
      <c r="K3059" t="s">
        <v>1383</v>
      </c>
    </row>
    <row r="3060" spans="1:12" x14ac:dyDescent="0.25">
      <c r="A3060" s="40">
        <v>46006.537048611113</v>
      </c>
      <c r="B3060" t="s">
        <v>1827</v>
      </c>
      <c r="C3060" t="s">
        <v>1</v>
      </c>
      <c r="D3060" t="s">
        <v>250</v>
      </c>
      <c r="E3060" t="s">
        <v>1364</v>
      </c>
      <c r="F3060" t="s">
        <v>1372</v>
      </c>
      <c r="G3060">
        <v>-28</v>
      </c>
      <c r="H3060">
        <v>3299</v>
      </c>
      <c r="K3060" t="s">
        <v>1383</v>
      </c>
    </row>
    <row r="3061" spans="1:12" x14ac:dyDescent="0.25">
      <c r="A3061" s="40">
        <v>46006.537048611113</v>
      </c>
      <c r="B3061" t="s">
        <v>1827</v>
      </c>
      <c r="C3061" t="s">
        <v>27</v>
      </c>
      <c r="D3061" t="s">
        <v>381</v>
      </c>
      <c r="E3061" t="s">
        <v>1364</v>
      </c>
      <c r="F3061" t="s">
        <v>1372</v>
      </c>
      <c r="G3061">
        <v>-28</v>
      </c>
      <c r="H3061">
        <v>31348</v>
      </c>
      <c r="K3061" t="s">
        <v>1383</v>
      </c>
    </row>
    <row r="3062" spans="1:12" x14ac:dyDescent="0.25">
      <c r="A3062" s="40">
        <v>46007.30395833333</v>
      </c>
      <c r="B3062" t="s">
        <v>1828</v>
      </c>
      <c r="C3062" t="s">
        <v>1751</v>
      </c>
      <c r="D3062" t="s">
        <v>1791</v>
      </c>
      <c r="E3062" t="s">
        <v>1364</v>
      </c>
      <c r="F3062" t="s">
        <v>1372</v>
      </c>
      <c r="G3062">
        <v>-26</v>
      </c>
      <c r="H3062">
        <v>942</v>
      </c>
      <c r="K3062" t="s">
        <v>1383</v>
      </c>
    </row>
    <row r="3063" spans="1:12" x14ac:dyDescent="0.25">
      <c r="A3063" s="40">
        <v>46007.30395833333</v>
      </c>
      <c r="B3063" t="s">
        <v>1828</v>
      </c>
      <c r="C3063" t="s">
        <v>1483</v>
      </c>
      <c r="E3063" t="s">
        <v>1365</v>
      </c>
      <c r="F3063" t="s">
        <v>1372</v>
      </c>
      <c r="G3063">
        <v>-25</v>
      </c>
      <c r="H3063">
        <v>-27</v>
      </c>
      <c r="K3063" t="s">
        <v>1383</v>
      </c>
    </row>
    <row r="3064" spans="1:12" x14ac:dyDescent="0.25">
      <c r="A3064" s="40">
        <v>46007.30395833333</v>
      </c>
      <c r="B3064" t="s">
        <v>1828</v>
      </c>
      <c r="C3064" t="s">
        <v>302</v>
      </c>
      <c r="D3064" t="s">
        <v>303</v>
      </c>
      <c r="E3064" t="s">
        <v>1364</v>
      </c>
      <c r="F3064" t="s">
        <v>1372</v>
      </c>
      <c r="G3064">
        <v>-43</v>
      </c>
      <c r="H3064">
        <v>2497</v>
      </c>
      <c r="K3064" t="s">
        <v>1383</v>
      </c>
    </row>
    <row r="3065" spans="1:12" x14ac:dyDescent="0.25">
      <c r="A3065" s="40">
        <v>46007.30395833333</v>
      </c>
      <c r="B3065" t="s">
        <v>1828</v>
      </c>
      <c r="C3065" t="s">
        <v>267</v>
      </c>
      <c r="D3065" t="s">
        <v>268</v>
      </c>
      <c r="E3065" t="s">
        <v>1364</v>
      </c>
      <c r="F3065" t="s">
        <v>1372</v>
      </c>
      <c r="G3065">
        <v>-66</v>
      </c>
      <c r="H3065">
        <v>311</v>
      </c>
      <c r="K3065" t="s">
        <v>1383</v>
      </c>
    </row>
    <row r="3066" spans="1:12" x14ac:dyDescent="0.25">
      <c r="A3066" s="40">
        <v>46007.30395833333</v>
      </c>
      <c r="B3066" t="s">
        <v>1828</v>
      </c>
      <c r="C3066" t="s">
        <v>230</v>
      </c>
      <c r="D3066" t="s">
        <v>255</v>
      </c>
      <c r="E3066" t="s">
        <v>1364</v>
      </c>
      <c r="F3066" t="s">
        <v>1372</v>
      </c>
      <c r="G3066">
        <v>-99</v>
      </c>
      <c r="H3066">
        <v>2620</v>
      </c>
      <c r="K3066" t="s">
        <v>1383</v>
      </c>
    </row>
    <row r="3067" spans="1:12" x14ac:dyDescent="0.25">
      <c r="A3067" s="40">
        <v>46007.30395833333</v>
      </c>
      <c r="B3067" t="s">
        <v>1828</v>
      </c>
      <c r="C3067" t="s">
        <v>322</v>
      </c>
      <c r="D3067" t="s">
        <v>323</v>
      </c>
      <c r="E3067" t="s">
        <v>1364</v>
      </c>
      <c r="F3067" t="s">
        <v>1372</v>
      </c>
      <c r="G3067">
        <v>-196</v>
      </c>
      <c r="H3067">
        <v>2515</v>
      </c>
      <c r="K3067" t="s">
        <v>1383</v>
      </c>
    </row>
    <row r="3068" spans="1:12" x14ac:dyDescent="0.25">
      <c r="A3068" s="40">
        <v>46007.30395833333</v>
      </c>
      <c r="B3068" t="s">
        <v>1828</v>
      </c>
      <c r="C3068" t="s">
        <v>412</v>
      </c>
      <c r="D3068" t="s">
        <v>413</v>
      </c>
      <c r="E3068" t="s">
        <v>1364</v>
      </c>
      <c r="F3068" t="s">
        <v>1372</v>
      </c>
      <c r="G3068">
        <v>-66</v>
      </c>
      <c r="H3068">
        <v>2275</v>
      </c>
      <c r="K3068" t="s">
        <v>1383</v>
      </c>
    </row>
    <row r="3069" spans="1:12" x14ac:dyDescent="0.25">
      <c r="A3069" s="40">
        <v>46007.30395833333</v>
      </c>
      <c r="B3069" t="s">
        <v>1828</v>
      </c>
      <c r="C3069" t="s">
        <v>437</v>
      </c>
      <c r="D3069" t="s">
        <v>438</v>
      </c>
      <c r="E3069" t="s">
        <v>1364</v>
      </c>
      <c r="F3069" t="s">
        <v>1372</v>
      </c>
      <c r="G3069">
        <v>-43</v>
      </c>
      <c r="H3069">
        <v>2407</v>
      </c>
      <c r="K3069" t="s">
        <v>1383</v>
      </c>
    </row>
    <row r="3070" spans="1:12" x14ac:dyDescent="0.25">
      <c r="A3070" s="40">
        <v>46007.30395833333</v>
      </c>
      <c r="B3070" t="s">
        <v>1828</v>
      </c>
      <c r="C3070" t="s">
        <v>435</v>
      </c>
      <c r="D3070" t="s">
        <v>436</v>
      </c>
      <c r="E3070" t="s">
        <v>1364</v>
      </c>
      <c r="F3070" t="s">
        <v>1372</v>
      </c>
      <c r="G3070">
        <v>-99</v>
      </c>
      <c r="H3070">
        <v>3967</v>
      </c>
      <c r="K3070" t="s">
        <v>1383</v>
      </c>
    </row>
    <row r="3071" spans="1:12" x14ac:dyDescent="0.25">
      <c r="A3071" s="40">
        <v>46007.30395833333</v>
      </c>
      <c r="B3071" t="s">
        <v>1828</v>
      </c>
      <c r="C3071" t="s">
        <v>260</v>
      </c>
      <c r="D3071" t="s">
        <v>261</v>
      </c>
      <c r="E3071" t="s">
        <v>1364</v>
      </c>
      <c r="F3071" t="s">
        <v>1372</v>
      </c>
      <c r="G3071">
        <v>-196</v>
      </c>
      <c r="H3071">
        <v>3534</v>
      </c>
      <c r="K3071" t="s">
        <v>1383</v>
      </c>
    </row>
    <row r="3072" spans="1:12" x14ac:dyDescent="0.25">
      <c r="A3072" s="40">
        <v>46007.30395833333</v>
      </c>
      <c r="B3072" t="s">
        <v>1828</v>
      </c>
      <c r="C3072" t="s">
        <v>61</v>
      </c>
      <c r="D3072" t="s">
        <v>353</v>
      </c>
      <c r="E3072" t="s">
        <v>1364</v>
      </c>
      <c r="F3072" t="s">
        <v>1372</v>
      </c>
      <c r="G3072">
        <v>-173</v>
      </c>
      <c r="H3072">
        <v>5290</v>
      </c>
      <c r="K3072" t="s">
        <v>1383</v>
      </c>
    </row>
    <row r="3073" spans="1:11" x14ac:dyDescent="0.25">
      <c r="A3073" s="40">
        <v>46007.30395833333</v>
      </c>
      <c r="B3073" t="s">
        <v>1828</v>
      </c>
      <c r="C3073" t="s">
        <v>277</v>
      </c>
      <c r="D3073" t="s">
        <v>278</v>
      </c>
      <c r="E3073" t="s">
        <v>1364</v>
      </c>
      <c r="F3073" t="s">
        <v>1372</v>
      </c>
      <c r="G3073">
        <v>-66</v>
      </c>
      <c r="H3073">
        <v>2168</v>
      </c>
      <c r="K3073" t="s">
        <v>1383</v>
      </c>
    </row>
    <row r="3074" spans="1:11" x14ac:dyDescent="0.25">
      <c r="A3074" s="40">
        <v>46007.30395833333</v>
      </c>
      <c r="B3074" t="s">
        <v>1828</v>
      </c>
      <c r="C3074" t="s">
        <v>479</v>
      </c>
      <c r="D3074" t="s">
        <v>480</v>
      </c>
      <c r="E3074" t="s">
        <v>1364</v>
      </c>
      <c r="F3074" t="s">
        <v>1372</v>
      </c>
      <c r="G3074">
        <v>-43</v>
      </c>
      <c r="H3074">
        <v>2772</v>
      </c>
      <c r="K3074" t="s">
        <v>1383</v>
      </c>
    </row>
    <row r="3075" spans="1:11" x14ac:dyDescent="0.25">
      <c r="A3075" s="40">
        <v>46007.30395833333</v>
      </c>
      <c r="B3075" t="s">
        <v>1828</v>
      </c>
      <c r="C3075" t="s">
        <v>65</v>
      </c>
      <c r="D3075" t="s">
        <v>347</v>
      </c>
      <c r="E3075" t="s">
        <v>1364</v>
      </c>
      <c r="F3075" t="s">
        <v>1372</v>
      </c>
      <c r="G3075">
        <v>-43</v>
      </c>
      <c r="H3075">
        <v>2323</v>
      </c>
      <c r="K3075" t="s">
        <v>1383</v>
      </c>
    </row>
    <row r="3076" spans="1:11" x14ac:dyDescent="0.25">
      <c r="A3076" s="40">
        <v>46007.30395833333</v>
      </c>
      <c r="B3076" t="s">
        <v>1828</v>
      </c>
      <c r="C3076" t="s">
        <v>66</v>
      </c>
      <c r="D3076" t="s">
        <v>357</v>
      </c>
      <c r="E3076" t="s">
        <v>1364</v>
      </c>
      <c r="F3076" t="s">
        <v>1372</v>
      </c>
      <c r="G3076">
        <v>-270</v>
      </c>
      <c r="H3076">
        <v>3015</v>
      </c>
      <c r="K3076" t="s">
        <v>1383</v>
      </c>
    </row>
    <row r="3077" spans="1:11" x14ac:dyDescent="0.25">
      <c r="A3077" s="40">
        <v>46007.30395833333</v>
      </c>
      <c r="B3077" t="s">
        <v>1828</v>
      </c>
      <c r="C3077" t="s">
        <v>693</v>
      </c>
      <c r="D3077" t="s">
        <v>701</v>
      </c>
      <c r="E3077" t="s">
        <v>1364</v>
      </c>
      <c r="F3077" t="s">
        <v>1372</v>
      </c>
      <c r="G3077">
        <v>-43</v>
      </c>
      <c r="H3077">
        <v>719</v>
      </c>
      <c r="K3077" t="s">
        <v>1383</v>
      </c>
    </row>
    <row r="3078" spans="1:11" x14ac:dyDescent="0.25">
      <c r="A3078" s="40">
        <v>46007.30395833333</v>
      </c>
      <c r="B3078" t="s">
        <v>1828</v>
      </c>
      <c r="C3078" t="s">
        <v>339</v>
      </c>
      <c r="D3078" t="s">
        <v>340</v>
      </c>
      <c r="E3078" t="s">
        <v>1364</v>
      </c>
      <c r="F3078" t="s">
        <v>1372</v>
      </c>
      <c r="G3078">
        <v>-66</v>
      </c>
      <c r="H3078">
        <v>1844</v>
      </c>
      <c r="K3078" t="s">
        <v>1383</v>
      </c>
    </row>
    <row r="3079" spans="1:11" x14ac:dyDescent="0.25">
      <c r="A3079" s="40">
        <v>46007.30395833333</v>
      </c>
      <c r="B3079" t="s">
        <v>1828</v>
      </c>
      <c r="C3079" t="s">
        <v>275</v>
      </c>
      <c r="D3079" t="s">
        <v>276</v>
      </c>
      <c r="E3079" t="s">
        <v>1364</v>
      </c>
      <c r="F3079" t="s">
        <v>1372</v>
      </c>
      <c r="G3079">
        <v>-43</v>
      </c>
      <c r="H3079">
        <v>2078</v>
      </c>
      <c r="K3079" t="s">
        <v>1383</v>
      </c>
    </row>
    <row r="3080" spans="1:11" x14ac:dyDescent="0.25">
      <c r="A3080" s="40">
        <v>46007.30395833333</v>
      </c>
      <c r="B3080" t="s">
        <v>1828</v>
      </c>
      <c r="C3080" t="s">
        <v>1353</v>
      </c>
      <c r="E3080" t="s">
        <v>1365</v>
      </c>
      <c r="F3080" t="s">
        <v>1372</v>
      </c>
      <c r="G3080">
        <v>-48</v>
      </c>
      <c r="H3080">
        <v>721</v>
      </c>
      <c r="K3080" t="s">
        <v>1383</v>
      </c>
    </row>
    <row r="3081" spans="1:11" x14ac:dyDescent="0.25">
      <c r="A3081" s="40">
        <v>46007.30395833333</v>
      </c>
      <c r="B3081" t="s">
        <v>1828</v>
      </c>
      <c r="C3081" t="s">
        <v>46</v>
      </c>
      <c r="D3081" t="s">
        <v>394</v>
      </c>
      <c r="E3081" t="s">
        <v>1364</v>
      </c>
      <c r="F3081" t="s">
        <v>1372</v>
      </c>
      <c r="G3081">
        <v>-43</v>
      </c>
      <c r="H3081">
        <v>3265</v>
      </c>
      <c r="K3081" t="s">
        <v>1383</v>
      </c>
    </row>
    <row r="3082" spans="1:11" x14ac:dyDescent="0.25">
      <c r="A3082" s="40">
        <v>46007.30395833333</v>
      </c>
      <c r="B3082" t="s">
        <v>1828</v>
      </c>
      <c r="C3082" t="s">
        <v>62</v>
      </c>
      <c r="D3082" t="s">
        <v>354</v>
      </c>
      <c r="E3082" t="s">
        <v>1364</v>
      </c>
      <c r="F3082" t="s">
        <v>1372</v>
      </c>
      <c r="G3082">
        <v>-43</v>
      </c>
      <c r="H3082">
        <v>2675</v>
      </c>
      <c r="K3082" t="s">
        <v>1383</v>
      </c>
    </row>
    <row r="3083" spans="1:11" x14ac:dyDescent="0.25">
      <c r="A3083" s="40">
        <v>46007.30395833333</v>
      </c>
      <c r="B3083" t="s">
        <v>1828</v>
      </c>
      <c r="C3083" t="s">
        <v>458</v>
      </c>
      <c r="D3083" t="s">
        <v>459</v>
      </c>
      <c r="E3083" t="s">
        <v>1364</v>
      </c>
      <c r="F3083" t="s">
        <v>1372</v>
      </c>
      <c r="G3083">
        <v>-173</v>
      </c>
      <c r="H3083">
        <v>2318</v>
      </c>
      <c r="K3083" t="s">
        <v>1383</v>
      </c>
    </row>
    <row r="3084" spans="1:11" x14ac:dyDescent="0.25">
      <c r="A3084" s="40">
        <v>46007.30395833333</v>
      </c>
      <c r="B3084" t="s">
        <v>1828</v>
      </c>
      <c r="C3084" t="s">
        <v>258</v>
      </c>
      <c r="D3084" t="s">
        <v>259</v>
      </c>
      <c r="E3084" t="s">
        <v>1364</v>
      </c>
      <c r="F3084" t="s">
        <v>1372</v>
      </c>
      <c r="G3084">
        <v>-173</v>
      </c>
      <c r="H3084">
        <v>3193</v>
      </c>
      <c r="K3084" t="s">
        <v>1383</v>
      </c>
    </row>
    <row r="3085" spans="1:11" x14ac:dyDescent="0.25">
      <c r="A3085" s="40">
        <v>46007.30395833333</v>
      </c>
      <c r="B3085" t="s">
        <v>1828</v>
      </c>
      <c r="C3085" t="s">
        <v>10</v>
      </c>
      <c r="D3085" t="s">
        <v>332</v>
      </c>
      <c r="E3085" t="s">
        <v>1364</v>
      </c>
      <c r="F3085" t="s">
        <v>1372</v>
      </c>
      <c r="G3085">
        <v>-566</v>
      </c>
      <c r="H3085">
        <v>5537</v>
      </c>
      <c r="K3085" t="s">
        <v>1383</v>
      </c>
    </row>
    <row r="3086" spans="1:11" x14ac:dyDescent="0.25">
      <c r="A3086" s="40">
        <v>46007.30395833333</v>
      </c>
      <c r="B3086" t="s">
        <v>1828</v>
      </c>
      <c r="C3086" t="s">
        <v>34</v>
      </c>
      <c r="D3086" t="s">
        <v>495</v>
      </c>
      <c r="E3086" t="s">
        <v>1364</v>
      </c>
      <c r="F3086" t="s">
        <v>1372</v>
      </c>
      <c r="G3086">
        <v>-99</v>
      </c>
      <c r="H3086">
        <v>2349</v>
      </c>
      <c r="K3086" t="s">
        <v>1383</v>
      </c>
    </row>
    <row r="3087" spans="1:11" x14ac:dyDescent="0.25">
      <c r="A3087" s="40">
        <v>46007.30395833333</v>
      </c>
      <c r="B3087" t="s">
        <v>1828</v>
      </c>
      <c r="C3087" t="s">
        <v>56</v>
      </c>
      <c r="D3087" t="s">
        <v>313</v>
      </c>
      <c r="E3087" t="s">
        <v>1364</v>
      </c>
      <c r="F3087" t="s">
        <v>1372</v>
      </c>
      <c r="G3087">
        <v>-99</v>
      </c>
      <c r="H3087">
        <v>1898</v>
      </c>
      <c r="K3087" t="s">
        <v>1383</v>
      </c>
    </row>
    <row r="3088" spans="1:11" x14ac:dyDescent="0.25">
      <c r="A3088" s="40">
        <v>46007.30395833333</v>
      </c>
      <c r="B3088" t="s">
        <v>1828</v>
      </c>
      <c r="C3088" t="s">
        <v>35</v>
      </c>
      <c r="D3088" t="s">
        <v>496</v>
      </c>
      <c r="E3088" t="s">
        <v>1364</v>
      </c>
      <c r="F3088" t="s">
        <v>1372</v>
      </c>
      <c r="G3088">
        <v>-247</v>
      </c>
      <c r="H3088">
        <v>277</v>
      </c>
      <c r="K3088" t="s">
        <v>1383</v>
      </c>
    </row>
    <row r="3089" spans="1:11" x14ac:dyDescent="0.25">
      <c r="A3089" s="40">
        <v>46007.30395833333</v>
      </c>
      <c r="B3089" t="s">
        <v>1828</v>
      </c>
      <c r="C3089" t="s">
        <v>55</v>
      </c>
      <c r="D3089" t="s">
        <v>312</v>
      </c>
      <c r="E3089" t="s">
        <v>1364</v>
      </c>
      <c r="F3089" t="s">
        <v>1372</v>
      </c>
      <c r="G3089">
        <v>-66</v>
      </c>
      <c r="H3089">
        <v>855</v>
      </c>
      <c r="K3089" t="s">
        <v>1383</v>
      </c>
    </row>
    <row r="3090" spans="1:11" x14ac:dyDescent="0.25">
      <c r="A3090" s="40">
        <v>46007.30395833333</v>
      </c>
      <c r="B3090" t="s">
        <v>1828</v>
      </c>
      <c r="C3090" t="s">
        <v>328</v>
      </c>
      <c r="D3090" t="s">
        <v>329</v>
      </c>
      <c r="E3090" t="s">
        <v>1364</v>
      </c>
      <c r="F3090" t="s">
        <v>1372</v>
      </c>
      <c r="G3090">
        <v>-43</v>
      </c>
      <c r="H3090">
        <v>3133</v>
      </c>
      <c r="K3090" t="s">
        <v>1383</v>
      </c>
    </row>
    <row r="3091" spans="1:11" x14ac:dyDescent="0.25">
      <c r="A3091" s="40">
        <v>46007.30395833333</v>
      </c>
      <c r="B3091" t="s">
        <v>1828</v>
      </c>
      <c r="C3091" t="s">
        <v>33</v>
      </c>
      <c r="D3091" t="s">
        <v>494</v>
      </c>
      <c r="E3091" t="s">
        <v>1364</v>
      </c>
      <c r="F3091" t="s">
        <v>1372</v>
      </c>
      <c r="G3091">
        <v>-43</v>
      </c>
      <c r="H3091">
        <v>3373</v>
      </c>
      <c r="K3091" t="s">
        <v>1383</v>
      </c>
    </row>
    <row r="3092" spans="1:11" x14ac:dyDescent="0.25">
      <c r="A3092" s="40">
        <v>46007.30395833333</v>
      </c>
      <c r="B3092" t="s">
        <v>1828</v>
      </c>
      <c r="C3092" t="s">
        <v>462</v>
      </c>
      <c r="D3092" t="s">
        <v>463</v>
      </c>
      <c r="E3092" t="s">
        <v>1364</v>
      </c>
      <c r="F3092" t="s">
        <v>1372</v>
      </c>
      <c r="G3092">
        <v>-66</v>
      </c>
      <c r="H3092">
        <v>2483</v>
      </c>
      <c r="K3092" t="s">
        <v>1383</v>
      </c>
    </row>
    <row r="3093" spans="1:11" x14ac:dyDescent="0.25">
      <c r="A3093" s="40">
        <v>46007.30395833333</v>
      </c>
      <c r="B3093" t="s">
        <v>1828</v>
      </c>
      <c r="C3093" t="s">
        <v>53</v>
      </c>
      <c r="D3093" t="s">
        <v>398</v>
      </c>
      <c r="E3093" t="s">
        <v>1364</v>
      </c>
      <c r="F3093" t="s">
        <v>1372</v>
      </c>
      <c r="G3093">
        <v>-219</v>
      </c>
      <c r="H3093">
        <v>629</v>
      </c>
      <c r="K3093" t="s">
        <v>1383</v>
      </c>
    </row>
    <row r="3094" spans="1:11" x14ac:dyDescent="0.25">
      <c r="A3094" s="40">
        <v>46007.30395833333</v>
      </c>
      <c r="B3094" t="s">
        <v>1828</v>
      </c>
      <c r="C3094" t="s">
        <v>41</v>
      </c>
      <c r="D3094" t="s">
        <v>390</v>
      </c>
      <c r="E3094" t="s">
        <v>1364</v>
      </c>
      <c r="F3094" t="s">
        <v>1372</v>
      </c>
      <c r="G3094">
        <v>-43</v>
      </c>
      <c r="H3094">
        <v>3248</v>
      </c>
      <c r="K3094" t="s">
        <v>1383</v>
      </c>
    </row>
    <row r="3095" spans="1:11" x14ac:dyDescent="0.25">
      <c r="A3095" s="40">
        <v>46007.30395833333</v>
      </c>
      <c r="B3095" t="s">
        <v>1828</v>
      </c>
      <c r="C3095" t="s">
        <v>51</v>
      </c>
      <c r="D3095" t="s">
        <v>502</v>
      </c>
      <c r="E3095" t="s">
        <v>1364</v>
      </c>
      <c r="F3095" t="s">
        <v>1372</v>
      </c>
      <c r="G3095">
        <v>-173</v>
      </c>
      <c r="H3095">
        <v>1963</v>
      </c>
      <c r="K3095" t="s">
        <v>1383</v>
      </c>
    </row>
    <row r="3096" spans="1:11" x14ac:dyDescent="0.25">
      <c r="A3096" s="40">
        <v>46007.30395833333</v>
      </c>
      <c r="B3096" t="s">
        <v>1828</v>
      </c>
      <c r="C3096" t="s">
        <v>3</v>
      </c>
      <c r="D3096" t="s">
        <v>287</v>
      </c>
      <c r="E3096" t="s">
        <v>1364</v>
      </c>
      <c r="F3096" t="s">
        <v>1372</v>
      </c>
      <c r="G3096">
        <v>-66</v>
      </c>
      <c r="H3096">
        <v>10538</v>
      </c>
      <c r="K3096" t="s">
        <v>1383</v>
      </c>
    </row>
    <row r="3097" spans="1:11" x14ac:dyDescent="0.25">
      <c r="A3097" s="40">
        <v>46007.30395833333</v>
      </c>
      <c r="B3097" t="s">
        <v>1828</v>
      </c>
      <c r="C3097" t="s">
        <v>36</v>
      </c>
      <c r="D3097" t="s">
        <v>385</v>
      </c>
      <c r="E3097" t="s">
        <v>1364</v>
      </c>
      <c r="F3097" t="s">
        <v>1372</v>
      </c>
      <c r="G3097">
        <v>-150</v>
      </c>
      <c r="H3097">
        <v>694</v>
      </c>
      <c r="K3097" t="s">
        <v>1383</v>
      </c>
    </row>
    <row r="3098" spans="1:11" x14ac:dyDescent="0.25">
      <c r="A3098" s="40">
        <v>46007.30395833333</v>
      </c>
      <c r="B3098" t="s">
        <v>1828</v>
      </c>
      <c r="C3098" t="s">
        <v>94</v>
      </c>
      <c r="D3098" t="s">
        <v>404</v>
      </c>
      <c r="E3098" t="s">
        <v>1364</v>
      </c>
      <c r="F3098" t="s">
        <v>1372</v>
      </c>
      <c r="G3098">
        <v>-270</v>
      </c>
      <c r="H3098">
        <v>3181</v>
      </c>
      <c r="K3098" t="s">
        <v>1383</v>
      </c>
    </row>
    <row r="3099" spans="1:11" x14ac:dyDescent="0.25">
      <c r="A3099" s="40">
        <v>46007.30395833333</v>
      </c>
      <c r="B3099" t="s">
        <v>1828</v>
      </c>
      <c r="C3099" t="s">
        <v>45</v>
      </c>
      <c r="D3099" t="s">
        <v>393</v>
      </c>
      <c r="E3099" t="s">
        <v>1364</v>
      </c>
      <c r="F3099" t="s">
        <v>1372</v>
      </c>
      <c r="G3099">
        <v>-43</v>
      </c>
      <c r="H3099">
        <v>3135</v>
      </c>
      <c r="K3099" t="s">
        <v>1383</v>
      </c>
    </row>
    <row r="3100" spans="1:11" x14ac:dyDescent="0.25">
      <c r="A3100" s="40">
        <v>46007.30395833333</v>
      </c>
      <c r="B3100" t="s">
        <v>1828</v>
      </c>
      <c r="C3100" t="s">
        <v>26</v>
      </c>
      <c r="D3100" t="s">
        <v>380</v>
      </c>
      <c r="E3100" t="s">
        <v>1364</v>
      </c>
      <c r="F3100" t="s">
        <v>1372</v>
      </c>
      <c r="G3100">
        <v>-43</v>
      </c>
      <c r="H3100">
        <v>3245</v>
      </c>
      <c r="K3100" t="s">
        <v>1383</v>
      </c>
    </row>
    <row r="3101" spans="1:11" x14ac:dyDescent="0.25">
      <c r="A3101" s="40">
        <v>46007.30395833333</v>
      </c>
      <c r="B3101" t="s">
        <v>1828</v>
      </c>
      <c r="C3101" t="s">
        <v>42</v>
      </c>
      <c r="D3101" t="s">
        <v>391</v>
      </c>
      <c r="E3101" t="s">
        <v>1364</v>
      </c>
      <c r="F3101" t="s">
        <v>1372</v>
      </c>
      <c r="G3101">
        <v>-122</v>
      </c>
      <c r="H3101">
        <v>2053</v>
      </c>
      <c r="K3101" t="s">
        <v>1383</v>
      </c>
    </row>
    <row r="3102" spans="1:11" x14ac:dyDescent="0.25">
      <c r="A3102" s="40">
        <v>46007.30395833333</v>
      </c>
      <c r="B3102" t="s">
        <v>1828</v>
      </c>
      <c r="C3102" t="s">
        <v>52</v>
      </c>
      <c r="D3102" t="s">
        <v>397</v>
      </c>
      <c r="E3102" t="s">
        <v>1364</v>
      </c>
      <c r="F3102" t="s">
        <v>1372</v>
      </c>
      <c r="G3102">
        <v>-43</v>
      </c>
      <c r="H3102">
        <v>8074</v>
      </c>
      <c r="K3102" t="s">
        <v>1383</v>
      </c>
    </row>
    <row r="3103" spans="1:11" x14ac:dyDescent="0.25">
      <c r="A3103" s="40">
        <v>46007.30395833333</v>
      </c>
      <c r="B3103" t="s">
        <v>1828</v>
      </c>
      <c r="C3103" t="s">
        <v>324</v>
      </c>
      <c r="D3103" t="s">
        <v>325</v>
      </c>
      <c r="E3103" t="s">
        <v>1364</v>
      </c>
      <c r="F3103" t="s">
        <v>1372</v>
      </c>
      <c r="G3103">
        <v>-99</v>
      </c>
      <c r="H3103">
        <v>711</v>
      </c>
      <c r="K3103" t="s">
        <v>1383</v>
      </c>
    </row>
    <row r="3104" spans="1:11" x14ac:dyDescent="0.25">
      <c r="A3104" s="40">
        <v>46007.30395833333</v>
      </c>
      <c r="B3104" t="s">
        <v>1828</v>
      </c>
      <c r="C3104" t="s">
        <v>2</v>
      </c>
      <c r="D3104" t="s">
        <v>266</v>
      </c>
      <c r="E3104" t="s">
        <v>1364</v>
      </c>
      <c r="F3104" t="s">
        <v>1372</v>
      </c>
      <c r="G3104">
        <v>-43</v>
      </c>
      <c r="H3104">
        <v>3157</v>
      </c>
      <c r="K3104" t="s">
        <v>1383</v>
      </c>
    </row>
    <row r="3105" spans="1:12" x14ac:dyDescent="0.25">
      <c r="A3105" s="40">
        <v>46007.30395833333</v>
      </c>
      <c r="B3105" t="s">
        <v>1828</v>
      </c>
      <c r="C3105" t="s">
        <v>6</v>
      </c>
      <c r="D3105" t="s">
        <v>400</v>
      </c>
      <c r="E3105" t="s">
        <v>1364</v>
      </c>
      <c r="F3105" t="s">
        <v>1372</v>
      </c>
      <c r="G3105">
        <v>-43</v>
      </c>
      <c r="H3105">
        <v>4524</v>
      </c>
      <c r="K3105" t="s">
        <v>1383</v>
      </c>
    </row>
    <row r="3106" spans="1:12" x14ac:dyDescent="0.25">
      <c r="A3106" s="40">
        <v>46007.30395833333</v>
      </c>
      <c r="B3106" t="s">
        <v>1828</v>
      </c>
      <c r="C3106" t="s">
        <v>68</v>
      </c>
      <c r="D3106" t="s">
        <v>374</v>
      </c>
      <c r="E3106" t="s">
        <v>1364</v>
      </c>
      <c r="F3106" t="s">
        <v>1372</v>
      </c>
      <c r="G3106">
        <v>-66</v>
      </c>
      <c r="H3106">
        <v>5251</v>
      </c>
      <c r="K3106" t="s">
        <v>1383</v>
      </c>
    </row>
    <row r="3107" spans="1:12" x14ac:dyDescent="0.25">
      <c r="A3107" s="40">
        <v>46007.30395833333</v>
      </c>
      <c r="B3107" t="s">
        <v>1828</v>
      </c>
      <c r="C3107" t="s">
        <v>229</v>
      </c>
      <c r="D3107" t="s">
        <v>321</v>
      </c>
      <c r="E3107" t="s">
        <v>1364</v>
      </c>
      <c r="F3107" t="s">
        <v>1372</v>
      </c>
      <c r="G3107">
        <v>-99</v>
      </c>
      <c r="H3107">
        <v>6550</v>
      </c>
      <c r="K3107" t="s">
        <v>1383</v>
      </c>
    </row>
    <row r="3108" spans="1:12" x14ac:dyDescent="0.25">
      <c r="A3108" s="40">
        <v>46007.30395833333</v>
      </c>
      <c r="B3108" t="s">
        <v>1828</v>
      </c>
      <c r="C3108" t="s">
        <v>64</v>
      </c>
      <c r="D3108" t="s">
        <v>356</v>
      </c>
      <c r="E3108" t="s">
        <v>1364</v>
      </c>
      <c r="F3108" t="s">
        <v>1372</v>
      </c>
      <c r="G3108">
        <v>-66</v>
      </c>
      <c r="H3108">
        <v>3589</v>
      </c>
      <c r="K3108" t="s">
        <v>1383</v>
      </c>
    </row>
    <row r="3109" spans="1:12" x14ac:dyDescent="0.25">
      <c r="A3109" s="40">
        <v>46007.30395833333</v>
      </c>
      <c r="B3109" t="s">
        <v>1828</v>
      </c>
      <c r="C3109" t="s">
        <v>50</v>
      </c>
      <c r="D3109" t="s">
        <v>501</v>
      </c>
      <c r="E3109" t="s">
        <v>1364</v>
      </c>
      <c r="F3109" t="s">
        <v>1372</v>
      </c>
      <c r="G3109">
        <v>-122</v>
      </c>
      <c r="H3109">
        <v>2647</v>
      </c>
      <c r="K3109" t="s">
        <v>1383</v>
      </c>
    </row>
    <row r="3110" spans="1:12" x14ac:dyDescent="0.25">
      <c r="A3110" s="40">
        <v>46007.30395833333</v>
      </c>
      <c r="B3110" t="s">
        <v>1828</v>
      </c>
      <c r="C3110" t="s">
        <v>63</v>
      </c>
      <c r="D3110" t="s">
        <v>355</v>
      </c>
      <c r="E3110" t="s">
        <v>1364</v>
      </c>
      <c r="F3110" t="s">
        <v>1372</v>
      </c>
      <c r="G3110">
        <v>-99</v>
      </c>
      <c r="H3110">
        <v>335</v>
      </c>
      <c r="K3110" t="s">
        <v>1383</v>
      </c>
    </row>
    <row r="3111" spans="1:12" x14ac:dyDescent="0.25">
      <c r="A3111" s="40">
        <v>46007.30395833333</v>
      </c>
      <c r="B3111" t="s">
        <v>1828</v>
      </c>
      <c r="C3111" t="s">
        <v>47</v>
      </c>
      <c r="D3111" t="s">
        <v>395</v>
      </c>
      <c r="E3111" t="s">
        <v>1364</v>
      </c>
      <c r="F3111" t="s">
        <v>1372</v>
      </c>
      <c r="G3111">
        <v>-372</v>
      </c>
      <c r="H3111">
        <v>17093</v>
      </c>
      <c r="K3111" t="s">
        <v>1383</v>
      </c>
    </row>
    <row r="3112" spans="1:12" x14ac:dyDescent="0.25">
      <c r="A3112" s="40">
        <v>46007.30395833333</v>
      </c>
      <c r="B3112" t="s">
        <v>1828</v>
      </c>
      <c r="C3112" t="s">
        <v>38</v>
      </c>
      <c r="D3112" t="s">
        <v>386</v>
      </c>
      <c r="E3112" t="s">
        <v>1364</v>
      </c>
      <c r="F3112" t="s">
        <v>1372</v>
      </c>
      <c r="G3112">
        <v>-270</v>
      </c>
      <c r="H3112">
        <v>23090</v>
      </c>
      <c r="K3112" t="s">
        <v>1383</v>
      </c>
    </row>
    <row r="3113" spans="1:12" x14ac:dyDescent="0.25">
      <c r="A3113" s="40">
        <v>46007.30395833333</v>
      </c>
      <c r="B3113" t="s">
        <v>1828</v>
      </c>
      <c r="C3113" t="s">
        <v>366</v>
      </c>
      <c r="D3113" t="s">
        <v>367</v>
      </c>
      <c r="E3113" t="s">
        <v>1364</v>
      </c>
      <c r="F3113" t="s">
        <v>1372</v>
      </c>
      <c r="G3113">
        <v>-43</v>
      </c>
      <c r="H3113">
        <v>3245</v>
      </c>
      <c r="K3113" t="s">
        <v>1383</v>
      </c>
    </row>
    <row r="3114" spans="1:12" x14ac:dyDescent="0.25">
      <c r="A3114" s="40">
        <v>46007.30395833333</v>
      </c>
      <c r="B3114" t="s">
        <v>1828</v>
      </c>
      <c r="C3114" t="s">
        <v>7</v>
      </c>
      <c r="D3114" t="s">
        <v>307</v>
      </c>
      <c r="E3114" t="s">
        <v>1364</v>
      </c>
      <c r="F3114" t="s">
        <v>1372</v>
      </c>
      <c r="G3114">
        <v>-487</v>
      </c>
      <c r="H3114">
        <v>-260</v>
      </c>
      <c r="K3114" t="s">
        <v>1383</v>
      </c>
    </row>
    <row r="3115" spans="1:12" x14ac:dyDescent="0.25">
      <c r="A3115" s="40">
        <v>46007.30395833333</v>
      </c>
      <c r="B3115" t="s">
        <v>1828</v>
      </c>
      <c r="C3115" t="s">
        <v>54</v>
      </c>
      <c r="D3115" t="s">
        <v>399</v>
      </c>
      <c r="E3115" t="s">
        <v>1364</v>
      </c>
      <c r="F3115" t="s">
        <v>1372</v>
      </c>
      <c r="G3115">
        <v>-150</v>
      </c>
      <c r="H3115">
        <v>1248</v>
      </c>
      <c r="K3115" t="s">
        <v>1383</v>
      </c>
    </row>
    <row r="3116" spans="1:12" x14ac:dyDescent="0.25">
      <c r="A3116" s="40">
        <v>46007.30395833333</v>
      </c>
      <c r="B3116" t="s">
        <v>1828</v>
      </c>
      <c r="C3116" t="s">
        <v>70</v>
      </c>
      <c r="D3116" t="s">
        <v>402</v>
      </c>
      <c r="E3116" t="s">
        <v>1364</v>
      </c>
      <c r="F3116" t="s">
        <v>1372</v>
      </c>
      <c r="G3116">
        <v>-681</v>
      </c>
      <c r="H3116">
        <v>18323</v>
      </c>
      <c r="K3116" t="s">
        <v>1383</v>
      </c>
    </row>
    <row r="3117" spans="1:12" x14ac:dyDescent="0.25">
      <c r="A3117" s="40">
        <v>46007.30395833333</v>
      </c>
      <c r="B3117" t="s">
        <v>1828</v>
      </c>
      <c r="C3117" t="s">
        <v>5</v>
      </c>
      <c r="D3117" t="s">
        <v>389</v>
      </c>
      <c r="E3117" t="s">
        <v>1364</v>
      </c>
      <c r="F3117" t="s">
        <v>1372</v>
      </c>
      <c r="G3117">
        <v>-66</v>
      </c>
      <c r="H3117">
        <v>455</v>
      </c>
      <c r="K3117" t="s">
        <v>1383</v>
      </c>
    </row>
    <row r="3118" spans="1:12" x14ac:dyDescent="0.25">
      <c r="A3118" s="40">
        <v>46007.30395833333</v>
      </c>
      <c r="B3118" t="s">
        <v>1828</v>
      </c>
      <c r="C3118" t="s">
        <v>1</v>
      </c>
      <c r="D3118" t="s">
        <v>250</v>
      </c>
      <c r="E3118" t="s">
        <v>1364</v>
      </c>
      <c r="F3118" t="s">
        <v>1372</v>
      </c>
      <c r="G3118">
        <v>-1457</v>
      </c>
      <c r="H3118">
        <v>1842</v>
      </c>
      <c r="K3118" t="s">
        <v>1383</v>
      </c>
    </row>
    <row r="3119" spans="1:12" x14ac:dyDescent="0.25">
      <c r="A3119" s="40">
        <v>46007.541817129626</v>
      </c>
      <c r="B3119" t="s">
        <v>1828</v>
      </c>
      <c r="C3119" t="s">
        <v>7</v>
      </c>
      <c r="D3119" t="s">
        <v>307</v>
      </c>
      <c r="E3119" t="s">
        <v>1364</v>
      </c>
      <c r="F3119" t="s">
        <v>695</v>
      </c>
      <c r="G3119">
        <v>8000</v>
      </c>
      <c r="H3119">
        <v>7740</v>
      </c>
      <c r="I3119" t="s">
        <v>696</v>
      </c>
      <c r="K3119" t="s">
        <v>1465</v>
      </c>
      <c r="L3119">
        <v>23.52</v>
      </c>
    </row>
    <row r="3120" spans="1:12" x14ac:dyDescent="0.25">
      <c r="A3120" s="40">
        <v>46007.542407407411</v>
      </c>
      <c r="B3120" t="s">
        <v>1828</v>
      </c>
      <c r="C3120" t="s">
        <v>1483</v>
      </c>
      <c r="E3120" t="s">
        <v>1365</v>
      </c>
      <c r="F3120" t="s">
        <v>695</v>
      </c>
      <c r="G3120">
        <v>25</v>
      </c>
      <c r="H3120">
        <v>-2</v>
      </c>
      <c r="I3120" t="s">
        <v>511</v>
      </c>
      <c r="K3120" t="s">
        <v>1465</v>
      </c>
      <c r="L3120">
        <v>41.65</v>
      </c>
    </row>
    <row r="3121" spans="1:11" x14ac:dyDescent="0.25">
      <c r="A3121" s="40">
        <v>46008.311226851853</v>
      </c>
      <c r="B3121" t="s">
        <v>1830</v>
      </c>
      <c r="C3121" t="s">
        <v>230</v>
      </c>
      <c r="D3121" t="s">
        <v>255</v>
      </c>
      <c r="E3121" t="s">
        <v>1364</v>
      </c>
      <c r="F3121" t="s">
        <v>1372</v>
      </c>
      <c r="G3121">
        <v>-26</v>
      </c>
      <c r="H3121">
        <v>2594</v>
      </c>
      <c r="K3121" t="s">
        <v>1383</v>
      </c>
    </row>
    <row r="3122" spans="1:11" x14ac:dyDescent="0.25">
      <c r="A3122" s="40">
        <v>46008.311226851853</v>
      </c>
      <c r="B3122" t="s">
        <v>1830</v>
      </c>
      <c r="C3122" t="s">
        <v>412</v>
      </c>
      <c r="D3122" t="s">
        <v>413</v>
      </c>
      <c r="E3122" t="s">
        <v>1364</v>
      </c>
      <c r="F3122" t="s">
        <v>1372</v>
      </c>
      <c r="G3122">
        <v>-38</v>
      </c>
      <c r="H3122">
        <v>2237</v>
      </c>
      <c r="K3122" t="s">
        <v>1383</v>
      </c>
    </row>
    <row r="3123" spans="1:11" x14ac:dyDescent="0.25">
      <c r="A3123" s="40">
        <v>46008.311226851853</v>
      </c>
      <c r="B3123" t="s">
        <v>1830</v>
      </c>
      <c r="C3123" t="s">
        <v>37</v>
      </c>
      <c r="D3123" t="s">
        <v>497</v>
      </c>
      <c r="E3123" t="s">
        <v>1364</v>
      </c>
      <c r="F3123" t="s">
        <v>1372</v>
      </c>
      <c r="G3123">
        <v>-35</v>
      </c>
      <c r="H3123">
        <v>6256</v>
      </c>
      <c r="K3123" t="s">
        <v>1383</v>
      </c>
    </row>
    <row r="3124" spans="1:11" x14ac:dyDescent="0.25">
      <c r="A3124" s="40">
        <v>46008.311226851853</v>
      </c>
      <c r="B3124" t="s">
        <v>1830</v>
      </c>
      <c r="C3124" t="s">
        <v>435</v>
      </c>
      <c r="D3124" t="s">
        <v>436</v>
      </c>
      <c r="E3124" t="s">
        <v>1364</v>
      </c>
      <c r="F3124" t="s">
        <v>1372</v>
      </c>
      <c r="G3124">
        <v>-50</v>
      </c>
      <c r="H3124">
        <v>3917</v>
      </c>
      <c r="K3124" t="s">
        <v>1383</v>
      </c>
    </row>
    <row r="3125" spans="1:11" x14ac:dyDescent="0.25">
      <c r="A3125" s="40">
        <v>46008.311226851853</v>
      </c>
      <c r="B3125" t="s">
        <v>1830</v>
      </c>
      <c r="C3125" t="s">
        <v>466</v>
      </c>
      <c r="D3125" t="s">
        <v>467</v>
      </c>
      <c r="E3125" t="s">
        <v>1364</v>
      </c>
      <c r="F3125" t="s">
        <v>1372</v>
      </c>
      <c r="G3125">
        <v>-50</v>
      </c>
      <c r="H3125">
        <v>3950</v>
      </c>
      <c r="K3125" t="s">
        <v>1383</v>
      </c>
    </row>
    <row r="3126" spans="1:11" x14ac:dyDescent="0.25">
      <c r="A3126" s="40">
        <v>46008.311226851853</v>
      </c>
      <c r="B3126" t="s">
        <v>1830</v>
      </c>
      <c r="C3126" t="s">
        <v>9</v>
      </c>
      <c r="D3126" t="s">
        <v>316</v>
      </c>
      <c r="E3126" t="s">
        <v>1364</v>
      </c>
      <c r="F3126" t="s">
        <v>1372</v>
      </c>
      <c r="G3126">
        <v>-35</v>
      </c>
      <c r="H3126">
        <v>2335</v>
      </c>
      <c r="K3126" t="s">
        <v>1383</v>
      </c>
    </row>
    <row r="3127" spans="1:11" x14ac:dyDescent="0.25">
      <c r="A3127" s="40">
        <v>46008.311226851853</v>
      </c>
      <c r="B3127" t="s">
        <v>1830</v>
      </c>
      <c r="C3127" t="s">
        <v>416</v>
      </c>
      <c r="D3127" t="s">
        <v>417</v>
      </c>
      <c r="E3127" t="s">
        <v>1364</v>
      </c>
      <c r="F3127" t="s">
        <v>1372</v>
      </c>
      <c r="G3127">
        <v>-123</v>
      </c>
      <c r="H3127">
        <v>708</v>
      </c>
      <c r="K3127" t="s">
        <v>1383</v>
      </c>
    </row>
    <row r="3128" spans="1:11" x14ac:dyDescent="0.25">
      <c r="A3128" s="40">
        <v>46008.311226851853</v>
      </c>
      <c r="B3128" t="s">
        <v>1830</v>
      </c>
      <c r="C3128" t="s">
        <v>304</v>
      </c>
      <c r="D3128" t="s">
        <v>305</v>
      </c>
      <c r="E3128" t="s">
        <v>1364</v>
      </c>
      <c r="F3128" t="s">
        <v>1372</v>
      </c>
      <c r="G3128">
        <v>-23</v>
      </c>
      <c r="H3128">
        <v>2632</v>
      </c>
      <c r="K3128" t="s">
        <v>1383</v>
      </c>
    </row>
    <row r="3129" spans="1:11" x14ac:dyDescent="0.25">
      <c r="A3129" s="40">
        <v>46008.311226851853</v>
      </c>
      <c r="B3129" t="s">
        <v>1830</v>
      </c>
      <c r="C3129" t="s">
        <v>40</v>
      </c>
      <c r="D3129" t="s">
        <v>388</v>
      </c>
      <c r="E3129" t="s">
        <v>1364</v>
      </c>
      <c r="F3129" t="s">
        <v>1372</v>
      </c>
      <c r="G3129">
        <v>-23</v>
      </c>
      <c r="H3129">
        <v>6073</v>
      </c>
      <c r="K3129" t="s">
        <v>1383</v>
      </c>
    </row>
    <row r="3130" spans="1:11" x14ac:dyDescent="0.25">
      <c r="A3130" s="40">
        <v>46008.311226851853</v>
      </c>
      <c r="B3130" t="s">
        <v>1830</v>
      </c>
      <c r="C3130" t="s">
        <v>430</v>
      </c>
      <c r="D3130" t="s">
        <v>431</v>
      </c>
      <c r="E3130" t="s">
        <v>1364</v>
      </c>
      <c r="F3130" t="s">
        <v>1372</v>
      </c>
      <c r="G3130">
        <v>-56</v>
      </c>
      <c r="H3130">
        <v>4704</v>
      </c>
      <c r="K3130" t="s">
        <v>1383</v>
      </c>
    </row>
    <row r="3131" spans="1:11" x14ac:dyDescent="0.25">
      <c r="A3131" s="40">
        <v>46008.311226851853</v>
      </c>
      <c r="B3131" t="s">
        <v>1830</v>
      </c>
      <c r="C3131" t="s">
        <v>36</v>
      </c>
      <c r="D3131" t="s">
        <v>385</v>
      </c>
      <c r="E3131" t="s">
        <v>1364</v>
      </c>
      <c r="F3131" t="s">
        <v>1372</v>
      </c>
      <c r="G3131">
        <v>-32</v>
      </c>
      <c r="H3131">
        <v>662</v>
      </c>
      <c r="K3131" t="s">
        <v>1383</v>
      </c>
    </row>
    <row r="3132" spans="1:11" x14ac:dyDescent="0.25">
      <c r="A3132" s="40">
        <v>46008.311226851853</v>
      </c>
      <c r="B3132" t="s">
        <v>1830</v>
      </c>
      <c r="C3132" t="s">
        <v>94</v>
      </c>
      <c r="D3132" t="s">
        <v>404</v>
      </c>
      <c r="E3132" t="s">
        <v>1364</v>
      </c>
      <c r="F3132" t="s">
        <v>1372</v>
      </c>
      <c r="G3132">
        <v>-32</v>
      </c>
      <c r="H3132">
        <v>3149</v>
      </c>
      <c r="K3132" t="s">
        <v>1383</v>
      </c>
    </row>
    <row r="3133" spans="1:11" x14ac:dyDescent="0.25">
      <c r="A3133" s="40">
        <v>46008.311226851853</v>
      </c>
      <c r="B3133" t="s">
        <v>1830</v>
      </c>
      <c r="C3133" t="s">
        <v>341</v>
      </c>
      <c r="D3133" t="s">
        <v>342</v>
      </c>
      <c r="E3133" t="s">
        <v>1364</v>
      </c>
      <c r="F3133" t="s">
        <v>1372</v>
      </c>
      <c r="G3133">
        <v>-203</v>
      </c>
      <c r="H3133">
        <v>1913</v>
      </c>
      <c r="K3133" t="s">
        <v>1383</v>
      </c>
    </row>
    <row r="3134" spans="1:11" x14ac:dyDescent="0.25">
      <c r="A3134" s="40">
        <v>46008.311226851853</v>
      </c>
      <c r="B3134" t="s">
        <v>1830</v>
      </c>
      <c r="C3134" t="s">
        <v>69</v>
      </c>
      <c r="D3134" t="s">
        <v>375</v>
      </c>
      <c r="E3134" t="s">
        <v>1364</v>
      </c>
      <c r="F3134" t="s">
        <v>1372</v>
      </c>
      <c r="G3134">
        <v>-26</v>
      </c>
      <c r="H3134">
        <v>5799</v>
      </c>
      <c r="K3134" t="s">
        <v>1383</v>
      </c>
    </row>
    <row r="3135" spans="1:11" x14ac:dyDescent="0.25">
      <c r="A3135" s="40">
        <v>46008.311226851853</v>
      </c>
      <c r="B3135" t="s">
        <v>1830</v>
      </c>
      <c r="C3135" t="s">
        <v>39</v>
      </c>
      <c r="D3135" t="s">
        <v>387</v>
      </c>
      <c r="E3135" t="s">
        <v>1364</v>
      </c>
      <c r="F3135" t="s">
        <v>1372</v>
      </c>
      <c r="G3135">
        <v>-26</v>
      </c>
      <c r="H3135">
        <v>6275</v>
      </c>
      <c r="K3135" t="s">
        <v>1383</v>
      </c>
    </row>
    <row r="3136" spans="1:11" x14ac:dyDescent="0.25">
      <c r="A3136" s="40">
        <v>46008.311226851853</v>
      </c>
      <c r="B3136" t="s">
        <v>1830</v>
      </c>
      <c r="C3136" t="s">
        <v>439</v>
      </c>
      <c r="D3136" t="s">
        <v>440</v>
      </c>
      <c r="E3136" t="s">
        <v>1364</v>
      </c>
      <c r="F3136" t="s">
        <v>1372</v>
      </c>
      <c r="G3136">
        <v>-41</v>
      </c>
      <c r="H3136">
        <v>4477</v>
      </c>
      <c r="K3136" t="s">
        <v>1383</v>
      </c>
    </row>
    <row r="3137" spans="1:11" x14ac:dyDescent="0.25">
      <c r="A3137" s="40">
        <v>46008.311226851853</v>
      </c>
      <c r="B3137" t="s">
        <v>1830</v>
      </c>
      <c r="C3137" t="s">
        <v>6</v>
      </c>
      <c r="D3137" t="s">
        <v>400</v>
      </c>
      <c r="E3137" t="s">
        <v>1364</v>
      </c>
      <c r="F3137" t="s">
        <v>1372</v>
      </c>
      <c r="G3137">
        <v>-68</v>
      </c>
      <c r="H3137">
        <v>4456</v>
      </c>
      <c r="K3137" t="s">
        <v>1383</v>
      </c>
    </row>
    <row r="3138" spans="1:11" x14ac:dyDescent="0.25">
      <c r="A3138" s="40">
        <v>46008.311226851853</v>
      </c>
      <c r="B3138" t="s">
        <v>1830</v>
      </c>
      <c r="C3138" t="s">
        <v>68</v>
      </c>
      <c r="D3138" t="s">
        <v>374</v>
      </c>
      <c r="E3138" t="s">
        <v>1364</v>
      </c>
      <c r="F3138" t="s">
        <v>1372</v>
      </c>
      <c r="G3138">
        <v>-26</v>
      </c>
      <c r="H3138">
        <v>5225</v>
      </c>
      <c r="K3138" t="s">
        <v>1383</v>
      </c>
    </row>
    <row r="3139" spans="1:11" x14ac:dyDescent="0.25">
      <c r="A3139" s="40">
        <v>46008.311226851853</v>
      </c>
      <c r="B3139" t="s">
        <v>1830</v>
      </c>
      <c r="C3139" t="s">
        <v>44</v>
      </c>
      <c r="D3139" t="s">
        <v>392</v>
      </c>
      <c r="E3139" t="s">
        <v>1364</v>
      </c>
      <c r="F3139" t="s">
        <v>1372</v>
      </c>
      <c r="G3139">
        <v>-38</v>
      </c>
      <c r="H3139">
        <v>2194</v>
      </c>
      <c r="K3139" t="s">
        <v>1383</v>
      </c>
    </row>
    <row r="3140" spans="1:11" x14ac:dyDescent="0.25">
      <c r="A3140" s="40">
        <v>46008.311226851853</v>
      </c>
      <c r="B3140" t="s">
        <v>1830</v>
      </c>
      <c r="C3140" t="s">
        <v>20</v>
      </c>
      <c r="D3140" t="s">
        <v>498</v>
      </c>
      <c r="E3140" t="s">
        <v>1364</v>
      </c>
      <c r="F3140" t="s">
        <v>1372</v>
      </c>
      <c r="G3140">
        <v>-23</v>
      </c>
      <c r="H3140">
        <v>20640</v>
      </c>
      <c r="K3140" t="s">
        <v>1383</v>
      </c>
    </row>
    <row r="3141" spans="1:11" x14ac:dyDescent="0.25">
      <c r="A3141" s="40">
        <v>46008.311226851853</v>
      </c>
      <c r="B3141" t="s">
        <v>1830</v>
      </c>
      <c r="C3141" t="s">
        <v>47</v>
      </c>
      <c r="D3141" t="s">
        <v>395</v>
      </c>
      <c r="E3141" t="s">
        <v>1364</v>
      </c>
      <c r="F3141" t="s">
        <v>1372</v>
      </c>
      <c r="G3141">
        <v>-38</v>
      </c>
      <c r="H3141">
        <v>17055</v>
      </c>
      <c r="K3141" t="s">
        <v>1383</v>
      </c>
    </row>
    <row r="3142" spans="1:11" x14ac:dyDescent="0.25">
      <c r="A3142" s="40">
        <v>46008.311226851853</v>
      </c>
      <c r="B3142" t="s">
        <v>1830</v>
      </c>
      <c r="C3142" t="s">
        <v>38</v>
      </c>
      <c r="D3142" t="s">
        <v>386</v>
      </c>
      <c r="E3142" t="s">
        <v>1364</v>
      </c>
      <c r="F3142" t="s">
        <v>1372</v>
      </c>
      <c r="G3142">
        <v>-62</v>
      </c>
      <c r="H3142">
        <v>23028</v>
      </c>
      <c r="K3142" t="s">
        <v>1383</v>
      </c>
    </row>
    <row r="3143" spans="1:11" x14ac:dyDescent="0.25">
      <c r="A3143" s="40">
        <v>46008.311226851853</v>
      </c>
      <c r="B3143" t="s">
        <v>1830</v>
      </c>
      <c r="C3143" t="s">
        <v>58</v>
      </c>
      <c r="D3143" t="s">
        <v>315</v>
      </c>
      <c r="E3143" t="s">
        <v>1364</v>
      </c>
      <c r="F3143" t="s">
        <v>1372</v>
      </c>
      <c r="G3143">
        <v>-44</v>
      </c>
      <c r="H3143">
        <v>3659</v>
      </c>
      <c r="K3143" t="s">
        <v>1383</v>
      </c>
    </row>
    <row r="3144" spans="1:11" x14ac:dyDescent="0.25">
      <c r="A3144" s="40">
        <v>46008.311226851853</v>
      </c>
      <c r="B3144" t="s">
        <v>1830</v>
      </c>
      <c r="C3144" t="s">
        <v>54</v>
      </c>
      <c r="D3144" t="s">
        <v>399</v>
      </c>
      <c r="E3144" t="s">
        <v>1364</v>
      </c>
      <c r="F3144" t="s">
        <v>1372</v>
      </c>
      <c r="G3144">
        <v>-68</v>
      </c>
      <c r="H3144">
        <v>1180</v>
      </c>
      <c r="K3144" t="s">
        <v>1383</v>
      </c>
    </row>
    <row r="3145" spans="1:11" x14ac:dyDescent="0.25">
      <c r="A3145" s="40">
        <v>46008.311226851853</v>
      </c>
      <c r="B3145" t="s">
        <v>1830</v>
      </c>
      <c r="C3145" t="s">
        <v>70</v>
      </c>
      <c r="D3145" t="s">
        <v>402</v>
      </c>
      <c r="E3145" t="s">
        <v>1364</v>
      </c>
      <c r="F3145" t="s">
        <v>1372</v>
      </c>
      <c r="G3145">
        <v>-26</v>
      </c>
      <c r="H3145">
        <v>18297</v>
      </c>
      <c r="K3145" t="s">
        <v>1383</v>
      </c>
    </row>
    <row r="3146" spans="1:11" x14ac:dyDescent="0.25">
      <c r="A3146" s="40">
        <v>46008.311226851853</v>
      </c>
      <c r="B3146" t="s">
        <v>1830</v>
      </c>
      <c r="C3146" t="s">
        <v>57</v>
      </c>
      <c r="D3146" t="s">
        <v>314</v>
      </c>
      <c r="E3146" t="s">
        <v>1364</v>
      </c>
      <c r="F3146" t="s">
        <v>1372</v>
      </c>
      <c r="G3146">
        <v>-26</v>
      </c>
      <c r="H3146">
        <v>4744</v>
      </c>
      <c r="K3146" t="s">
        <v>1383</v>
      </c>
    </row>
    <row r="3147" spans="1:11" x14ac:dyDescent="0.25">
      <c r="A3147" s="40">
        <v>46008.311226851853</v>
      </c>
      <c r="B3147" t="s">
        <v>1830</v>
      </c>
      <c r="C3147" t="s">
        <v>1</v>
      </c>
      <c r="D3147" t="s">
        <v>250</v>
      </c>
      <c r="E3147" t="s">
        <v>1364</v>
      </c>
      <c r="F3147" t="s">
        <v>1372</v>
      </c>
      <c r="G3147">
        <v>-65</v>
      </c>
      <c r="H3147">
        <v>1777</v>
      </c>
      <c r="K3147" t="s">
        <v>1383</v>
      </c>
    </row>
    <row r="3148" spans="1:11" x14ac:dyDescent="0.25">
      <c r="A3148" s="40">
        <v>46014.194178240738</v>
      </c>
      <c r="B3148" t="s">
        <v>1831</v>
      </c>
      <c r="C3148" t="s">
        <v>1508</v>
      </c>
      <c r="E3148" t="s">
        <v>1364</v>
      </c>
      <c r="F3148" t="s">
        <v>1372</v>
      </c>
      <c r="G3148">
        <v>-4100</v>
      </c>
      <c r="H3148">
        <v>4405</v>
      </c>
      <c r="K3148" t="s">
        <v>1383</v>
      </c>
    </row>
    <row r="3149" spans="1:11" x14ac:dyDescent="0.25">
      <c r="A3149" s="40">
        <v>46014.194178240738</v>
      </c>
      <c r="B3149" t="s">
        <v>1831</v>
      </c>
      <c r="C3149" t="s">
        <v>1509</v>
      </c>
      <c r="E3149" t="s">
        <v>1364</v>
      </c>
      <c r="F3149" t="s">
        <v>1372</v>
      </c>
      <c r="G3149">
        <v>-1200</v>
      </c>
      <c r="H3149">
        <v>23330</v>
      </c>
      <c r="K3149" t="s">
        <v>1383</v>
      </c>
    </row>
    <row r="3150" spans="1:11" x14ac:dyDescent="0.25">
      <c r="A3150" s="40">
        <v>46014.194178240738</v>
      </c>
      <c r="B3150" t="s">
        <v>1831</v>
      </c>
      <c r="C3150" t="s">
        <v>1514</v>
      </c>
      <c r="E3150" t="s">
        <v>1364</v>
      </c>
      <c r="F3150" t="s">
        <v>1372</v>
      </c>
      <c r="G3150">
        <v>-620</v>
      </c>
      <c r="H3150">
        <v>9125</v>
      </c>
      <c r="K3150" t="s">
        <v>1383</v>
      </c>
    </row>
    <row r="3151" spans="1:11" x14ac:dyDescent="0.25">
      <c r="A3151" s="40">
        <v>46014.194178240738</v>
      </c>
      <c r="B3151" t="s">
        <v>1831</v>
      </c>
      <c r="C3151" t="s">
        <v>1510</v>
      </c>
      <c r="E3151" t="s">
        <v>1364</v>
      </c>
      <c r="F3151" t="s">
        <v>1372</v>
      </c>
      <c r="G3151">
        <v>-1200</v>
      </c>
      <c r="H3151">
        <v>1330</v>
      </c>
      <c r="K3151" t="s">
        <v>1383</v>
      </c>
    </row>
    <row r="3152" spans="1:11" x14ac:dyDescent="0.25">
      <c r="A3152" s="40">
        <v>46014.194178240738</v>
      </c>
      <c r="B3152" t="s">
        <v>1831</v>
      </c>
      <c r="C3152" t="s">
        <v>1511</v>
      </c>
      <c r="E3152" t="s">
        <v>1364</v>
      </c>
      <c r="F3152" t="s">
        <v>1372</v>
      </c>
      <c r="G3152">
        <v>-2200</v>
      </c>
      <c r="H3152">
        <v>4800</v>
      </c>
      <c r="K3152" t="s">
        <v>1383</v>
      </c>
    </row>
    <row r="3153" spans="1:11" x14ac:dyDescent="0.25">
      <c r="A3153" s="40">
        <v>46014.194178240738</v>
      </c>
      <c r="B3153" t="s">
        <v>1831</v>
      </c>
      <c r="C3153" t="s">
        <v>1512</v>
      </c>
      <c r="E3153" t="s">
        <v>1364</v>
      </c>
      <c r="F3153" t="s">
        <v>1372</v>
      </c>
      <c r="G3153">
        <v>-620</v>
      </c>
      <c r="H3153">
        <v>5125</v>
      </c>
      <c r="K3153" t="s">
        <v>1383</v>
      </c>
    </row>
    <row r="3154" spans="1:11" x14ac:dyDescent="0.25">
      <c r="A3154" s="40">
        <v>46014.194178240738</v>
      </c>
      <c r="B3154" t="s">
        <v>1831</v>
      </c>
      <c r="C3154" t="s">
        <v>1513</v>
      </c>
      <c r="E3154" t="s">
        <v>1364</v>
      </c>
      <c r="F3154" t="s">
        <v>1372</v>
      </c>
      <c r="G3154">
        <v>-4100</v>
      </c>
      <c r="H3154">
        <v>12405</v>
      </c>
      <c r="K3154" t="s">
        <v>1383</v>
      </c>
    </row>
    <row r="3155" spans="1:11" x14ac:dyDescent="0.25">
      <c r="A3155" s="40">
        <v>46014.194178240738</v>
      </c>
      <c r="B3155" t="s">
        <v>1831</v>
      </c>
      <c r="C3155" t="s">
        <v>1520</v>
      </c>
      <c r="E3155" t="s">
        <v>1364</v>
      </c>
      <c r="F3155" t="s">
        <v>1372</v>
      </c>
      <c r="G3155">
        <v>-1700</v>
      </c>
      <c r="H3155">
        <v>3025</v>
      </c>
      <c r="K3155" t="s">
        <v>1383</v>
      </c>
    </row>
    <row r="3156" spans="1:11" x14ac:dyDescent="0.25">
      <c r="A3156" s="40">
        <v>46014.194178240738</v>
      </c>
      <c r="B3156" t="s">
        <v>1831</v>
      </c>
      <c r="C3156" t="s">
        <v>1524</v>
      </c>
      <c r="E3156" t="s">
        <v>1364</v>
      </c>
      <c r="F3156" t="s">
        <v>1372</v>
      </c>
      <c r="G3156">
        <v>-560</v>
      </c>
      <c r="H3156">
        <v>240</v>
      </c>
      <c r="K3156" t="s">
        <v>1383</v>
      </c>
    </row>
    <row r="3157" spans="1:11" x14ac:dyDescent="0.25">
      <c r="A3157" s="40">
        <v>46014.194178240738</v>
      </c>
      <c r="B3157" t="s">
        <v>1831</v>
      </c>
      <c r="C3157" t="s">
        <v>1519</v>
      </c>
      <c r="E3157" t="s">
        <v>1364</v>
      </c>
      <c r="F3157" t="s">
        <v>1372</v>
      </c>
      <c r="G3157">
        <v>-525</v>
      </c>
      <c r="H3157">
        <v>-235</v>
      </c>
      <c r="K3157" t="s">
        <v>1383</v>
      </c>
    </row>
    <row r="3158" spans="1:11" x14ac:dyDescent="0.25">
      <c r="A3158" s="40">
        <v>46014.194178240738</v>
      </c>
      <c r="B3158" t="s">
        <v>1831</v>
      </c>
      <c r="C3158" t="s">
        <v>1525</v>
      </c>
      <c r="E3158" t="s">
        <v>1364</v>
      </c>
      <c r="F3158" t="s">
        <v>1372</v>
      </c>
      <c r="G3158">
        <v>-525</v>
      </c>
      <c r="H3158">
        <v>170</v>
      </c>
      <c r="K3158" t="s">
        <v>1383</v>
      </c>
    </row>
    <row r="3159" spans="1:11" x14ac:dyDescent="0.25">
      <c r="A3159" s="40">
        <v>46014.194178240738</v>
      </c>
      <c r="B3159" t="s">
        <v>1831</v>
      </c>
      <c r="C3159" t="s">
        <v>1523</v>
      </c>
      <c r="E3159" t="s">
        <v>1364</v>
      </c>
      <c r="F3159" t="s">
        <v>1372</v>
      </c>
      <c r="G3159">
        <v>-1100</v>
      </c>
      <c r="H3159">
        <v>2480</v>
      </c>
      <c r="K3159" t="s">
        <v>1383</v>
      </c>
    </row>
    <row r="3160" spans="1:11" x14ac:dyDescent="0.25">
      <c r="A3160" s="40">
        <v>46014.194178240738</v>
      </c>
      <c r="B3160" t="s">
        <v>1831</v>
      </c>
      <c r="C3160" t="s">
        <v>1536</v>
      </c>
      <c r="E3160" t="s">
        <v>1364</v>
      </c>
      <c r="F3160" t="s">
        <v>1372</v>
      </c>
      <c r="G3160">
        <v>-560</v>
      </c>
      <c r="H3160">
        <v>-123</v>
      </c>
      <c r="K3160" t="s">
        <v>1383</v>
      </c>
    </row>
    <row r="3161" spans="1:11" x14ac:dyDescent="0.25">
      <c r="A3161" s="40">
        <v>46014.194178240738</v>
      </c>
      <c r="B3161" t="s">
        <v>1831</v>
      </c>
      <c r="C3161" t="s">
        <v>1547</v>
      </c>
      <c r="E3161" t="s">
        <v>1364</v>
      </c>
      <c r="F3161" t="s">
        <v>1372</v>
      </c>
      <c r="G3161">
        <v>-1100</v>
      </c>
      <c r="H3161">
        <v>-282</v>
      </c>
      <c r="K3161" t="s">
        <v>1383</v>
      </c>
    </row>
    <row r="3162" spans="1:11" x14ac:dyDescent="0.25">
      <c r="A3162" s="40">
        <v>46014.194178240738</v>
      </c>
      <c r="B3162" t="s">
        <v>1831</v>
      </c>
      <c r="C3162" t="s">
        <v>1544</v>
      </c>
      <c r="E3162" t="s">
        <v>1364</v>
      </c>
      <c r="F3162" t="s">
        <v>1372</v>
      </c>
      <c r="G3162">
        <v>-560</v>
      </c>
      <c r="H3162">
        <v>2090</v>
      </c>
      <c r="K3162" t="s">
        <v>1383</v>
      </c>
    </row>
    <row r="3163" spans="1:11" x14ac:dyDescent="0.25">
      <c r="A3163" s="40">
        <v>46014.194178240738</v>
      </c>
      <c r="B3163" t="s">
        <v>1831</v>
      </c>
      <c r="C3163" t="s">
        <v>1545</v>
      </c>
      <c r="E3163" t="s">
        <v>1364</v>
      </c>
      <c r="F3163" t="s">
        <v>1372</v>
      </c>
      <c r="G3163">
        <v>-620</v>
      </c>
      <c r="H3163">
        <v>1775</v>
      </c>
      <c r="K3163" t="s">
        <v>1383</v>
      </c>
    </row>
    <row r="3164" spans="1:11" x14ac:dyDescent="0.25">
      <c r="A3164" s="40">
        <v>46014.194178240738</v>
      </c>
      <c r="B3164" t="s">
        <v>1831</v>
      </c>
      <c r="C3164" t="s">
        <v>1507</v>
      </c>
      <c r="E3164" t="s">
        <v>1364</v>
      </c>
      <c r="F3164" t="s">
        <v>1372</v>
      </c>
      <c r="G3164">
        <v>-620</v>
      </c>
      <c r="H3164">
        <v>2425</v>
      </c>
      <c r="K3164" t="s">
        <v>1383</v>
      </c>
    </row>
    <row r="3165" spans="1:11" x14ac:dyDescent="0.25">
      <c r="A3165" s="40">
        <v>46014.194178240738</v>
      </c>
      <c r="B3165" t="s">
        <v>1831</v>
      </c>
      <c r="C3165" t="s">
        <v>1551</v>
      </c>
      <c r="E3165" t="s">
        <v>1364</v>
      </c>
      <c r="F3165" t="s">
        <v>1372</v>
      </c>
      <c r="G3165">
        <v>-6500</v>
      </c>
      <c r="H3165">
        <v>52065</v>
      </c>
      <c r="K3165" t="s">
        <v>1383</v>
      </c>
    </row>
    <row r="3166" spans="1:11" x14ac:dyDescent="0.25">
      <c r="A3166" s="40">
        <v>46014.194178240738</v>
      </c>
      <c r="B3166" t="s">
        <v>1831</v>
      </c>
      <c r="C3166" t="s">
        <v>1552</v>
      </c>
      <c r="E3166" t="s">
        <v>1364</v>
      </c>
      <c r="F3166" t="s">
        <v>1372</v>
      </c>
      <c r="G3166">
        <v>-2400</v>
      </c>
      <c r="H3166">
        <v>1740</v>
      </c>
      <c r="K3166" t="s">
        <v>1383</v>
      </c>
    </row>
    <row r="3167" spans="1:11" x14ac:dyDescent="0.25">
      <c r="A3167" s="40">
        <v>46014.194178240738</v>
      </c>
      <c r="B3167" t="s">
        <v>1831</v>
      </c>
      <c r="C3167" t="s">
        <v>1553</v>
      </c>
      <c r="E3167" t="s">
        <v>1364</v>
      </c>
      <c r="F3167" t="s">
        <v>1372</v>
      </c>
      <c r="G3167">
        <v>-620</v>
      </c>
      <c r="H3167">
        <v>16125</v>
      </c>
      <c r="K3167" t="s">
        <v>1383</v>
      </c>
    </row>
    <row r="3168" spans="1:11" x14ac:dyDescent="0.25">
      <c r="A3168" s="40">
        <v>46014.194178240738</v>
      </c>
      <c r="B3168" t="s">
        <v>1831</v>
      </c>
      <c r="C3168" t="s">
        <v>1554</v>
      </c>
      <c r="E3168" t="s">
        <v>1364</v>
      </c>
      <c r="F3168" t="s">
        <v>1372</v>
      </c>
      <c r="G3168">
        <v>-620</v>
      </c>
      <c r="H3168">
        <v>3125</v>
      </c>
      <c r="K3168" t="s">
        <v>1383</v>
      </c>
    </row>
    <row r="3169" spans="1:11" x14ac:dyDescent="0.25">
      <c r="A3169" s="40">
        <v>46014.194178240738</v>
      </c>
      <c r="B3169" t="s">
        <v>1831</v>
      </c>
      <c r="C3169" t="s">
        <v>1555</v>
      </c>
      <c r="E3169" t="s">
        <v>1364</v>
      </c>
      <c r="F3169" t="s">
        <v>1372</v>
      </c>
      <c r="G3169">
        <v>-1700</v>
      </c>
      <c r="H3169">
        <v>7625</v>
      </c>
      <c r="K3169" t="s">
        <v>1383</v>
      </c>
    </row>
    <row r="3170" spans="1:11" x14ac:dyDescent="0.25">
      <c r="A3170" s="40">
        <v>46014.194178240738</v>
      </c>
      <c r="B3170" t="s">
        <v>1831</v>
      </c>
      <c r="C3170" t="s">
        <v>1556</v>
      </c>
      <c r="E3170" t="s">
        <v>1364</v>
      </c>
      <c r="F3170" t="s">
        <v>1372</v>
      </c>
      <c r="G3170">
        <v>-620</v>
      </c>
      <c r="H3170">
        <v>4125</v>
      </c>
      <c r="K3170" t="s">
        <v>1383</v>
      </c>
    </row>
    <row r="3171" spans="1:11" x14ac:dyDescent="0.25">
      <c r="A3171" s="40">
        <v>46014.194178240738</v>
      </c>
      <c r="B3171" t="s">
        <v>1831</v>
      </c>
      <c r="C3171" t="s">
        <v>1557</v>
      </c>
      <c r="E3171" t="s">
        <v>1364</v>
      </c>
      <c r="F3171" t="s">
        <v>1372</v>
      </c>
      <c r="G3171">
        <v>-620</v>
      </c>
      <c r="H3171">
        <v>9125</v>
      </c>
      <c r="K3171" t="s">
        <v>1383</v>
      </c>
    </row>
    <row r="3172" spans="1:11" x14ac:dyDescent="0.25">
      <c r="A3172" s="40">
        <v>46014.194178240738</v>
      </c>
      <c r="B3172" t="s">
        <v>1831</v>
      </c>
      <c r="C3172" t="s">
        <v>1558</v>
      </c>
      <c r="E3172" t="s">
        <v>1364</v>
      </c>
      <c r="F3172" t="s">
        <v>1372</v>
      </c>
      <c r="G3172">
        <v>-620</v>
      </c>
      <c r="H3172">
        <v>4625</v>
      </c>
      <c r="K3172" t="s">
        <v>1383</v>
      </c>
    </row>
    <row r="3173" spans="1:11" x14ac:dyDescent="0.25">
      <c r="A3173" s="40">
        <v>46014.194178240738</v>
      </c>
      <c r="B3173" t="s">
        <v>1831</v>
      </c>
      <c r="C3173" t="s">
        <v>1559</v>
      </c>
      <c r="E3173" t="s">
        <v>1364</v>
      </c>
      <c r="F3173" t="s">
        <v>1372</v>
      </c>
      <c r="G3173">
        <v>-560</v>
      </c>
      <c r="H3173">
        <v>5470</v>
      </c>
      <c r="K3173" t="s">
        <v>1383</v>
      </c>
    </row>
    <row r="3174" spans="1:11" x14ac:dyDescent="0.25">
      <c r="A3174" s="40">
        <v>46014.194178240738</v>
      </c>
      <c r="B3174" t="s">
        <v>1831</v>
      </c>
      <c r="C3174" t="s">
        <v>1560</v>
      </c>
      <c r="E3174" t="s">
        <v>1364</v>
      </c>
      <c r="F3174" t="s">
        <v>1372</v>
      </c>
      <c r="G3174">
        <v>-1700</v>
      </c>
      <c r="H3174">
        <v>7725</v>
      </c>
      <c r="K3174" t="s">
        <v>1383</v>
      </c>
    </row>
    <row r="3175" spans="1:11" x14ac:dyDescent="0.25">
      <c r="A3175" s="40">
        <v>46014.194178240738</v>
      </c>
      <c r="B3175" t="s">
        <v>1831</v>
      </c>
      <c r="C3175" t="s">
        <v>1561</v>
      </c>
      <c r="E3175" t="s">
        <v>1364</v>
      </c>
      <c r="F3175" t="s">
        <v>1372</v>
      </c>
      <c r="G3175">
        <v>-1700</v>
      </c>
      <c r="H3175">
        <v>7695</v>
      </c>
      <c r="K3175" t="s">
        <v>1383</v>
      </c>
    </row>
    <row r="3176" spans="1:11" x14ac:dyDescent="0.25">
      <c r="A3176" s="40">
        <v>46014.194178240738</v>
      </c>
      <c r="B3176" t="s">
        <v>1831</v>
      </c>
      <c r="C3176" t="s">
        <v>1564</v>
      </c>
      <c r="E3176" t="s">
        <v>1364</v>
      </c>
      <c r="F3176" t="s">
        <v>1372</v>
      </c>
      <c r="G3176">
        <v>-620</v>
      </c>
      <c r="H3176">
        <v>6725</v>
      </c>
      <c r="K3176" t="s">
        <v>1383</v>
      </c>
    </row>
    <row r="3177" spans="1:11" x14ac:dyDescent="0.25">
      <c r="A3177" s="40">
        <v>46014.194178240738</v>
      </c>
      <c r="B3177" t="s">
        <v>1831</v>
      </c>
      <c r="C3177" t="s">
        <v>1562</v>
      </c>
      <c r="E3177" t="s">
        <v>1364</v>
      </c>
      <c r="F3177" t="s">
        <v>1372</v>
      </c>
      <c r="G3177">
        <v>-1200</v>
      </c>
      <c r="H3177">
        <v>-1200</v>
      </c>
      <c r="K3177" t="s">
        <v>1383</v>
      </c>
    </row>
    <row r="3178" spans="1:11" x14ac:dyDescent="0.25">
      <c r="A3178" s="40">
        <v>46014.194178240738</v>
      </c>
      <c r="B3178" t="s">
        <v>1831</v>
      </c>
      <c r="C3178" t="s">
        <v>1572</v>
      </c>
      <c r="E3178" t="s">
        <v>1364</v>
      </c>
      <c r="F3178" t="s">
        <v>1372</v>
      </c>
      <c r="G3178">
        <v>-525</v>
      </c>
      <c r="H3178">
        <v>1305</v>
      </c>
      <c r="K3178" t="s">
        <v>1383</v>
      </c>
    </row>
    <row r="3179" spans="1:11" x14ac:dyDescent="0.25">
      <c r="A3179" s="40">
        <v>46014.194178240738</v>
      </c>
      <c r="B3179" t="s">
        <v>1831</v>
      </c>
      <c r="C3179" t="s">
        <v>1550</v>
      </c>
      <c r="E3179" t="s">
        <v>1364</v>
      </c>
      <c r="F3179" t="s">
        <v>1372</v>
      </c>
      <c r="G3179">
        <v>-560</v>
      </c>
      <c r="H3179">
        <v>970</v>
      </c>
      <c r="K3179" t="s">
        <v>1383</v>
      </c>
    </row>
    <row r="3180" spans="1:11" x14ac:dyDescent="0.25">
      <c r="A3180" s="40">
        <v>46014.194178240738</v>
      </c>
      <c r="B3180" t="s">
        <v>1831</v>
      </c>
      <c r="C3180" t="s">
        <v>1541</v>
      </c>
      <c r="E3180" t="s">
        <v>1364</v>
      </c>
      <c r="F3180" t="s">
        <v>1372</v>
      </c>
      <c r="G3180">
        <v>-525</v>
      </c>
      <c r="H3180">
        <v>-292</v>
      </c>
      <c r="K3180" t="s">
        <v>1383</v>
      </c>
    </row>
    <row r="3181" spans="1:11" x14ac:dyDescent="0.25">
      <c r="A3181" s="40">
        <v>46014.194178240738</v>
      </c>
      <c r="B3181" t="s">
        <v>1831</v>
      </c>
      <c r="C3181" t="s">
        <v>1538</v>
      </c>
      <c r="E3181" t="s">
        <v>1364</v>
      </c>
      <c r="F3181" t="s">
        <v>1372</v>
      </c>
      <c r="G3181">
        <v>-525</v>
      </c>
      <c r="H3181">
        <v>1546</v>
      </c>
      <c r="K3181" t="s">
        <v>1383</v>
      </c>
    </row>
    <row r="3182" spans="1:11" x14ac:dyDescent="0.25">
      <c r="A3182" s="40">
        <v>46014.194178240738</v>
      </c>
      <c r="B3182" t="s">
        <v>1831</v>
      </c>
      <c r="C3182" t="s">
        <v>1527</v>
      </c>
      <c r="E3182" t="s">
        <v>1364</v>
      </c>
      <c r="F3182" t="s">
        <v>1372</v>
      </c>
      <c r="G3182">
        <v>-560</v>
      </c>
      <c r="H3182">
        <v>-370</v>
      </c>
      <c r="K3182" t="s">
        <v>1383</v>
      </c>
    </row>
    <row r="3183" spans="1:11" x14ac:dyDescent="0.25">
      <c r="A3183" s="40">
        <v>46014.194178240738</v>
      </c>
      <c r="B3183" t="s">
        <v>1831</v>
      </c>
      <c r="C3183" t="s">
        <v>1528</v>
      </c>
      <c r="E3183" t="s">
        <v>1364</v>
      </c>
      <c r="F3183" t="s">
        <v>1372</v>
      </c>
      <c r="G3183">
        <v>-525</v>
      </c>
      <c r="H3183">
        <v>-410</v>
      </c>
      <c r="K3183" t="s">
        <v>1383</v>
      </c>
    </row>
    <row r="3184" spans="1:11" x14ac:dyDescent="0.25">
      <c r="A3184" s="40">
        <v>46014.194178240738</v>
      </c>
      <c r="B3184" t="s">
        <v>1831</v>
      </c>
      <c r="C3184" t="s">
        <v>1529</v>
      </c>
      <c r="E3184" t="s">
        <v>1364</v>
      </c>
      <c r="F3184" t="s">
        <v>1372</v>
      </c>
      <c r="G3184">
        <v>-545</v>
      </c>
      <c r="H3184">
        <v>1158</v>
      </c>
      <c r="K3184" t="s">
        <v>1383</v>
      </c>
    </row>
    <row r="3185" spans="1:11" x14ac:dyDescent="0.25">
      <c r="A3185" s="40">
        <v>46014.194178240738</v>
      </c>
      <c r="B3185" t="s">
        <v>1831</v>
      </c>
      <c r="C3185" t="s">
        <v>1548</v>
      </c>
      <c r="E3185" t="s">
        <v>1364</v>
      </c>
      <c r="F3185" t="s">
        <v>1372</v>
      </c>
      <c r="G3185">
        <v>-560</v>
      </c>
      <c r="H3185">
        <v>870</v>
      </c>
      <c r="K3185" t="s">
        <v>1383</v>
      </c>
    </row>
    <row r="3186" spans="1:11" x14ac:dyDescent="0.25">
      <c r="A3186" s="40">
        <v>46014.194178240738</v>
      </c>
      <c r="B3186" t="s">
        <v>1831</v>
      </c>
      <c r="C3186" t="s">
        <v>1521</v>
      </c>
      <c r="E3186" t="s">
        <v>1364</v>
      </c>
      <c r="F3186" t="s">
        <v>1372</v>
      </c>
      <c r="G3186">
        <v>-560</v>
      </c>
      <c r="H3186">
        <v>2020</v>
      </c>
      <c r="K3186" t="s">
        <v>1383</v>
      </c>
    </row>
    <row r="3187" spans="1:11" x14ac:dyDescent="0.25">
      <c r="A3187" s="40">
        <v>46014.194178240738</v>
      </c>
      <c r="B3187" t="s">
        <v>1831</v>
      </c>
      <c r="C3187" t="s">
        <v>1549</v>
      </c>
      <c r="E3187" t="s">
        <v>1364</v>
      </c>
      <c r="F3187" t="s">
        <v>1372</v>
      </c>
      <c r="G3187">
        <v>-560</v>
      </c>
      <c r="H3187">
        <v>3020</v>
      </c>
      <c r="K3187" t="s">
        <v>1383</v>
      </c>
    </row>
    <row r="3188" spans="1:11" x14ac:dyDescent="0.25">
      <c r="A3188" s="40">
        <v>46024.213275462964</v>
      </c>
      <c r="B3188" t="s">
        <v>1832</v>
      </c>
      <c r="C3188" t="s">
        <v>1</v>
      </c>
      <c r="D3188" t="s">
        <v>250</v>
      </c>
      <c r="E3188" t="s">
        <v>1364</v>
      </c>
      <c r="F3188" t="s">
        <v>1372</v>
      </c>
      <c r="G3188">
        <v>-410</v>
      </c>
      <c r="H3188">
        <v>1367</v>
      </c>
      <c r="K3188" t="s">
        <v>1383</v>
      </c>
    </row>
    <row r="3189" spans="1:11" x14ac:dyDescent="0.25">
      <c r="A3189" s="40">
        <v>46024.213275462964</v>
      </c>
      <c r="B3189" t="s">
        <v>1832</v>
      </c>
      <c r="C3189" t="s">
        <v>55</v>
      </c>
      <c r="D3189" t="s">
        <v>312</v>
      </c>
      <c r="E3189" t="s">
        <v>1364</v>
      </c>
      <c r="F3189" t="s">
        <v>1372</v>
      </c>
      <c r="G3189">
        <v>-280</v>
      </c>
      <c r="H3189">
        <v>575</v>
      </c>
      <c r="K3189" t="s">
        <v>1383</v>
      </c>
    </row>
    <row r="3190" spans="1:11" ht="14.25" customHeight="1" x14ac:dyDescent="0.25">
      <c r="A3190" s="40">
        <v>46024.213275462964</v>
      </c>
      <c r="B3190" t="s">
        <v>1832</v>
      </c>
      <c r="C3190" t="s">
        <v>7</v>
      </c>
      <c r="D3190" t="s">
        <v>307</v>
      </c>
      <c r="E3190" t="s">
        <v>1364</v>
      </c>
      <c r="F3190" t="s">
        <v>1372</v>
      </c>
      <c r="G3190">
        <v>-240</v>
      </c>
      <c r="H3190">
        <v>7500</v>
      </c>
      <c r="K3190" t="s">
        <v>1383</v>
      </c>
    </row>
    <row r="3191" spans="1:11" x14ac:dyDescent="0.25">
      <c r="A3191" s="40">
        <v>46024.213275462964</v>
      </c>
      <c r="B3191" t="s">
        <v>1832</v>
      </c>
      <c r="C3191" t="s">
        <v>36</v>
      </c>
      <c r="D3191" t="s">
        <v>385</v>
      </c>
      <c r="E3191" t="s">
        <v>1364</v>
      </c>
      <c r="F3191" t="s">
        <v>1372</v>
      </c>
      <c r="G3191">
        <v>-280</v>
      </c>
      <c r="H3191">
        <v>382</v>
      </c>
      <c r="K3191" t="s">
        <v>1383</v>
      </c>
    </row>
    <row r="3192" spans="1:11" x14ac:dyDescent="0.25">
      <c r="A3192" s="40">
        <v>46024.213275462964</v>
      </c>
      <c r="B3192" t="s">
        <v>1832</v>
      </c>
      <c r="C3192" t="s">
        <v>5</v>
      </c>
      <c r="D3192" t="s">
        <v>389</v>
      </c>
      <c r="E3192" t="s">
        <v>1364</v>
      </c>
      <c r="F3192" t="s">
        <v>1372</v>
      </c>
      <c r="G3192">
        <v>-280</v>
      </c>
      <c r="H3192">
        <v>175</v>
      </c>
      <c r="K3192" t="s">
        <v>1383</v>
      </c>
    </row>
    <row r="3193" spans="1:11" x14ac:dyDescent="0.25">
      <c r="A3193" s="40">
        <v>46024.213275462964</v>
      </c>
      <c r="B3193" t="s">
        <v>1832</v>
      </c>
      <c r="C3193" t="s">
        <v>52</v>
      </c>
      <c r="D3193" t="s">
        <v>397</v>
      </c>
      <c r="E3193" t="s">
        <v>1364</v>
      </c>
      <c r="F3193" t="s">
        <v>1372</v>
      </c>
      <c r="G3193">
        <v>-280</v>
      </c>
      <c r="H3193">
        <v>7794</v>
      </c>
      <c r="K3193" t="s">
        <v>1383</v>
      </c>
    </row>
    <row r="3194" spans="1:11" x14ac:dyDescent="0.25">
      <c r="A3194" s="40">
        <v>46024.213275462964</v>
      </c>
      <c r="B3194" t="s">
        <v>1832</v>
      </c>
      <c r="C3194" t="s">
        <v>96</v>
      </c>
      <c r="D3194" t="s">
        <v>406</v>
      </c>
      <c r="E3194" t="s">
        <v>1364</v>
      </c>
      <c r="F3194" t="s">
        <v>1372</v>
      </c>
      <c r="G3194">
        <v>-280</v>
      </c>
      <c r="H3194">
        <v>4685</v>
      </c>
      <c r="K3194" t="s">
        <v>1383</v>
      </c>
    </row>
    <row r="3195" spans="1:11" x14ac:dyDescent="0.25">
      <c r="A3195" s="40">
        <v>46024.213275462964</v>
      </c>
      <c r="B3195" t="s">
        <v>1832</v>
      </c>
      <c r="C3195" t="s">
        <v>47</v>
      </c>
      <c r="D3195" t="s">
        <v>395</v>
      </c>
      <c r="E3195" t="s">
        <v>1364</v>
      </c>
      <c r="F3195" t="s">
        <v>1372</v>
      </c>
      <c r="G3195">
        <v>-110</v>
      </c>
      <c r="H3195">
        <v>16945</v>
      </c>
      <c r="K3195" t="s">
        <v>1383</v>
      </c>
    </row>
    <row r="3196" spans="1:11" x14ac:dyDescent="0.25">
      <c r="A3196" s="40">
        <v>46024.213275462964</v>
      </c>
      <c r="B3196" t="s">
        <v>1832</v>
      </c>
      <c r="C3196" t="s">
        <v>27</v>
      </c>
      <c r="D3196" t="s">
        <v>381</v>
      </c>
      <c r="E3196" t="s">
        <v>1364</v>
      </c>
      <c r="F3196" t="s">
        <v>1372</v>
      </c>
      <c r="G3196">
        <v>-320</v>
      </c>
      <c r="H3196">
        <v>31028</v>
      </c>
      <c r="K3196" t="s">
        <v>1383</v>
      </c>
    </row>
    <row r="3197" spans="1:11" x14ac:dyDescent="0.25">
      <c r="A3197" s="40">
        <v>46024.213275462964</v>
      </c>
      <c r="B3197" t="s">
        <v>1832</v>
      </c>
      <c r="C3197" t="s">
        <v>4</v>
      </c>
      <c r="D3197" t="s">
        <v>377</v>
      </c>
      <c r="E3197" t="s">
        <v>1364</v>
      </c>
      <c r="F3197" t="s">
        <v>1372</v>
      </c>
      <c r="G3197">
        <v>-110</v>
      </c>
      <c r="H3197">
        <v>6387</v>
      </c>
      <c r="K3197" t="s">
        <v>1383</v>
      </c>
    </row>
    <row r="3198" spans="1:11" x14ac:dyDescent="0.25">
      <c r="A3198" s="40">
        <v>46024.213275462964</v>
      </c>
      <c r="B3198" t="s">
        <v>1832</v>
      </c>
      <c r="C3198" t="s">
        <v>66</v>
      </c>
      <c r="D3198" t="s">
        <v>357</v>
      </c>
      <c r="E3198" t="s">
        <v>1364</v>
      </c>
      <c r="F3198" t="s">
        <v>1372</v>
      </c>
      <c r="G3198">
        <v>-280</v>
      </c>
      <c r="H3198">
        <v>2735</v>
      </c>
      <c r="K3198" t="s">
        <v>1383</v>
      </c>
    </row>
    <row r="3199" spans="1:11" x14ac:dyDescent="0.25">
      <c r="A3199" s="40">
        <v>46024.213275462964</v>
      </c>
      <c r="B3199" t="s">
        <v>1832</v>
      </c>
      <c r="C3199" t="s">
        <v>62</v>
      </c>
      <c r="D3199" t="s">
        <v>354</v>
      </c>
      <c r="E3199" t="s">
        <v>1364</v>
      </c>
      <c r="F3199" t="s">
        <v>1372</v>
      </c>
      <c r="G3199">
        <v>-60</v>
      </c>
      <c r="H3199">
        <v>2615</v>
      </c>
      <c r="K3199" t="s">
        <v>1383</v>
      </c>
    </row>
    <row r="3200" spans="1:11" x14ac:dyDescent="0.25">
      <c r="A3200" s="40">
        <v>46027.604479166665</v>
      </c>
      <c r="B3200" t="s">
        <v>1833</v>
      </c>
      <c r="C3200" t="s">
        <v>7</v>
      </c>
      <c r="D3200" t="s">
        <v>307</v>
      </c>
      <c r="E3200" t="s">
        <v>1364</v>
      </c>
      <c r="F3200" t="s">
        <v>1372</v>
      </c>
      <c r="G3200">
        <v>-30</v>
      </c>
      <c r="H3200">
        <v>7470</v>
      </c>
      <c r="K3200" t="s">
        <v>1383</v>
      </c>
    </row>
    <row r="3201" spans="1:12" x14ac:dyDescent="0.25">
      <c r="A3201" s="40">
        <v>46027.604479166665</v>
      </c>
      <c r="B3201" t="s">
        <v>1833</v>
      </c>
      <c r="C3201" t="s">
        <v>230</v>
      </c>
      <c r="D3201" t="s">
        <v>255</v>
      </c>
      <c r="E3201" t="s">
        <v>1364</v>
      </c>
      <c r="F3201" t="s">
        <v>1372</v>
      </c>
      <c r="G3201">
        <v>-25</v>
      </c>
      <c r="H3201">
        <v>2569</v>
      </c>
      <c r="K3201" t="s">
        <v>1383</v>
      </c>
    </row>
    <row r="3202" spans="1:12" x14ac:dyDescent="0.25">
      <c r="A3202" s="40">
        <v>46027.604479166665</v>
      </c>
      <c r="B3202" t="s">
        <v>1833</v>
      </c>
      <c r="C3202" t="s">
        <v>304</v>
      </c>
      <c r="D3202" t="s">
        <v>305</v>
      </c>
      <c r="E3202" t="s">
        <v>1364</v>
      </c>
      <c r="F3202" t="s">
        <v>1372</v>
      </c>
      <c r="G3202">
        <v>-25</v>
      </c>
      <c r="H3202">
        <v>2607</v>
      </c>
      <c r="K3202" t="s">
        <v>1383</v>
      </c>
    </row>
    <row r="3203" spans="1:12" x14ac:dyDescent="0.25">
      <c r="A3203" s="40">
        <v>46027.604479166665</v>
      </c>
      <c r="B3203" t="s">
        <v>1833</v>
      </c>
      <c r="C3203" t="s">
        <v>37</v>
      </c>
      <c r="D3203" t="s">
        <v>497</v>
      </c>
      <c r="E3203" t="s">
        <v>1364</v>
      </c>
      <c r="F3203" t="s">
        <v>1372</v>
      </c>
      <c r="G3203">
        <v>-25</v>
      </c>
      <c r="H3203">
        <v>6231</v>
      </c>
      <c r="K3203" t="s">
        <v>1383</v>
      </c>
    </row>
    <row r="3204" spans="1:12" x14ac:dyDescent="0.25">
      <c r="A3204" s="40">
        <v>46027.604479166665</v>
      </c>
      <c r="B3204" t="s">
        <v>1833</v>
      </c>
      <c r="C3204" t="s">
        <v>39</v>
      </c>
      <c r="D3204" t="s">
        <v>387</v>
      </c>
      <c r="E3204" t="s">
        <v>1364</v>
      </c>
      <c r="F3204" t="s">
        <v>1372</v>
      </c>
      <c r="G3204">
        <v>-25</v>
      </c>
      <c r="H3204">
        <v>6250</v>
      </c>
      <c r="K3204" t="s">
        <v>1383</v>
      </c>
    </row>
    <row r="3205" spans="1:12" x14ac:dyDescent="0.25">
      <c r="A3205" s="40">
        <v>46027.604479166665</v>
      </c>
      <c r="B3205" t="s">
        <v>1833</v>
      </c>
      <c r="C3205" t="s">
        <v>38</v>
      </c>
      <c r="D3205" t="s">
        <v>386</v>
      </c>
      <c r="E3205" t="s">
        <v>1364</v>
      </c>
      <c r="F3205" t="s">
        <v>1372</v>
      </c>
      <c r="G3205">
        <v>-25</v>
      </c>
      <c r="H3205">
        <v>23003</v>
      </c>
      <c r="K3205" t="s">
        <v>1383</v>
      </c>
    </row>
    <row r="3206" spans="1:12" x14ac:dyDescent="0.25">
      <c r="A3206" s="40">
        <v>46027.604479166665</v>
      </c>
      <c r="B3206" t="s">
        <v>1833</v>
      </c>
      <c r="C3206" t="s">
        <v>94</v>
      </c>
      <c r="D3206" t="s">
        <v>404</v>
      </c>
      <c r="E3206" t="s">
        <v>1364</v>
      </c>
      <c r="F3206" t="s">
        <v>1372</v>
      </c>
      <c r="G3206">
        <v>-25</v>
      </c>
      <c r="H3206">
        <v>3124</v>
      </c>
      <c r="K3206" t="s">
        <v>1383</v>
      </c>
    </row>
    <row r="3207" spans="1:12" x14ac:dyDescent="0.25">
      <c r="A3207" s="40">
        <v>46027.604479166665</v>
      </c>
      <c r="B3207" t="s">
        <v>1833</v>
      </c>
      <c r="C3207" t="s">
        <v>439</v>
      </c>
      <c r="D3207" t="s">
        <v>440</v>
      </c>
      <c r="E3207" t="s">
        <v>1364</v>
      </c>
      <c r="F3207" t="s">
        <v>1372</v>
      </c>
      <c r="G3207">
        <v>-40</v>
      </c>
      <c r="H3207">
        <v>4437</v>
      </c>
      <c r="K3207" t="s">
        <v>1383</v>
      </c>
    </row>
    <row r="3208" spans="1:12" x14ac:dyDescent="0.25">
      <c r="A3208" s="40">
        <v>46027.604479166665</v>
      </c>
      <c r="B3208" t="s">
        <v>1833</v>
      </c>
      <c r="C3208" t="s">
        <v>416</v>
      </c>
      <c r="D3208" t="s">
        <v>417</v>
      </c>
      <c r="E3208" t="s">
        <v>1364</v>
      </c>
      <c r="F3208" t="s">
        <v>1372</v>
      </c>
      <c r="G3208">
        <v>-55</v>
      </c>
      <c r="H3208">
        <v>653</v>
      </c>
      <c r="K3208" t="s">
        <v>1383</v>
      </c>
    </row>
    <row r="3209" spans="1:12" x14ac:dyDescent="0.25">
      <c r="A3209" s="40">
        <v>46027.604479166665</v>
      </c>
      <c r="B3209" t="s">
        <v>1833</v>
      </c>
      <c r="C3209" t="s">
        <v>1</v>
      </c>
      <c r="D3209" t="s">
        <v>250</v>
      </c>
      <c r="E3209" t="s">
        <v>1364</v>
      </c>
      <c r="F3209" t="s">
        <v>1372</v>
      </c>
      <c r="G3209">
        <v>-40</v>
      </c>
      <c r="H3209">
        <v>1327</v>
      </c>
      <c r="K3209" t="s">
        <v>1383</v>
      </c>
    </row>
    <row r="3210" spans="1:12" x14ac:dyDescent="0.25">
      <c r="A3210" s="40">
        <v>46027.604479166665</v>
      </c>
      <c r="B3210" t="s">
        <v>1833</v>
      </c>
      <c r="C3210" t="s">
        <v>341</v>
      </c>
      <c r="D3210" t="s">
        <v>342</v>
      </c>
      <c r="E3210" t="s">
        <v>1364</v>
      </c>
      <c r="F3210" t="s">
        <v>1372</v>
      </c>
      <c r="G3210">
        <v>-45</v>
      </c>
      <c r="H3210">
        <v>1868</v>
      </c>
      <c r="K3210" t="s">
        <v>1383</v>
      </c>
    </row>
    <row r="3211" spans="1:12" x14ac:dyDescent="0.25">
      <c r="A3211" s="40">
        <v>46027.604479166665</v>
      </c>
      <c r="B3211" t="s">
        <v>1833</v>
      </c>
      <c r="C3211" t="s">
        <v>20</v>
      </c>
      <c r="D3211" t="s">
        <v>498</v>
      </c>
      <c r="E3211" t="s">
        <v>1364</v>
      </c>
      <c r="F3211" t="s">
        <v>1372</v>
      </c>
      <c r="G3211">
        <v>-25</v>
      </c>
      <c r="H3211">
        <v>20615</v>
      </c>
      <c r="K3211" t="s">
        <v>1383</v>
      </c>
    </row>
    <row r="3212" spans="1:12" x14ac:dyDescent="0.25">
      <c r="A3212" s="40">
        <v>46027.604479166665</v>
      </c>
      <c r="B3212" t="s">
        <v>1833</v>
      </c>
      <c r="C3212" t="s">
        <v>36</v>
      </c>
      <c r="D3212" t="s">
        <v>385</v>
      </c>
      <c r="E3212" t="s">
        <v>1364</v>
      </c>
      <c r="F3212" t="s">
        <v>1372</v>
      </c>
      <c r="G3212">
        <v>-25</v>
      </c>
      <c r="H3212">
        <v>357</v>
      </c>
      <c r="K3212" t="s">
        <v>1383</v>
      </c>
    </row>
    <row r="3213" spans="1:12" x14ac:dyDescent="0.25">
      <c r="A3213" s="40">
        <v>46030.475983796299</v>
      </c>
      <c r="B3213" t="s">
        <v>1831</v>
      </c>
      <c r="C3213" t="s">
        <v>1536</v>
      </c>
      <c r="E3213" t="s">
        <v>1364</v>
      </c>
      <c r="F3213" t="s">
        <v>695</v>
      </c>
      <c r="G3213">
        <v>1000</v>
      </c>
      <c r="H3213">
        <v>877</v>
      </c>
      <c r="I3213" t="s">
        <v>1834</v>
      </c>
      <c r="K3213" t="s">
        <v>1465</v>
      </c>
      <c r="L3213">
        <v>0</v>
      </c>
    </row>
    <row r="3214" spans="1:12" x14ac:dyDescent="0.25">
      <c r="A3214" s="40">
        <v>46030.475983796299</v>
      </c>
      <c r="B3214" t="s">
        <v>1831</v>
      </c>
      <c r="C3214" t="s">
        <v>1547</v>
      </c>
      <c r="E3214" t="s">
        <v>1364</v>
      </c>
      <c r="F3214" t="s">
        <v>695</v>
      </c>
      <c r="G3214">
        <v>3000</v>
      </c>
      <c r="H3214">
        <v>2718</v>
      </c>
      <c r="I3214" t="s">
        <v>1834</v>
      </c>
      <c r="K3214" t="s">
        <v>1465</v>
      </c>
      <c r="L3214">
        <v>0</v>
      </c>
    </row>
    <row r="3215" spans="1:12" x14ac:dyDescent="0.25">
      <c r="A3215" s="40">
        <v>46030.475983796299</v>
      </c>
      <c r="B3215" t="s">
        <v>1831</v>
      </c>
      <c r="C3215" t="s">
        <v>1562</v>
      </c>
      <c r="E3215" t="s">
        <v>1364</v>
      </c>
      <c r="F3215" t="s">
        <v>695</v>
      </c>
      <c r="G3215">
        <v>7000</v>
      </c>
      <c r="H3215">
        <v>5800</v>
      </c>
      <c r="I3215" t="s">
        <v>1834</v>
      </c>
      <c r="K3215" t="s">
        <v>1465</v>
      </c>
      <c r="L3215">
        <v>0</v>
      </c>
    </row>
    <row r="3216" spans="1:12" x14ac:dyDescent="0.25">
      <c r="A3216" s="40">
        <v>46030.475983796299</v>
      </c>
      <c r="B3216" t="s">
        <v>1831</v>
      </c>
      <c r="C3216" t="s">
        <v>1541</v>
      </c>
      <c r="E3216" t="s">
        <v>1364</v>
      </c>
      <c r="F3216" t="s">
        <v>695</v>
      </c>
      <c r="G3216">
        <v>500</v>
      </c>
      <c r="H3216">
        <v>208</v>
      </c>
      <c r="I3216" t="s">
        <v>1834</v>
      </c>
      <c r="K3216" t="s">
        <v>1465</v>
      </c>
      <c r="L3216">
        <v>0</v>
      </c>
    </row>
    <row r="3217" spans="1:12" x14ac:dyDescent="0.25">
      <c r="A3217" s="40">
        <v>46030.475983796299</v>
      </c>
      <c r="B3217" t="s">
        <v>1831</v>
      </c>
      <c r="C3217" t="s">
        <v>1528</v>
      </c>
      <c r="E3217" t="s">
        <v>1364</v>
      </c>
      <c r="F3217" t="s">
        <v>695</v>
      </c>
      <c r="G3217">
        <v>2000</v>
      </c>
      <c r="H3217">
        <v>1590</v>
      </c>
      <c r="I3217" t="s">
        <v>1834</v>
      </c>
      <c r="K3217" t="s">
        <v>1465</v>
      </c>
      <c r="L3217">
        <v>0</v>
      </c>
    </row>
    <row r="3218" spans="1:12" x14ac:dyDescent="0.25">
      <c r="A3218" s="40">
        <v>46031.465648148151</v>
      </c>
      <c r="B3218" t="s">
        <v>1831</v>
      </c>
      <c r="C3218" t="s">
        <v>1519</v>
      </c>
      <c r="E3218" t="s">
        <v>1364</v>
      </c>
      <c r="F3218" t="s">
        <v>695</v>
      </c>
      <c r="G3218">
        <v>500</v>
      </c>
      <c r="H3218">
        <v>265</v>
      </c>
      <c r="I3218" t="s">
        <v>1834</v>
      </c>
      <c r="K3218" t="s">
        <v>1465</v>
      </c>
    </row>
    <row r="3219" spans="1:12" x14ac:dyDescent="0.25">
      <c r="A3219" s="40">
        <v>46031.465648148151</v>
      </c>
      <c r="B3219" t="s">
        <v>1831</v>
      </c>
      <c r="C3219" t="s">
        <v>1527</v>
      </c>
      <c r="E3219" t="s">
        <v>1364</v>
      </c>
      <c r="F3219" t="s">
        <v>695</v>
      </c>
      <c r="G3219">
        <v>500</v>
      </c>
      <c r="H3219">
        <v>130</v>
      </c>
      <c r="I3219" t="s">
        <v>1834</v>
      </c>
      <c r="K3219" t="s">
        <v>1465</v>
      </c>
    </row>
    <row r="3220" spans="1:12" x14ac:dyDescent="0.25">
      <c r="A3220" s="40">
        <v>46034.522881944446</v>
      </c>
      <c r="B3220" t="s">
        <v>1835</v>
      </c>
      <c r="C3220" t="s">
        <v>1751</v>
      </c>
      <c r="D3220" t="s">
        <v>1791</v>
      </c>
      <c r="E3220" t="s">
        <v>1364</v>
      </c>
      <c r="F3220" t="s">
        <v>1372</v>
      </c>
      <c r="G3220">
        <v>-30</v>
      </c>
      <c r="H3220">
        <v>912</v>
      </c>
      <c r="K3220" t="s">
        <v>1383</v>
      </c>
    </row>
    <row r="3221" spans="1:12" x14ac:dyDescent="0.25">
      <c r="A3221" s="40">
        <v>46034.522881944446</v>
      </c>
      <c r="B3221" t="s">
        <v>1835</v>
      </c>
      <c r="C3221" t="s">
        <v>258</v>
      </c>
      <c r="D3221" t="s">
        <v>259</v>
      </c>
      <c r="E3221" t="s">
        <v>1364</v>
      </c>
      <c r="F3221" t="s">
        <v>1372</v>
      </c>
      <c r="G3221">
        <v>-185</v>
      </c>
      <c r="H3221">
        <v>3008</v>
      </c>
      <c r="K3221" t="s">
        <v>1383</v>
      </c>
    </row>
    <row r="3222" spans="1:12" x14ac:dyDescent="0.25">
      <c r="A3222" s="40">
        <v>46034.522881944446</v>
      </c>
      <c r="B3222" t="s">
        <v>1835</v>
      </c>
      <c r="C3222" t="s">
        <v>1483</v>
      </c>
      <c r="F3222" t="s">
        <v>1372</v>
      </c>
      <c r="G3222">
        <v>-27</v>
      </c>
      <c r="H3222">
        <v>-29</v>
      </c>
      <c r="K3222" t="s">
        <v>1383</v>
      </c>
    </row>
    <row r="3223" spans="1:12" x14ac:dyDescent="0.25">
      <c r="A3223" s="40">
        <v>46034.522881944446</v>
      </c>
      <c r="B3223" t="s">
        <v>1835</v>
      </c>
      <c r="C3223" t="s">
        <v>302</v>
      </c>
      <c r="D3223" t="s">
        <v>303</v>
      </c>
      <c r="E3223" t="s">
        <v>1364</v>
      </c>
      <c r="F3223" t="s">
        <v>1372</v>
      </c>
      <c r="G3223">
        <v>-45</v>
      </c>
      <c r="H3223">
        <v>2452</v>
      </c>
      <c r="K3223" t="s">
        <v>1383</v>
      </c>
    </row>
    <row r="3224" spans="1:12" x14ac:dyDescent="0.25">
      <c r="A3224" s="40">
        <v>46034.522881944446</v>
      </c>
      <c r="B3224" t="s">
        <v>1835</v>
      </c>
      <c r="C3224" t="s">
        <v>412</v>
      </c>
      <c r="D3224" t="s">
        <v>413</v>
      </c>
      <c r="E3224" t="s">
        <v>1364</v>
      </c>
      <c r="F3224" t="s">
        <v>1372</v>
      </c>
      <c r="G3224">
        <v>-45</v>
      </c>
      <c r="H3224">
        <v>2192</v>
      </c>
      <c r="K3224" t="s">
        <v>1383</v>
      </c>
    </row>
    <row r="3225" spans="1:12" x14ac:dyDescent="0.25">
      <c r="A3225" s="40">
        <v>46034.522881944446</v>
      </c>
      <c r="B3225" t="s">
        <v>1835</v>
      </c>
      <c r="C3225" t="s">
        <v>267</v>
      </c>
      <c r="D3225" t="s">
        <v>268</v>
      </c>
      <c r="E3225" t="s">
        <v>1364</v>
      </c>
      <c r="F3225" t="s">
        <v>1372</v>
      </c>
      <c r="G3225">
        <v>-70</v>
      </c>
      <c r="H3225">
        <v>241</v>
      </c>
      <c r="K3225" t="s">
        <v>1383</v>
      </c>
    </row>
    <row r="3226" spans="1:12" x14ac:dyDescent="0.25">
      <c r="A3226" s="40">
        <v>46034.522881944446</v>
      </c>
      <c r="B3226" t="s">
        <v>1835</v>
      </c>
      <c r="C3226" t="s">
        <v>230</v>
      </c>
      <c r="D3226" t="s">
        <v>255</v>
      </c>
      <c r="E3226" t="s">
        <v>1364</v>
      </c>
      <c r="F3226" t="s">
        <v>1372</v>
      </c>
      <c r="G3226">
        <v>-143</v>
      </c>
      <c r="H3226">
        <v>2426</v>
      </c>
      <c r="K3226" t="s">
        <v>1383</v>
      </c>
    </row>
    <row r="3227" spans="1:12" x14ac:dyDescent="0.25">
      <c r="A3227" s="40">
        <v>46034.522881944446</v>
      </c>
      <c r="B3227" t="s">
        <v>1835</v>
      </c>
      <c r="C3227" t="s">
        <v>322</v>
      </c>
      <c r="D3227" t="s">
        <v>323</v>
      </c>
      <c r="E3227" t="s">
        <v>1364</v>
      </c>
      <c r="F3227" t="s">
        <v>1372</v>
      </c>
      <c r="G3227">
        <v>-210</v>
      </c>
      <c r="H3227">
        <v>2305</v>
      </c>
      <c r="K3227" t="s">
        <v>1383</v>
      </c>
    </row>
    <row r="3228" spans="1:12" x14ac:dyDescent="0.25">
      <c r="A3228" s="40">
        <v>46034.522881944446</v>
      </c>
      <c r="B3228" t="s">
        <v>1835</v>
      </c>
      <c r="C3228" t="s">
        <v>437</v>
      </c>
      <c r="D3228" t="s">
        <v>438</v>
      </c>
      <c r="E3228" t="s">
        <v>1364</v>
      </c>
      <c r="F3228" t="s">
        <v>1372</v>
      </c>
      <c r="G3228">
        <v>-45</v>
      </c>
      <c r="H3228">
        <v>2362</v>
      </c>
      <c r="K3228" t="s">
        <v>1383</v>
      </c>
    </row>
    <row r="3229" spans="1:12" x14ac:dyDescent="0.25">
      <c r="A3229" s="40">
        <v>46034.522881944446</v>
      </c>
      <c r="B3229" t="s">
        <v>1835</v>
      </c>
      <c r="C3229" t="s">
        <v>53</v>
      </c>
      <c r="D3229" t="s">
        <v>398</v>
      </c>
      <c r="E3229" t="s">
        <v>1364</v>
      </c>
      <c r="F3229" t="s">
        <v>1372</v>
      </c>
      <c r="G3229">
        <v>-240</v>
      </c>
      <c r="H3229">
        <v>389</v>
      </c>
      <c r="K3229" t="s">
        <v>1383</v>
      </c>
    </row>
    <row r="3230" spans="1:12" x14ac:dyDescent="0.25">
      <c r="A3230" s="40">
        <v>46034.522881944446</v>
      </c>
      <c r="B3230" t="s">
        <v>1835</v>
      </c>
      <c r="C3230" t="s">
        <v>37</v>
      </c>
      <c r="D3230" t="s">
        <v>497</v>
      </c>
      <c r="E3230" t="s">
        <v>1364</v>
      </c>
      <c r="F3230" t="s">
        <v>1372</v>
      </c>
      <c r="G3230">
        <v>-234</v>
      </c>
      <c r="H3230">
        <v>5997</v>
      </c>
      <c r="K3230" t="s">
        <v>1383</v>
      </c>
    </row>
    <row r="3231" spans="1:12" x14ac:dyDescent="0.25">
      <c r="A3231" s="40">
        <v>46034.522881944446</v>
      </c>
      <c r="B3231" t="s">
        <v>1835</v>
      </c>
      <c r="C3231" t="s">
        <v>56</v>
      </c>
      <c r="D3231" t="s">
        <v>313</v>
      </c>
      <c r="E3231" t="s">
        <v>1364</v>
      </c>
      <c r="F3231" t="s">
        <v>1372</v>
      </c>
      <c r="G3231">
        <v>-105</v>
      </c>
      <c r="H3231">
        <v>1793</v>
      </c>
      <c r="K3231" t="s">
        <v>1383</v>
      </c>
    </row>
    <row r="3232" spans="1:12" x14ac:dyDescent="0.25">
      <c r="A3232" s="40">
        <v>46034.522881944446</v>
      </c>
      <c r="B3232" t="s">
        <v>1835</v>
      </c>
      <c r="C3232" t="s">
        <v>435</v>
      </c>
      <c r="D3232" t="s">
        <v>436</v>
      </c>
      <c r="E3232" t="s">
        <v>1364</v>
      </c>
      <c r="F3232" t="s">
        <v>1372</v>
      </c>
      <c r="G3232">
        <v>-105</v>
      </c>
      <c r="H3232">
        <v>3812</v>
      </c>
      <c r="K3232" t="s">
        <v>1383</v>
      </c>
    </row>
    <row r="3233" spans="1:11" x14ac:dyDescent="0.25">
      <c r="A3233" s="40">
        <v>46034.522881944446</v>
      </c>
      <c r="B3233" t="s">
        <v>1835</v>
      </c>
      <c r="C3233" t="s">
        <v>260</v>
      </c>
      <c r="D3233" t="s">
        <v>261</v>
      </c>
      <c r="E3233" t="s">
        <v>1364</v>
      </c>
      <c r="F3233" t="s">
        <v>1372</v>
      </c>
      <c r="G3233">
        <v>-210</v>
      </c>
      <c r="H3233">
        <v>3324</v>
      </c>
      <c r="K3233" t="s">
        <v>1383</v>
      </c>
    </row>
    <row r="3234" spans="1:11" x14ac:dyDescent="0.25">
      <c r="A3234" s="40">
        <v>46034.522881944446</v>
      </c>
      <c r="B3234" t="s">
        <v>1835</v>
      </c>
      <c r="C3234" t="s">
        <v>277</v>
      </c>
      <c r="D3234" t="s">
        <v>278</v>
      </c>
      <c r="E3234" t="s">
        <v>1364</v>
      </c>
      <c r="F3234" t="s">
        <v>1372</v>
      </c>
      <c r="G3234">
        <v>-70</v>
      </c>
      <c r="H3234">
        <v>2098</v>
      </c>
      <c r="K3234" t="s">
        <v>1383</v>
      </c>
    </row>
    <row r="3235" spans="1:11" x14ac:dyDescent="0.25">
      <c r="A3235" s="40">
        <v>46034.522881944446</v>
      </c>
      <c r="B3235" t="s">
        <v>1835</v>
      </c>
      <c r="C3235" t="s">
        <v>479</v>
      </c>
      <c r="D3235" t="s">
        <v>480</v>
      </c>
      <c r="E3235" t="s">
        <v>1364</v>
      </c>
      <c r="F3235" t="s">
        <v>1372</v>
      </c>
      <c r="G3235">
        <v>-45</v>
      </c>
      <c r="H3235">
        <v>2727</v>
      </c>
      <c r="K3235" t="s">
        <v>1383</v>
      </c>
    </row>
    <row r="3236" spans="1:11" x14ac:dyDescent="0.25">
      <c r="A3236" s="40">
        <v>46034.522881944446</v>
      </c>
      <c r="B3236" t="s">
        <v>1835</v>
      </c>
      <c r="C3236" t="s">
        <v>66</v>
      </c>
      <c r="D3236" t="s">
        <v>357</v>
      </c>
      <c r="E3236" t="s">
        <v>1364</v>
      </c>
      <c r="F3236" t="s">
        <v>1372</v>
      </c>
      <c r="G3236">
        <v>-290</v>
      </c>
      <c r="H3236">
        <v>2445</v>
      </c>
      <c r="K3236" t="s">
        <v>1383</v>
      </c>
    </row>
    <row r="3237" spans="1:11" x14ac:dyDescent="0.25">
      <c r="A3237" s="40">
        <v>46034.522881944446</v>
      </c>
      <c r="B3237" t="s">
        <v>1835</v>
      </c>
      <c r="C3237" t="s">
        <v>693</v>
      </c>
      <c r="D3237" t="s">
        <v>701</v>
      </c>
      <c r="E3237" t="s">
        <v>1364</v>
      </c>
      <c r="F3237" t="s">
        <v>1372</v>
      </c>
      <c r="G3237">
        <v>-45</v>
      </c>
      <c r="H3237">
        <v>674</v>
      </c>
      <c r="K3237" t="s">
        <v>1383</v>
      </c>
    </row>
    <row r="3238" spans="1:11" x14ac:dyDescent="0.25">
      <c r="A3238" s="40">
        <v>46034.522881944446</v>
      </c>
      <c r="B3238" t="s">
        <v>1835</v>
      </c>
      <c r="C3238" t="s">
        <v>328</v>
      </c>
      <c r="D3238" t="s">
        <v>329</v>
      </c>
      <c r="E3238" t="s">
        <v>1364</v>
      </c>
      <c r="F3238" t="s">
        <v>1372</v>
      </c>
      <c r="G3238">
        <v>-45</v>
      </c>
      <c r="H3238">
        <v>3088</v>
      </c>
      <c r="K3238" t="s">
        <v>1383</v>
      </c>
    </row>
    <row r="3239" spans="1:11" x14ac:dyDescent="0.25">
      <c r="A3239" s="40">
        <v>46034.522881944446</v>
      </c>
      <c r="B3239" t="s">
        <v>1835</v>
      </c>
      <c r="C3239" t="s">
        <v>339</v>
      </c>
      <c r="D3239" t="s">
        <v>340</v>
      </c>
      <c r="E3239" t="s">
        <v>1364</v>
      </c>
      <c r="F3239" t="s">
        <v>1372</v>
      </c>
      <c r="G3239">
        <v>-70</v>
      </c>
      <c r="H3239">
        <v>1774</v>
      </c>
      <c r="K3239" t="s">
        <v>1383</v>
      </c>
    </row>
    <row r="3240" spans="1:11" x14ac:dyDescent="0.25">
      <c r="A3240" s="40">
        <v>46034.522881944446</v>
      </c>
      <c r="B3240" t="s">
        <v>1835</v>
      </c>
      <c r="C3240" t="s">
        <v>275</v>
      </c>
      <c r="D3240" t="s">
        <v>276</v>
      </c>
      <c r="E3240" t="s">
        <v>1364</v>
      </c>
      <c r="F3240" t="s">
        <v>1372</v>
      </c>
      <c r="G3240">
        <v>-45</v>
      </c>
      <c r="H3240">
        <v>2033</v>
      </c>
      <c r="K3240" t="s">
        <v>1383</v>
      </c>
    </row>
    <row r="3241" spans="1:11" x14ac:dyDescent="0.25">
      <c r="A3241" s="40">
        <v>46034.522881944446</v>
      </c>
      <c r="B3241" t="s">
        <v>1835</v>
      </c>
      <c r="C3241" t="s">
        <v>1353</v>
      </c>
      <c r="E3241" t="s">
        <v>1365</v>
      </c>
      <c r="F3241" t="s">
        <v>1372</v>
      </c>
      <c r="G3241">
        <v>-135</v>
      </c>
      <c r="H3241">
        <v>586</v>
      </c>
      <c r="K3241" t="s">
        <v>1383</v>
      </c>
    </row>
    <row r="3242" spans="1:11" x14ac:dyDescent="0.25">
      <c r="A3242" s="40">
        <v>46034.522881944446</v>
      </c>
      <c r="B3242" t="s">
        <v>1835</v>
      </c>
      <c r="C3242" t="s">
        <v>65</v>
      </c>
      <c r="D3242" t="s">
        <v>347</v>
      </c>
      <c r="E3242" t="s">
        <v>1364</v>
      </c>
      <c r="F3242" t="s">
        <v>1372</v>
      </c>
      <c r="G3242">
        <v>-45</v>
      </c>
      <c r="H3242">
        <v>2278</v>
      </c>
      <c r="K3242" t="s">
        <v>1383</v>
      </c>
    </row>
    <row r="3243" spans="1:11" x14ac:dyDescent="0.25">
      <c r="A3243" s="40">
        <v>46034.522881944446</v>
      </c>
      <c r="B3243" t="s">
        <v>1835</v>
      </c>
      <c r="C3243" t="s">
        <v>61</v>
      </c>
      <c r="D3243" t="s">
        <v>353</v>
      </c>
      <c r="E3243" t="s">
        <v>1364</v>
      </c>
      <c r="F3243" t="s">
        <v>1372</v>
      </c>
      <c r="G3243">
        <v>-710</v>
      </c>
      <c r="H3243">
        <v>4580</v>
      </c>
      <c r="K3243" t="s">
        <v>1383</v>
      </c>
    </row>
    <row r="3244" spans="1:11" x14ac:dyDescent="0.25">
      <c r="A3244" s="40">
        <v>46034.522881944446</v>
      </c>
      <c r="B3244" t="s">
        <v>1835</v>
      </c>
      <c r="C3244" t="s">
        <v>62</v>
      </c>
      <c r="D3244" t="s">
        <v>354</v>
      </c>
      <c r="E3244" t="s">
        <v>1364</v>
      </c>
      <c r="F3244" t="s">
        <v>1372</v>
      </c>
      <c r="G3244">
        <v>-45</v>
      </c>
      <c r="H3244">
        <v>2570</v>
      </c>
      <c r="K3244" t="s">
        <v>1383</v>
      </c>
    </row>
    <row r="3245" spans="1:11" x14ac:dyDescent="0.25">
      <c r="A3245" s="40">
        <v>46034.522881944446</v>
      </c>
      <c r="B3245" t="s">
        <v>1835</v>
      </c>
      <c r="C3245" t="s">
        <v>46</v>
      </c>
      <c r="D3245" t="s">
        <v>394</v>
      </c>
      <c r="E3245" t="s">
        <v>1364</v>
      </c>
      <c r="F3245" t="s">
        <v>1372</v>
      </c>
      <c r="G3245">
        <v>-45</v>
      </c>
      <c r="H3245">
        <v>3220</v>
      </c>
      <c r="K3245" t="s">
        <v>1383</v>
      </c>
    </row>
    <row r="3246" spans="1:11" x14ac:dyDescent="0.25">
      <c r="A3246" s="40">
        <v>46034.522881944446</v>
      </c>
      <c r="B3246" t="s">
        <v>1835</v>
      </c>
      <c r="C3246" t="s">
        <v>40</v>
      </c>
      <c r="D3246" t="s">
        <v>388</v>
      </c>
      <c r="E3246" t="s">
        <v>1364</v>
      </c>
      <c r="F3246" t="s">
        <v>1372</v>
      </c>
      <c r="G3246">
        <v>-167</v>
      </c>
      <c r="H3246">
        <v>5906</v>
      </c>
      <c r="K3246" t="s">
        <v>1383</v>
      </c>
    </row>
    <row r="3247" spans="1:11" x14ac:dyDescent="0.25">
      <c r="A3247" s="40">
        <v>46034.522881944446</v>
      </c>
      <c r="B3247" t="s">
        <v>1835</v>
      </c>
      <c r="C3247" t="s">
        <v>458</v>
      </c>
      <c r="D3247" t="s">
        <v>459</v>
      </c>
      <c r="E3247" t="s">
        <v>1364</v>
      </c>
      <c r="F3247" t="s">
        <v>1372</v>
      </c>
      <c r="G3247">
        <v>-185</v>
      </c>
      <c r="H3247">
        <v>2133</v>
      </c>
      <c r="K3247" t="s">
        <v>1383</v>
      </c>
    </row>
    <row r="3248" spans="1:11" x14ac:dyDescent="0.25">
      <c r="A3248" s="40">
        <v>46034.522881944446</v>
      </c>
      <c r="B3248" t="s">
        <v>1835</v>
      </c>
      <c r="C3248" t="s">
        <v>9</v>
      </c>
      <c r="D3248" t="s">
        <v>316</v>
      </c>
      <c r="E3248" t="s">
        <v>1364</v>
      </c>
      <c r="F3248" t="s">
        <v>1372</v>
      </c>
      <c r="G3248">
        <v>-135</v>
      </c>
      <c r="H3248">
        <v>2200</v>
      </c>
      <c r="K3248" t="s">
        <v>1383</v>
      </c>
    </row>
    <row r="3249" spans="1:11" x14ac:dyDescent="0.25">
      <c r="A3249" s="40">
        <v>46034.522881944446</v>
      </c>
      <c r="B3249" t="s">
        <v>1835</v>
      </c>
      <c r="C3249" t="s">
        <v>416</v>
      </c>
      <c r="D3249" t="s">
        <v>417</v>
      </c>
      <c r="E3249" t="s">
        <v>1364</v>
      </c>
      <c r="F3249" t="s">
        <v>1372</v>
      </c>
      <c r="G3249">
        <v>-479</v>
      </c>
      <c r="H3249">
        <v>174</v>
      </c>
      <c r="K3249" t="s">
        <v>1383</v>
      </c>
    </row>
    <row r="3250" spans="1:11" x14ac:dyDescent="0.25">
      <c r="A3250" s="40">
        <v>46034.522881944446</v>
      </c>
      <c r="B3250" t="s">
        <v>1835</v>
      </c>
      <c r="C3250" t="s">
        <v>34</v>
      </c>
      <c r="D3250" t="s">
        <v>495</v>
      </c>
      <c r="E3250" t="s">
        <v>1364</v>
      </c>
      <c r="F3250" t="s">
        <v>1372</v>
      </c>
      <c r="G3250">
        <v>-105</v>
      </c>
      <c r="H3250">
        <v>2244</v>
      </c>
      <c r="K3250" t="s">
        <v>1383</v>
      </c>
    </row>
    <row r="3251" spans="1:11" x14ac:dyDescent="0.25">
      <c r="A3251" s="40">
        <v>46034.522881944446</v>
      </c>
      <c r="B3251" t="s">
        <v>1835</v>
      </c>
      <c r="C3251" t="s">
        <v>1352</v>
      </c>
      <c r="E3251" t="s">
        <v>1365</v>
      </c>
      <c r="F3251" t="s">
        <v>1372</v>
      </c>
      <c r="G3251">
        <v>-405</v>
      </c>
      <c r="H3251">
        <v>-316</v>
      </c>
      <c r="K3251" t="s">
        <v>1383</v>
      </c>
    </row>
    <row r="3252" spans="1:11" x14ac:dyDescent="0.25">
      <c r="A3252" s="40">
        <v>46034.522881944446</v>
      </c>
      <c r="B3252" t="s">
        <v>1835</v>
      </c>
      <c r="C3252" t="s">
        <v>35</v>
      </c>
      <c r="D3252" t="s">
        <v>496</v>
      </c>
      <c r="E3252" t="s">
        <v>1364</v>
      </c>
      <c r="F3252" t="s">
        <v>1372</v>
      </c>
      <c r="G3252">
        <v>-265</v>
      </c>
      <c r="H3252">
        <v>12</v>
      </c>
      <c r="K3252" t="s">
        <v>1383</v>
      </c>
    </row>
    <row r="3253" spans="1:11" x14ac:dyDescent="0.25">
      <c r="A3253" s="40">
        <v>46034.522881944446</v>
      </c>
      <c r="B3253" t="s">
        <v>1835</v>
      </c>
      <c r="C3253" t="s">
        <v>43</v>
      </c>
      <c r="D3253" t="s">
        <v>499</v>
      </c>
      <c r="E3253" t="s">
        <v>1364</v>
      </c>
      <c r="F3253" t="s">
        <v>1372</v>
      </c>
      <c r="G3253">
        <v>-135</v>
      </c>
      <c r="H3253">
        <v>2639</v>
      </c>
      <c r="K3253" t="s">
        <v>1383</v>
      </c>
    </row>
    <row r="3254" spans="1:11" x14ac:dyDescent="0.25">
      <c r="A3254" s="40">
        <v>46034.522881944446</v>
      </c>
      <c r="B3254" t="s">
        <v>1835</v>
      </c>
      <c r="C3254" t="s">
        <v>10</v>
      </c>
      <c r="D3254" t="s">
        <v>332</v>
      </c>
      <c r="E3254" t="s">
        <v>1364</v>
      </c>
      <c r="F3254" t="s">
        <v>1372</v>
      </c>
      <c r="G3254">
        <v>-610</v>
      </c>
      <c r="H3254">
        <v>4927</v>
      </c>
      <c r="K3254" t="s">
        <v>1383</v>
      </c>
    </row>
    <row r="3255" spans="1:11" x14ac:dyDescent="0.25">
      <c r="A3255" s="40">
        <v>46034.522881944446</v>
      </c>
      <c r="B3255" t="s">
        <v>1835</v>
      </c>
      <c r="C3255" t="s">
        <v>33</v>
      </c>
      <c r="D3255" t="s">
        <v>494</v>
      </c>
      <c r="E3255" t="s">
        <v>1364</v>
      </c>
      <c r="F3255" t="s">
        <v>1372</v>
      </c>
      <c r="G3255">
        <v>-45</v>
      </c>
      <c r="H3255">
        <v>3328</v>
      </c>
      <c r="K3255" t="s">
        <v>1383</v>
      </c>
    </row>
    <row r="3256" spans="1:11" x14ac:dyDescent="0.25">
      <c r="A3256" s="40">
        <v>46034.522881944446</v>
      </c>
      <c r="B3256" t="s">
        <v>1835</v>
      </c>
      <c r="C3256" t="s">
        <v>462</v>
      </c>
      <c r="D3256" t="s">
        <v>463</v>
      </c>
      <c r="E3256" t="s">
        <v>1364</v>
      </c>
      <c r="F3256" t="s">
        <v>1372</v>
      </c>
      <c r="G3256">
        <v>-70</v>
      </c>
      <c r="H3256">
        <v>2413</v>
      </c>
      <c r="K3256" t="s">
        <v>1383</v>
      </c>
    </row>
    <row r="3257" spans="1:11" x14ac:dyDescent="0.25">
      <c r="A3257" s="40">
        <v>46034.522881944446</v>
      </c>
      <c r="B3257" t="s">
        <v>1835</v>
      </c>
      <c r="C3257" t="s">
        <v>39</v>
      </c>
      <c r="D3257" t="s">
        <v>387</v>
      </c>
      <c r="E3257" t="s">
        <v>1364</v>
      </c>
      <c r="F3257" t="s">
        <v>1372</v>
      </c>
      <c r="G3257">
        <v>-53</v>
      </c>
      <c r="H3257">
        <v>6197</v>
      </c>
      <c r="K3257" t="s">
        <v>1383</v>
      </c>
    </row>
    <row r="3258" spans="1:11" x14ac:dyDescent="0.25">
      <c r="A3258" s="40">
        <v>46034.522881944446</v>
      </c>
      <c r="B3258" t="s">
        <v>1835</v>
      </c>
      <c r="C3258" t="s">
        <v>41</v>
      </c>
      <c r="D3258" t="s">
        <v>390</v>
      </c>
      <c r="E3258" t="s">
        <v>1364</v>
      </c>
      <c r="F3258" t="s">
        <v>1372</v>
      </c>
      <c r="G3258">
        <v>-45</v>
      </c>
      <c r="H3258">
        <v>3203</v>
      </c>
      <c r="K3258" t="s">
        <v>1383</v>
      </c>
    </row>
    <row r="3259" spans="1:11" x14ac:dyDescent="0.25">
      <c r="A3259" s="40">
        <v>46034.522881944446</v>
      </c>
      <c r="B3259" t="s">
        <v>1835</v>
      </c>
      <c r="C3259" t="s">
        <v>51</v>
      </c>
      <c r="D3259" t="s">
        <v>502</v>
      </c>
      <c r="E3259" t="s">
        <v>1364</v>
      </c>
      <c r="F3259" t="s">
        <v>1372</v>
      </c>
      <c r="G3259">
        <v>-185</v>
      </c>
      <c r="H3259">
        <v>1778</v>
      </c>
      <c r="K3259" t="s">
        <v>1383</v>
      </c>
    </row>
    <row r="3260" spans="1:11" x14ac:dyDescent="0.25">
      <c r="A3260" s="40">
        <v>46034.522881944446</v>
      </c>
      <c r="B3260" t="s">
        <v>1835</v>
      </c>
      <c r="C3260" t="s">
        <v>343</v>
      </c>
      <c r="D3260" t="s">
        <v>344</v>
      </c>
      <c r="E3260" t="s">
        <v>1364</v>
      </c>
      <c r="F3260" t="s">
        <v>1372</v>
      </c>
      <c r="G3260">
        <v>-240</v>
      </c>
      <c r="H3260">
        <v>704</v>
      </c>
      <c r="K3260" t="s">
        <v>1383</v>
      </c>
    </row>
    <row r="3261" spans="1:11" x14ac:dyDescent="0.25">
      <c r="A3261" s="40">
        <v>46034.522881944446</v>
      </c>
      <c r="B3261" t="s">
        <v>1835</v>
      </c>
      <c r="C3261" t="s">
        <v>94</v>
      </c>
      <c r="D3261" t="s">
        <v>404</v>
      </c>
      <c r="E3261" t="s">
        <v>1364</v>
      </c>
      <c r="F3261" t="s">
        <v>1372</v>
      </c>
      <c r="G3261">
        <v>-498</v>
      </c>
      <c r="H3261">
        <v>2626</v>
      </c>
      <c r="K3261" t="s">
        <v>1383</v>
      </c>
    </row>
    <row r="3262" spans="1:11" x14ac:dyDescent="0.25">
      <c r="A3262" s="40">
        <v>46034.522881944446</v>
      </c>
      <c r="B3262" t="s">
        <v>1835</v>
      </c>
      <c r="C3262" t="s">
        <v>59</v>
      </c>
      <c r="D3262" t="s">
        <v>401</v>
      </c>
      <c r="E3262" t="s">
        <v>1364</v>
      </c>
      <c r="F3262" t="s">
        <v>1372</v>
      </c>
      <c r="G3262">
        <v>-45</v>
      </c>
      <c r="H3262">
        <v>2795</v>
      </c>
      <c r="K3262" t="s">
        <v>1383</v>
      </c>
    </row>
    <row r="3263" spans="1:11" x14ac:dyDescent="0.25">
      <c r="A3263" s="40">
        <v>46034.522881944446</v>
      </c>
      <c r="B3263" t="s">
        <v>1835</v>
      </c>
      <c r="C3263" t="s">
        <v>55</v>
      </c>
      <c r="D3263" t="s">
        <v>312</v>
      </c>
      <c r="E3263" t="s">
        <v>1364</v>
      </c>
      <c r="F3263" t="s">
        <v>1372</v>
      </c>
      <c r="G3263">
        <v>-70</v>
      </c>
      <c r="H3263">
        <v>505</v>
      </c>
      <c r="K3263" t="s">
        <v>1383</v>
      </c>
    </row>
    <row r="3264" spans="1:11" x14ac:dyDescent="0.25">
      <c r="A3264" s="40">
        <v>46034.522881944446</v>
      </c>
      <c r="B3264" t="s">
        <v>1835</v>
      </c>
      <c r="C3264" t="s">
        <v>42</v>
      </c>
      <c r="D3264" t="s">
        <v>391</v>
      </c>
      <c r="E3264" t="s">
        <v>1364</v>
      </c>
      <c r="F3264" t="s">
        <v>1372</v>
      </c>
      <c r="G3264">
        <v>-168</v>
      </c>
      <c r="H3264">
        <v>1885</v>
      </c>
      <c r="K3264" t="s">
        <v>1383</v>
      </c>
    </row>
    <row r="3265" spans="1:11" x14ac:dyDescent="0.25">
      <c r="A3265" s="40">
        <v>46034.522881944446</v>
      </c>
      <c r="B3265" t="s">
        <v>1835</v>
      </c>
      <c r="C3265" t="s">
        <v>324</v>
      </c>
      <c r="D3265" t="s">
        <v>325</v>
      </c>
      <c r="E3265" t="s">
        <v>1364</v>
      </c>
      <c r="F3265" t="s">
        <v>1372</v>
      </c>
      <c r="G3265">
        <v>-160</v>
      </c>
      <c r="H3265">
        <v>551</v>
      </c>
      <c r="K3265" t="s">
        <v>1383</v>
      </c>
    </row>
    <row r="3266" spans="1:11" x14ac:dyDescent="0.25">
      <c r="A3266" s="40">
        <v>46034.522881944446</v>
      </c>
      <c r="B3266" t="s">
        <v>1835</v>
      </c>
      <c r="C3266" t="s">
        <v>36</v>
      </c>
      <c r="D3266" t="s">
        <v>385</v>
      </c>
      <c r="E3266" t="s">
        <v>1364</v>
      </c>
      <c r="F3266" t="s">
        <v>1372</v>
      </c>
      <c r="G3266">
        <v>-910</v>
      </c>
      <c r="H3266">
        <v>-553</v>
      </c>
      <c r="K3266" t="s">
        <v>1383</v>
      </c>
    </row>
    <row r="3267" spans="1:11" x14ac:dyDescent="0.25">
      <c r="A3267" s="40">
        <v>46034.522881944446</v>
      </c>
      <c r="B3267" t="s">
        <v>1835</v>
      </c>
      <c r="C3267" t="s">
        <v>3</v>
      </c>
      <c r="D3267" t="s">
        <v>287</v>
      </c>
      <c r="E3267" t="s">
        <v>1364</v>
      </c>
      <c r="F3267" t="s">
        <v>1372</v>
      </c>
      <c r="G3267">
        <v>-240</v>
      </c>
      <c r="H3267">
        <v>10298</v>
      </c>
      <c r="K3267" t="s">
        <v>1383</v>
      </c>
    </row>
    <row r="3268" spans="1:11" x14ac:dyDescent="0.25">
      <c r="A3268" s="40">
        <v>46034.522881944446</v>
      </c>
      <c r="B3268" t="s">
        <v>1835</v>
      </c>
      <c r="C3268" t="s">
        <v>52</v>
      </c>
      <c r="D3268" t="s">
        <v>397</v>
      </c>
      <c r="E3268" t="s">
        <v>1364</v>
      </c>
      <c r="F3268" t="s">
        <v>1372</v>
      </c>
      <c r="G3268">
        <v>-45</v>
      </c>
      <c r="H3268">
        <v>7749</v>
      </c>
      <c r="K3268" t="s">
        <v>1383</v>
      </c>
    </row>
    <row r="3269" spans="1:11" x14ac:dyDescent="0.25">
      <c r="A3269" s="40">
        <v>46034.522881944446</v>
      </c>
      <c r="B3269" t="s">
        <v>1835</v>
      </c>
      <c r="C3269" t="s">
        <v>341</v>
      </c>
      <c r="D3269" t="s">
        <v>342</v>
      </c>
      <c r="E3269" t="s">
        <v>1364</v>
      </c>
      <c r="F3269" t="s">
        <v>1372</v>
      </c>
      <c r="G3269">
        <v>-1255</v>
      </c>
      <c r="H3269">
        <v>613</v>
      </c>
      <c r="K3269" t="s">
        <v>1383</v>
      </c>
    </row>
    <row r="3270" spans="1:11" x14ac:dyDescent="0.25">
      <c r="A3270" s="40">
        <v>46034.522881944446</v>
      </c>
      <c r="B3270" t="s">
        <v>1835</v>
      </c>
      <c r="C3270" t="s">
        <v>45</v>
      </c>
      <c r="D3270" t="s">
        <v>393</v>
      </c>
      <c r="E3270" t="s">
        <v>1364</v>
      </c>
      <c r="F3270" t="s">
        <v>1372</v>
      </c>
      <c r="G3270">
        <v>-45</v>
      </c>
      <c r="H3270">
        <v>3090</v>
      </c>
      <c r="K3270" t="s">
        <v>1383</v>
      </c>
    </row>
    <row r="3271" spans="1:11" x14ac:dyDescent="0.25">
      <c r="A3271" s="40">
        <v>46034.522881944446</v>
      </c>
      <c r="B3271" t="s">
        <v>1835</v>
      </c>
      <c r="C3271" t="s">
        <v>26</v>
      </c>
      <c r="D3271" t="s">
        <v>380</v>
      </c>
      <c r="E3271" t="s">
        <v>1364</v>
      </c>
      <c r="F3271" t="s">
        <v>1372</v>
      </c>
      <c r="G3271">
        <v>-45</v>
      </c>
      <c r="H3271">
        <v>3200</v>
      </c>
      <c r="K3271" t="s">
        <v>1383</v>
      </c>
    </row>
    <row r="3272" spans="1:11" x14ac:dyDescent="0.25">
      <c r="A3272" s="40">
        <v>46034.522881944446</v>
      </c>
      <c r="B3272" t="s">
        <v>1835</v>
      </c>
      <c r="C3272" t="s">
        <v>229</v>
      </c>
      <c r="D3272" t="s">
        <v>321</v>
      </c>
      <c r="E3272" t="s">
        <v>1364</v>
      </c>
      <c r="F3272" t="s">
        <v>1372</v>
      </c>
      <c r="G3272">
        <v>-160</v>
      </c>
      <c r="H3272">
        <v>6390</v>
      </c>
      <c r="K3272" t="s">
        <v>1383</v>
      </c>
    </row>
    <row r="3273" spans="1:11" x14ac:dyDescent="0.25">
      <c r="A3273" s="40">
        <v>46034.522881944446</v>
      </c>
      <c r="B3273" t="s">
        <v>1835</v>
      </c>
      <c r="C3273" t="s">
        <v>69</v>
      </c>
      <c r="D3273" t="s">
        <v>375</v>
      </c>
      <c r="E3273" t="s">
        <v>1364</v>
      </c>
      <c r="F3273" t="s">
        <v>1372</v>
      </c>
      <c r="G3273">
        <v>-315</v>
      </c>
      <c r="H3273">
        <v>5484</v>
      </c>
      <c r="K3273" t="s">
        <v>1383</v>
      </c>
    </row>
    <row r="3274" spans="1:11" x14ac:dyDescent="0.25">
      <c r="A3274" s="40">
        <v>46034.522881944446</v>
      </c>
      <c r="B3274" t="s">
        <v>1835</v>
      </c>
      <c r="C3274" t="s">
        <v>2</v>
      </c>
      <c r="D3274" t="s">
        <v>266</v>
      </c>
      <c r="E3274" t="s">
        <v>1364</v>
      </c>
      <c r="F3274" t="s">
        <v>1372</v>
      </c>
      <c r="G3274">
        <v>-45</v>
      </c>
      <c r="H3274">
        <v>3112</v>
      </c>
      <c r="K3274" t="s">
        <v>1383</v>
      </c>
    </row>
    <row r="3275" spans="1:11" x14ac:dyDescent="0.25">
      <c r="A3275" s="40">
        <v>46034.522881944446</v>
      </c>
      <c r="B3275" t="s">
        <v>1835</v>
      </c>
      <c r="C3275" t="s">
        <v>6</v>
      </c>
      <c r="D3275" t="s">
        <v>400</v>
      </c>
      <c r="E3275" t="s">
        <v>1364</v>
      </c>
      <c r="F3275" t="s">
        <v>1372</v>
      </c>
      <c r="G3275">
        <v>-265</v>
      </c>
      <c r="H3275">
        <v>4191</v>
      </c>
      <c r="K3275" t="s">
        <v>1383</v>
      </c>
    </row>
    <row r="3276" spans="1:11" x14ac:dyDescent="0.25">
      <c r="A3276" s="40">
        <v>46034.522881944446</v>
      </c>
      <c r="B3276" t="s">
        <v>1835</v>
      </c>
      <c r="C3276" t="s">
        <v>68</v>
      </c>
      <c r="D3276" t="s">
        <v>374</v>
      </c>
      <c r="E3276" t="s">
        <v>1364</v>
      </c>
      <c r="F3276" t="s">
        <v>1372</v>
      </c>
      <c r="G3276">
        <v>-298</v>
      </c>
      <c r="H3276">
        <v>4927</v>
      </c>
      <c r="K3276" t="s">
        <v>1383</v>
      </c>
    </row>
    <row r="3277" spans="1:11" x14ac:dyDescent="0.25">
      <c r="A3277" s="40">
        <v>46034.522881944446</v>
      </c>
      <c r="B3277" t="s">
        <v>1835</v>
      </c>
      <c r="C3277" t="s">
        <v>333</v>
      </c>
      <c r="D3277" t="s">
        <v>334</v>
      </c>
      <c r="E3277" t="s">
        <v>1364</v>
      </c>
      <c r="F3277" t="s">
        <v>1372</v>
      </c>
      <c r="G3277">
        <v>-53</v>
      </c>
      <c r="H3277">
        <v>6270</v>
      </c>
      <c r="K3277" t="s">
        <v>1383</v>
      </c>
    </row>
    <row r="3278" spans="1:11" x14ac:dyDescent="0.25">
      <c r="A3278" s="40">
        <v>46034.522881944446</v>
      </c>
      <c r="B3278" t="s">
        <v>1835</v>
      </c>
      <c r="C3278" t="s">
        <v>64</v>
      </c>
      <c r="D3278" t="s">
        <v>356</v>
      </c>
      <c r="E3278" t="s">
        <v>1364</v>
      </c>
      <c r="F3278" t="s">
        <v>1372</v>
      </c>
      <c r="G3278">
        <v>-70</v>
      </c>
      <c r="H3278">
        <v>3519</v>
      </c>
      <c r="K3278" t="s">
        <v>1383</v>
      </c>
    </row>
    <row r="3279" spans="1:11" x14ac:dyDescent="0.25">
      <c r="A3279" s="40">
        <v>46034.522881944446</v>
      </c>
      <c r="B3279" t="s">
        <v>1835</v>
      </c>
      <c r="C3279" t="s">
        <v>50</v>
      </c>
      <c r="D3279" t="s">
        <v>501</v>
      </c>
      <c r="E3279" t="s">
        <v>1364</v>
      </c>
      <c r="F3279" t="s">
        <v>1372</v>
      </c>
      <c r="G3279">
        <v>-135</v>
      </c>
      <c r="H3279">
        <v>2512</v>
      </c>
      <c r="K3279" t="s">
        <v>1383</v>
      </c>
    </row>
    <row r="3280" spans="1:11" x14ac:dyDescent="0.25">
      <c r="A3280" s="40">
        <v>46034.522881944446</v>
      </c>
      <c r="B3280" t="s">
        <v>1835</v>
      </c>
      <c r="C3280" t="s">
        <v>44</v>
      </c>
      <c r="D3280" t="s">
        <v>392</v>
      </c>
      <c r="E3280" t="s">
        <v>1364</v>
      </c>
      <c r="F3280" t="s">
        <v>1372</v>
      </c>
      <c r="G3280">
        <v>-210</v>
      </c>
      <c r="H3280">
        <v>1984</v>
      </c>
      <c r="K3280" t="s">
        <v>1383</v>
      </c>
    </row>
    <row r="3281" spans="1:12" x14ac:dyDescent="0.25">
      <c r="A3281" s="40">
        <v>46034.522881944446</v>
      </c>
      <c r="B3281" t="s">
        <v>1835</v>
      </c>
      <c r="C3281" t="s">
        <v>63</v>
      </c>
      <c r="D3281" t="s">
        <v>355</v>
      </c>
      <c r="E3281" t="s">
        <v>1364</v>
      </c>
      <c r="F3281" t="s">
        <v>1372</v>
      </c>
      <c r="G3281">
        <v>-105</v>
      </c>
      <c r="H3281">
        <v>230</v>
      </c>
      <c r="K3281" t="s">
        <v>1383</v>
      </c>
    </row>
    <row r="3282" spans="1:12" x14ac:dyDescent="0.25">
      <c r="A3282" s="40">
        <v>46034.522881944446</v>
      </c>
      <c r="B3282" t="s">
        <v>1835</v>
      </c>
      <c r="C3282" t="s">
        <v>366</v>
      </c>
      <c r="D3282" t="s">
        <v>367</v>
      </c>
      <c r="E3282" t="s">
        <v>1364</v>
      </c>
      <c r="F3282" t="s">
        <v>1372</v>
      </c>
      <c r="G3282">
        <v>-45</v>
      </c>
      <c r="H3282">
        <v>3200</v>
      </c>
      <c r="K3282" t="s">
        <v>1383</v>
      </c>
    </row>
    <row r="3283" spans="1:12" x14ac:dyDescent="0.25">
      <c r="A3283" s="40">
        <v>46034.522881944446</v>
      </c>
      <c r="B3283" t="s">
        <v>1835</v>
      </c>
      <c r="C3283" t="s">
        <v>38</v>
      </c>
      <c r="D3283" t="s">
        <v>386</v>
      </c>
      <c r="E3283" t="s">
        <v>1364</v>
      </c>
      <c r="F3283" t="s">
        <v>1372</v>
      </c>
      <c r="G3283">
        <v>-963</v>
      </c>
      <c r="H3283">
        <v>22040</v>
      </c>
      <c r="K3283" t="s">
        <v>1383</v>
      </c>
    </row>
    <row r="3284" spans="1:12" x14ac:dyDescent="0.25">
      <c r="A3284" s="40">
        <v>46034.522881944446</v>
      </c>
      <c r="B3284" t="s">
        <v>1835</v>
      </c>
      <c r="C3284" t="s">
        <v>58</v>
      </c>
      <c r="D3284" t="s">
        <v>315</v>
      </c>
      <c r="E3284" t="s">
        <v>1364</v>
      </c>
      <c r="F3284" t="s">
        <v>1372</v>
      </c>
      <c r="G3284">
        <v>-240</v>
      </c>
      <c r="H3284">
        <v>3419</v>
      </c>
      <c r="K3284" t="s">
        <v>1383</v>
      </c>
    </row>
    <row r="3285" spans="1:12" x14ac:dyDescent="0.25">
      <c r="A3285" s="40">
        <v>46034.522881944446</v>
      </c>
      <c r="B3285" t="s">
        <v>1835</v>
      </c>
      <c r="C3285" t="s">
        <v>7</v>
      </c>
      <c r="D3285" t="s">
        <v>307</v>
      </c>
      <c r="E3285" t="s">
        <v>1364</v>
      </c>
      <c r="F3285" t="s">
        <v>1372</v>
      </c>
      <c r="G3285">
        <v>-667</v>
      </c>
      <c r="H3285">
        <v>6803</v>
      </c>
      <c r="K3285" t="s">
        <v>1383</v>
      </c>
    </row>
    <row r="3286" spans="1:12" x14ac:dyDescent="0.25">
      <c r="A3286" s="40">
        <v>46034.522881944446</v>
      </c>
      <c r="B3286" t="s">
        <v>1835</v>
      </c>
      <c r="C3286" t="s">
        <v>54</v>
      </c>
      <c r="D3286" t="s">
        <v>399</v>
      </c>
      <c r="E3286" t="s">
        <v>1364</v>
      </c>
      <c r="F3286" t="s">
        <v>1372</v>
      </c>
      <c r="G3286">
        <v>-264</v>
      </c>
      <c r="H3286">
        <v>916</v>
      </c>
      <c r="K3286" t="s">
        <v>1383</v>
      </c>
    </row>
    <row r="3287" spans="1:12" x14ac:dyDescent="0.25">
      <c r="A3287" s="40">
        <v>46034.522881944446</v>
      </c>
      <c r="B3287" t="s">
        <v>1835</v>
      </c>
      <c r="C3287" t="s">
        <v>70</v>
      </c>
      <c r="D3287" t="s">
        <v>402</v>
      </c>
      <c r="E3287" t="s">
        <v>1364</v>
      </c>
      <c r="F3287" t="s">
        <v>1372</v>
      </c>
      <c r="G3287">
        <v>-980</v>
      </c>
      <c r="H3287">
        <v>17317</v>
      </c>
      <c r="K3287" t="s">
        <v>1383</v>
      </c>
    </row>
    <row r="3288" spans="1:12" x14ac:dyDescent="0.25">
      <c r="A3288" s="40">
        <v>46034.522881944446</v>
      </c>
      <c r="B3288" t="s">
        <v>1835</v>
      </c>
      <c r="C3288" t="s">
        <v>5</v>
      </c>
      <c r="D3288" t="s">
        <v>389</v>
      </c>
      <c r="E3288" t="s">
        <v>1364</v>
      </c>
      <c r="F3288" t="s">
        <v>1372</v>
      </c>
      <c r="G3288">
        <v>-70</v>
      </c>
      <c r="H3288">
        <v>105</v>
      </c>
      <c r="K3288" t="s">
        <v>1383</v>
      </c>
    </row>
    <row r="3289" spans="1:12" x14ac:dyDescent="0.25">
      <c r="A3289" s="40">
        <v>46034.522881944446</v>
      </c>
      <c r="B3289" t="s">
        <v>1835</v>
      </c>
      <c r="C3289" t="s">
        <v>47</v>
      </c>
      <c r="D3289" t="s">
        <v>395</v>
      </c>
      <c r="E3289" t="s">
        <v>1364</v>
      </c>
      <c r="F3289" t="s">
        <v>1372</v>
      </c>
      <c r="G3289">
        <v>-400</v>
      </c>
      <c r="H3289">
        <v>16545</v>
      </c>
      <c r="K3289" t="s">
        <v>1383</v>
      </c>
    </row>
    <row r="3290" spans="1:12" x14ac:dyDescent="0.25">
      <c r="A3290" s="40">
        <v>46034.522881944446</v>
      </c>
      <c r="B3290" t="s">
        <v>1835</v>
      </c>
      <c r="C3290" t="s">
        <v>57</v>
      </c>
      <c r="D3290" t="s">
        <v>314</v>
      </c>
      <c r="E3290" t="s">
        <v>1364</v>
      </c>
      <c r="F3290" t="s">
        <v>1372</v>
      </c>
      <c r="G3290">
        <v>-53</v>
      </c>
      <c r="H3290">
        <v>4691</v>
      </c>
      <c r="K3290" t="s">
        <v>1383</v>
      </c>
    </row>
    <row r="3291" spans="1:12" x14ac:dyDescent="0.25">
      <c r="A3291" s="40">
        <v>46034.522881944446</v>
      </c>
      <c r="B3291" t="s">
        <v>1835</v>
      </c>
      <c r="C3291" t="s">
        <v>1</v>
      </c>
      <c r="D3291" t="s">
        <v>250</v>
      </c>
      <c r="E3291" t="s">
        <v>1364</v>
      </c>
      <c r="F3291" t="s">
        <v>1372</v>
      </c>
      <c r="G3291">
        <v>-1972</v>
      </c>
      <c r="H3291">
        <v>-645</v>
      </c>
      <c r="K3291" t="s">
        <v>1383</v>
      </c>
    </row>
    <row r="3292" spans="1:12" x14ac:dyDescent="0.25">
      <c r="A3292" s="40">
        <v>46038.282002314816</v>
      </c>
      <c r="B3292" t="s">
        <v>1835</v>
      </c>
      <c r="C3292" t="s">
        <v>1352</v>
      </c>
      <c r="E3292" t="s">
        <v>1365</v>
      </c>
      <c r="F3292" t="s">
        <v>695</v>
      </c>
      <c r="G3292">
        <v>2500</v>
      </c>
      <c r="H3292">
        <v>2184</v>
      </c>
      <c r="I3292" t="s">
        <v>696</v>
      </c>
      <c r="K3292" t="s">
        <v>1465</v>
      </c>
      <c r="L3292">
        <v>263.55</v>
      </c>
    </row>
    <row r="3293" spans="1:12" x14ac:dyDescent="0.25">
      <c r="A3293" s="40">
        <v>46038.282002314816</v>
      </c>
      <c r="B3293" t="s">
        <v>1835</v>
      </c>
      <c r="C3293" t="s">
        <v>1</v>
      </c>
      <c r="D3293" t="s">
        <v>250</v>
      </c>
      <c r="E3293" t="s">
        <v>1364</v>
      </c>
      <c r="F3293" t="s">
        <v>695</v>
      </c>
      <c r="G3293">
        <v>8000</v>
      </c>
      <c r="H3293">
        <v>7355</v>
      </c>
      <c r="I3293" t="s">
        <v>696</v>
      </c>
      <c r="K3293" t="s">
        <v>1465</v>
      </c>
      <c r="L3293">
        <v>14.559999999999999</v>
      </c>
    </row>
    <row r="3294" spans="1:12" x14ac:dyDescent="0.25">
      <c r="A3294" s="40">
        <v>46038.282002314816</v>
      </c>
      <c r="B3294" t="s">
        <v>1835</v>
      </c>
      <c r="C3294" t="s">
        <v>36</v>
      </c>
      <c r="D3294" t="s">
        <v>385</v>
      </c>
      <c r="E3294" t="s">
        <v>1364</v>
      </c>
      <c r="F3294" t="s">
        <v>695</v>
      </c>
      <c r="G3294">
        <v>10000</v>
      </c>
      <c r="H3294">
        <v>9447</v>
      </c>
      <c r="I3294" t="s">
        <v>696</v>
      </c>
      <c r="K3294" t="s">
        <v>1465</v>
      </c>
      <c r="L3294">
        <v>9.7999999999999989</v>
      </c>
    </row>
    <row r="3295" spans="1:12" x14ac:dyDescent="0.25">
      <c r="A3295" s="40">
        <v>46049.382071759261</v>
      </c>
      <c r="B3295" t="s">
        <v>1836</v>
      </c>
      <c r="C3295" t="s">
        <v>1751</v>
      </c>
      <c r="D3295" t="s">
        <v>1791</v>
      </c>
      <c r="E3295" t="s">
        <v>1364</v>
      </c>
      <c r="F3295" t="s">
        <v>1372</v>
      </c>
      <c r="G3295">
        <v>-23</v>
      </c>
      <c r="H3295">
        <v>889</v>
      </c>
      <c r="K3295" t="s">
        <v>1383</v>
      </c>
    </row>
    <row r="3296" spans="1:12" x14ac:dyDescent="0.25">
      <c r="A3296" s="40">
        <v>46049.382071759261</v>
      </c>
      <c r="B3296" t="s">
        <v>1836</v>
      </c>
      <c r="C3296" t="s">
        <v>1351</v>
      </c>
      <c r="E3296" t="s">
        <v>1365</v>
      </c>
      <c r="F3296" t="s">
        <v>1372</v>
      </c>
      <c r="G3296">
        <v>-42</v>
      </c>
      <c r="H3296">
        <v>81</v>
      </c>
      <c r="K3296" t="s">
        <v>1383</v>
      </c>
    </row>
    <row r="3297" spans="1:11" x14ac:dyDescent="0.25">
      <c r="A3297" s="40">
        <v>46049.382071759261</v>
      </c>
      <c r="B3297" t="s">
        <v>1836</v>
      </c>
      <c r="C3297" t="s">
        <v>1799</v>
      </c>
      <c r="E3297" t="s">
        <v>1365</v>
      </c>
      <c r="F3297" t="s">
        <v>1372</v>
      </c>
      <c r="G3297">
        <v>-60</v>
      </c>
      <c r="H3297">
        <v>1890</v>
      </c>
      <c r="K3297" t="s">
        <v>1383</v>
      </c>
    </row>
    <row r="3298" spans="1:11" x14ac:dyDescent="0.25">
      <c r="A3298" s="40">
        <v>46049.382071759261</v>
      </c>
      <c r="B3298" t="s">
        <v>1836</v>
      </c>
      <c r="C3298" t="s">
        <v>267</v>
      </c>
      <c r="D3298" t="s">
        <v>268</v>
      </c>
      <c r="E3298" t="s">
        <v>1364</v>
      </c>
      <c r="F3298" t="s">
        <v>1372</v>
      </c>
      <c r="G3298">
        <v>-60</v>
      </c>
      <c r="H3298">
        <v>181</v>
      </c>
      <c r="K3298" t="s">
        <v>1383</v>
      </c>
    </row>
    <row r="3299" spans="1:11" x14ac:dyDescent="0.25">
      <c r="A3299" s="40">
        <v>46049.382071759261</v>
      </c>
      <c r="B3299" t="s">
        <v>1836</v>
      </c>
      <c r="C3299" t="s">
        <v>322</v>
      </c>
      <c r="D3299" t="s">
        <v>323</v>
      </c>
      <c r="E3299" t="s">
        <v>1364</v>
      </c>
      <c r="F3299" t="s">
        <v>1372</v>
      </c>
      <c r="G3299">
        <v>-90</v>
      </c>
      <c r="H3299">
        <v>2215</v>
      </c>
      <c r="K3299" t="s">
        <v>1383</v>
      </c>
    </row>
    <row r="3300" spans="1:11" x14ac:dyDescent="0.25">
      <c r="A3300" s="40">
        <v>46049.382071759261</v>
      </c>
      <c r="B3300" t="s">
        <v>1836</v>
      </c>
      <c r="C3300" t="s">
        <v>412</v>
      </c>
      <c r="D3300" t="s">
        <v>413</v>
      </c>
      <c r="E3300" t="s">
        <v>1364</v>
      </c>
      <c r="F3300" t="s">
        <v>1372</v>
      </c>
      <c r="G3300">
        <v>-110</v>
      </c>
      <c r="H3300">
        <v>2082</v>
      </c>
      <c r="K3300" t="s">
        <v>1383</v>
      </c>
    </row>
    <row r="3301" spans="1:11" x14ac:dyDescent="0.25">
      <c r="A3301" s="40">
        <v>46049.382071759261</v>
      </c>
      <c r="B3301" t="s">
        <v>1836</v>
      </c>
      <c r="C3301" t="s">
        <v>330</v>
      </c>
      <c r="D3301" t="s">
        <v>331</v>
      </c>
      <c r="E3301" t="s">
        <v>1364</v>
      </c>
      <c r="F3301" t="s">
        <v>1372</v>
      </c>
      <c r="G3301">
        <v>-110</v>
      </c>
      <c r="H3301">
        <v>473</v>
      </c>
      <c r="K3301" t="s">
        <v>1383</v>
      </c>
    </row>
    <row r="3302" spans="1:11" x14ac:dyDescent="0.25">
      <c r="A3302" s="40">
        <v>46049.382071759261</v>
      </c>
      <c r="B3302" t="s">
        <v>1836</v>
      </c>
      <c r="C3302" t="s">
        <v>1763</v>
      </c>
      <c r="D3302" t="s">
        <v>1793</v>
      </c>
      <c r="E3302" t="s">
        <v>1364</v>
      </c>
      <c r="F3302" t="s">
        <v>1372</v>
      </c>
      <c r="G3302">
        <v>-40</v>
      </c>
      <c r="H3302">
        <v>1611</v>
      </c>
      <c r="K3302" t="s">
        <v>1383</v>
      </c>
    </row>
    <row r="3303" spans="1:11" x14ac:dyDescent="0.25">
      <c r="A3303" s="40">
        <v>46049.382071759261</v>
      </c>
      <c r="B3303" t="s">
        <v>1836</v>
      </c>
      <c r="C3303" t="s">
        <v>66</v>
      </c>
      <c r="D3303" t="s">
        <v>357</v>
      </c>
      <c r="E3303" t="s">
        <v>1364</v>
      </c>
      <c r="F3303" t="s">
        <v>1372</v>
      </c>
      <c r="G3303">
        <v>-880</v>
      </c>
      <c r="H3303">
        <v>1565</v>
      </c>
      <c r="K3303" t="s">
        <v>1383</v>
      </c>
    </row>
    <row r="3304" spans="1:11" x14ac:dyDescent="0.25">
      <c r="A3304" s="40">
        <v>46049.382071759261</v>
      </c>
      <c r="B3304" t="s">
        <v>1836</v>
      </c>
      <c r="C3304" t="s">
        <v>23</v>
      </c>
      <c r="D3304" t="s">
        <v>490</v>
      </c>
      <c r="E3304" t="s">
        <v>1364</v>
      </c>
      <c r="F3304" t="s">
        <v>1372</v>
      </c>
      <c r="G3304">
        <v>-60</v>
      </c>
      <c r="H3304">
        <v>3121</v>
      </c>
      <c r="K3304" t="s">
        <v>1383</v>
      </c>
    </row>
    <row r="3305" spans="1:11" x14ac:dyDescent="0.25">
      <c r="A3305" s="40">
        <v>46049.382071759261</v>
      </c>
      <c r="B3305" t="s">
        <v>1836</v>
      </c>
      <c r="C3305" t="s">
        <v>426</v>
      </c>
      <c r="D3305" t="s">
        <v>427</v>
      </c>
      <c r="E3305" t="s">
        <v>1364</v>
      </c>
      <c r="F3305" t="s">
        <v>1372</v>
      </c>
      <c r="G3305">
        <v>-490</v>
      </c>
      <c r="H3305">
        <v>4004</v>
      </c>
      <c r="K3305" t="s">
        <v>1383</v>
      </c>
    </row>
    <row r="3306" spans="1:11" x14ac:dyDescent="0.25">
      <c r="A3306" s="40">
        <v>46049.382071759261</v>
      </c>
      <c r="B3306" t="s">
        <v>1836</v>
      </c>
      <c r="C3306" t="s">
        <v>416</v>
      </c>
      <c r="D3306" t="s">
        <v>417</v>
      </c>
      <c r="E3306" t="s">
        <v>1364</v>
      </c>
      <c r="F3306" t="s">
        <v>1372</v>
      </c>
      <c r="G3306">
        <v>-60</v>
      </c>
      <c r="H3306">
        <v>114</v>
      </c>
      <c r="K3306" t="s">
        <v>1383</v>
      </c>
    </row>
    <row r="3307" spans="1:11" x14ac:dyDescent="0.25">
      <c r="A3307" s="40">
        <v>46049.382071759261</v>
      </c>
      <c r="B3307" t="s">
        <v>1836</v>
      </c>
      <c r="C3307" t="s">
        <v>65</v>
      </c>
      <c r="D3307" t="s">
        <v>347</v>
      </c>
      <c r="E3307" t="s">
        <v>1364</v>
      </c>
      <c r="F3307" t="s">
        <v>1372</v>
      </c>
      <c r="G3307">
        <v>-60</v>
      </c>
      <c r="H3307">
        <v>2218</v>
      </c>
      <c r="K3307" t="s">
        <v>1383</v>
      </c>
    </row>
    <row r="3308" spans="1:11" x14ac:dyDescent="0.25">
      <c r="A3308" s="40">
        <v>46049.382071759261</v>
      </c>
      <c r="B3308" t="s">
        <v>1836</v>
      </c>
      <c r="C3308" t="s">
        <v>1353</v>
      </c>
      <c r="E3308" t="s">
        <v>1365</v>
      </c>
      <c r="F3308" t="s">
        <v>1372</v>
      </c>
      <c r="G3308">
        <v>-22</v>
      </c>
      <c r="H3308">
        <v>564</v>
      </c>
      <c r="K3308" t="s">
        <v>1383</v>
      </c>
    </row>
    <row r="3309" spans="1:11" x14ac:dyDescent="0.25">
      <c r="A3309" s="40">
        <v>46049.382071759261</v>
      </c>
      <c r="B3309" t="s">
        <v>1836</v>
      </c>
      <c r="C3309" t="s">
        <v>326</v>
      </c>
      <c r="D3309" t="s">
        <v>327</v>
      </c>
      <c r="E3309" t="s">
        <v>1364</v>
      </c>
      <c r="F3309" t="s">
        <v>1372</v>
      </c>
      <c r="G3309">
        <v>-60</v>
      </c>
      <c r="H3309">
        <v>459</v>
      </c>
      <c r="K3309" t="s">
        <v>1383</v>
      </c>
    </row>
    <row r="3310" spans="1:11" x14ac:dyDescent="0.25">
      <c r="A3310" s="40">
        <v>46049.382071759261</v>
      </c>
      <c r="B3310" t="s">
        <v>1836</v>
      </c>
      <c r="C3310" t="s">
        <v>102</v>
      </c>
      <c r="D3310" t="s">
        <v>508</v>
      </c>
      <c r="E3310" t="s">
        <v>1364</v>
      </c>
      <c r="F3310" t="s">
        <v>1372</v>
      </c>
      <c r="G3310">
        <v>-175</v>
      </c>
      <c r="H3310">
        <v>2678</v>
      </c>
      <c r="K3310" t="s">
        <v>1383</v>
      </c>
    </row>
    <row r="3311" spans="1:11" x14ac:dyDescent="0.25">
      <c r="A3311" s="40">
        <v>46049.382071759261</v>
      </c>
      <c r="B3311" t="s">
        <v>1836</v>
      </c>
      <c r="C3311" t="s">
        <v>414</v>
      </c>
      <c r="D3311" t="s">
        <v>415</v>
      </c>
      <c r="E3311" t="s">
        <v>1364</v>
      </c>
      <c r="F3311" t="s">
        <v>1372</v>
      </c>
      <c r="G3311">
        <v>-40</v>
      </c>
      <c r="H3311">
        <v>3304</v>
      </c>
      <c r="K3311" t="s">
        <v>1383</v>
      </c>
    </row>
    <row r="3312" spans="1:11" x14ac:dyDescent="0.25">
      <c r="A3312" s="40">
        <v>46049.382071759261</v>
      </c>
      <c r="B3312" t="s">
        <v>1836</v>
      </c>
      <c r="C3312" t="s">
        <v>1775</v>
      </c>
      <c r="E3312" t="s">
        <v>1365</v>
      </c>
      <c r="F3312" t="s">
        <v>1372</v>
      </c>
      <c r="G3312">
        <v>-240</v>
      </c>
      <c r="H3312">
        <v>4500</v>
      </c>
      <c r="K3312" t="s">
        <v>1383</v>
      </c>
    </row>
    <row r="3313" spans="1:11" x14ac:dyDescent="0.25">
      <c r="A3313" s="40">
        <v>46049.382071759261</v>
      </c>
      <c r="B3313" t="s">
        <v>1836</v>
      </c>
      <c r="C3313" t="s">
        <v>84</v>
      </c>
      <c r="D3313" t="s">
        <v>319</v>
      </c>
      <c r="E3313" t="s">
        <v>1364</v>
      </c>
      <c r="F3313" t="s">
        <v>1372</v>
      </c>
      <c r="G3313">
        <v>-40</v>
      </c>
      <c r="H3313">
        <v>1719</v>
      </c>
      <c r="K3313" t="s">
        <v>1383</v>
      </c>
    </row>
    <row r="3314" spans="1:11" x14ac:dyDescent="0.25">
      <c r="A3314" s="40">
        <v>46049.382071759261</v>
      </c>
      <c r="B3314" t="s">
        <v>1836</v>
      </c>
      <c r="C3314" t="s">
        <v>458</v>
      </c>
      <c r="D3314" t="s">
        <v>459</v>
      </c>
      <c r="E3314" t="s">
        <v>1364</v>
      </c>
      <c r="F3314" t="s">
        <v>1372</v>
      </c>
      <c r="G3314">
        <v>-60</v>
      </c>
      <c r="H3314">
        <v>2073</v>
      </c>
      <c r="K3314" t="s">
        <v>1383</v>
      </c>
    </row>
    <row r="3315" spans="1:11" x14ac:dyDescent="0.25">
      <c r="A3315" s="40">
        <v>46049.382071759261</v>
      </c>
      <c r="B3315" t="s">
        <v>1836</v>
      </c>
      <c r="C3315" t="s">
        <v>1352</v>
      </c>
      <c r="E3315" t="s">
        <v>1365</v>
      </c>
      <c r="F3315" t="s">
        <v>1372</v>
      </c>
      <c r="G3315">
        <v>-110</v>
      </c>
      <c r="H3315">
        <v>2074</v>
      </c>
      <c r="K3315" t="s">
        <v>1383</v>
      </c>
    </row>
    <row r="3316" spans="1:11" x14ac:dyDescent="0.25">
      <c r="A3316" s="40">
        <v>46049.382071759261</v>
      </c>
      <c r="B3316" t="s">
        <v>1836</v>
      </c>
      <c r="C3316" t="s">
        <v>18</v>
      </c>
      <c r="D3316" t="s">
        <v>487</v>
      </c>
      <c r="E3316" t="s">
        <v>1364</v>
      </c>
      <c r="F3316" t="s">
        <v>1372</v>
      </c>
      <c r="G3316">
        <v>-40</v>
      </c>
      <c r="H3316">
        <v>1030</v>
      </c>
      <c r="K3316" t="s">
        <v>1383</v>
      </c>
    </row>
    <row r="3317" spans="1:11" x14ac:dyDescent="0.25">
      <c r="A3317" s="40">
        <v>46049.382071759261</v>
      </c>
      <c r="B3317" t="s">
        <v>1836</v>
      </c>
      <c r="C3317" t="s">
        <v>1762</v>
      </c>
      <c r="D3317" t="s">
        <v>1792</v>
      </c>
      <c r="E3317" t="s">
        <v>1364</v>
      </c>
      <c r="F3317" t="s">
        <v>1372</v>
      </c>
      <c r="G3317">
        <v>-110</v>
      </c>
      <c r="H3317">
        <v>503</v>
      </c>
      <c r="K3317" t="s">
        <v>1383</v>
      </c>
    </row>
    <row r="3318" spans="1:11" x14ac:dyDescent="0.25">
      <c r="A3318" s="40">
        <v>46049.382071759261</v>
      </c>
      <c r="B3318" t="s">
        <v>1836</v>
      </c>
      <c r="C3318" t="s">
        <v>273</v>
      </c>
      <c r="D3318" t="s">
        <v>274</v>
      </c>
      <c r="E3318" t="s">
        <v>1364</v>
      </c>
      <c r="F3318" t="s">
        <v>1372</v>
      </c>
      <c r="G3318">
        <v>-280</v>
      </c>
      <c r="H3318">
        <v>2653</v>
      </c>
      <c r="K3318" t="s">
        <v>1383</v>
      </c>
    </row>
    <row r="3319" spans="1:11" x14ac:dyDescent="0.25">
      <c r="A3319" s="40">
        <v>46049.382071759261</v>
      </c>
      <c r="B3319" t="s">
        <v>1836</v>
      </c>
      <c r="C3319" t="s">
        <v>10</v>
      </c>
      <c r="D3319" t="s">
        <v>332</v>
      </c>
      <c r="E3319" t="s">
        <v>1364</v>
      </c>
      <c r="F3319" t="s">
        <v>1372</v>
      </c>
      <c r="G3319">
        <v>-195</v>
      </c>
      <c r="H3319">
        <v>4732</v>
      </c>
      <c r="K3319" t="s">
        <v>1383</v>
      </c>
    </row>
    <row r="3320" spans="1:11" x14ac:dyDescent="0.25">
      <c r="A3320" s="40">
        <v>46049.382071759261</v>
      </c>
      <c r="B3320" t="s">
        <v>1836</v>
      </c>
      <c r="C3320" t="s">
        <v>34</v>
      </c>
      <c r="D3320" t="s">
        <v>495</v>
      </c>
      <c r="E3320" t="s">
        <v>1364</v>
      </c>
      <c r="F3320" t="s">
        <v>1372</v>
      </c>
      <c r="G3320">
        <v>-470</v>
      </c>
      <c r="H3320">
        <v>1774</v>
      </c>
      <c r="K3320" t="s">
        <v>1383</v>
      </c>
    </row>
    <row r="3321" spans="1:11" x14ac:dyDescent="0.25">
      <c r="A3321" s="40">
        <v>46049.382071759261</v>
      </c>
      <c r="B3321" t="s">
        <v>1836</v>
      </c>
      <c r="C3321" t="s">
        <v>1754</v>
      </c>
      <c r="E3321" t="s">
        <v>1365</v>
      </c>
      <c r="F3321" t="s">
        <v>1372</v>
      </c>
      <c r="G3321">
        <v>-430</v>
      </c>
      <c r="H3321">
        <v>145</v>
      </c>
      <c r="K3321" t="s">
        <v>1383</v>
      </c>
    </row>
    <row r="3322" spans="1:11" x14ac:dyDescent="0.25">
      <c r="A3322" s="40">
        <v>46049.382071759261</v>
      </c>
      <c r="B3322" t="s">
        <v>1836</v>
      </c>
      <c r="C3322" t="s">
        <v>39</v>
      </c>
      <c r="D3322" t="s">
        <v>387</v>
      </c>
      <c r="E3322" t="s">
        <v>1364</v>
      </c>
      <c r="F3322" t="s">
        <v>1372</v>
      </c>
      <c r="G3322">
        <v>-90</v>
      </c>
      <c r="H3322">
        <v>6107</v>
      </c>
      <c r="K3322" t="s">
        <v>1383</v>
      </c>
    </row>
    <row r="3323" spans="1:11" x14ac:dyDescent="0.25">
      <c r="A3323" s="40">
        <v>46049.382071759261</v>
      </c>
      <c r="B3323" t="s">
        <v>1836</v>
      </c>
      <c r="C3323" t="s">
        <v>55</v>
      </c>
      <c r="D3323" t="s">
        <v>312</v>
      </c>
      <c r="E3323" t="s">
        <v>1364</v>
      </c>
      <c r="F3323" t="s">
        <v>1372</v>
      </c>
      <c r="G3323">
        <v>-60</v>
      </c>
      <c r="H3323">
        <v>445</v>
      </c>
      <c r="K3323" t="s">
        <v>1383</v>
      </c>
    </row>
    <row r="3324" spans="1:11" x14ac:dyDescent="0.25">
      <c r="A3324" s="40">
        <v>46049.382071759261</v>
      </c>
      <c r="B3324" t="s">
        <v>1836</v>
      </c>
      <c r="C3324" t="s">
        <v>59</v>
      </c>
      <c r="D3324" t="s">
        <v>401</v>
      </c>
      <c r="E3324" t="s">
        <v>1364</v>
      </c>
      <c r="F3324" t="s">
        <v>1372</v>
      </c>
      <c r="G3324">
        <v>-215</v>
      </c>
      <c r="H3324">
        <v>2580</v>
      </c>
      <c r="K3324" t="s">
        <v>1383</v>
      </c>
    </row>
    <row r="3325" spans="1:11" x14ac:dyDescent="0.25">
      <c r="A3325" s="40">
        <v>46049.382071759261</v>
      </c>
      <c r="B3325" t="s">
        <v>1836</v>
      </c>
      <c r="C3325" t="s">
        <v>1750</v>
      </c>
      <c r="E3325" t="s">
        <v>1365</v>
      </c>
      <c r="F3325" t="s">
        <v>1372</v>
      </c>
      <c r="G3325">
        <v>-565</v>
      </c>
      <c r="H3325">
        <v>879</v>
      </c>
      <c r="K3325" t="s">
        <v>1383</v>
      </c>
    </row>
    <row r="3326" spans="1:11" x14ac:dyDescent="0.25">
      <c r="A3326" s="40">
        <v>46049.382071759261</v>
      </c>
      <c r="B3326" t="s">
        <v>1836</v>
      </c>
      <c r="C3326" t="s">
        <v>279</v>
      </c>
      <c r="D3326" t="s">
        <v>280</v>
      </c>
      <c r="E3326" t="s">
        <v>1364</v>
      </c>
      <c r="F3326" t="s">
        <v>1372</v>
      </c>
      <c r="G3326">
        <v>-300</v>
      </c>
      <c r="H3326">
        <v>-140</v>
      </c>
      <c r="K3326" t="s">
        <v>1383</v>
      </c>
    </row>
    <row r="3327" spans="1:11" x14ac:dyDescent="0.25">
      <c r="A3327" s="40">
        <v>46049.382071759261</v>
      </c>
      <c r="B3327" t="s">
        <v>1836</v>
      </c>
      <c r="C3327" t="s">
        <v>324</v>
      </c>
      <c r="D3327" t="s">
        <v>325</v>
      </c>
      <c r="E3327" t="s">
        <v>1364</v>
      </c>
      <c r="F3327" t="s">
        <v>1372</v>
      </c>
      <c r="G3327">
        <v>-260</v>
      </c>
      <c r="H3327">
        <v>291</v>
      </c>
      <c r="K3327" t="s">
        <v>1383</v>
      </c>
    </row>
    <row r="3328" spans="1:11" x14ac:dyDescent="0.25">
      <c r="A3328" s="40">
        <v>46049.382071759261</v>
      </c>
      <c r="B3328" t="s">
        <v>1836</v>
      </c>
      <c r="C3328" t="s">
        <v>16</v>
      </c>
      <c r="D3328" t="s">
        <v>484</v>
      </c>
      <c r="E3328" t="s">
        <v>1364</v>
      </c>
      <c r="F3328" t="s">
        <v>1372</v>
      </c>
      <c r="G3328">
        <v>-580</v>
      </c>
      <c r="H3328">
        <v>1010</v>
      </c>
      <c r="K3328" t="s">
        <v>1383</v>
      </c>
    </row>
    <row r="3329" spans="1:11" x14ac:dyDescent="0.25">
      <c r="A3329" s="40">
        <v>46049.382071759261</v>
      </c>
      <c r="B3329" t="s">
        <v>1836</v>
      </c>
      <c r="C3329" t="s">
        <v>341</v>
      </c>
      <c r="D3329" t="s">
        <v>342</v>
      </c>
      <c r="E3329" t="s">
        <v>1364</v>
      </c>
      <c r="F3329" t="s">
        <v>1372</v>
      </c>
      <c r="G3329">
        <v>-760</v>
      </c>
      <c r="H3329">
        <v>-147</v>
      </c>
      <c r="K3329" t="s">
        <v>1383</v>
      </c>
    </row>
    <row r="3330" spans="1:11" x14ac:dyDescent="0.25">
      <c r="A3330" s="40">
        <v>46049.382071759261</v>
      </c>
      <c r="B3330" t="s">
        <v>1836</v>
      </c>
      <c r="C3330" t="s">
        <v>430</v>
      </c>
      <c r="D3330" t="s">
        <v>431</v>
      </c>
      <c r="E3330" t="s">
        <v>1364</v>
      </c>
      <c r="F3330" t="s">
        <v>1372</v>
      </c>
      <c r="G3330">
        <v>-60</v>
      </c>
      <c r="H3330">
        <v>4644</v>
      </c>
      <c r="K3330" t="s">
        <v>1383</v>
      </c>
    </row>
    <row r="3331" spans="1:11" x14ac:dyDescent="0.25">
      <c r="A3331" s="40">
        <v>46049.382071759261</v>
      </c>
      <c r="B3331" t="s">
        <v>1836</v>
      </c>
      <c r="C3331" t="s">
        <v>104</v>
      </c>
      <c r="D3331" t="s">
        <v>410</v>
      </c>
      <c r="E3331" t="s">
        <v>1364</v>
      </c>
      <c r="F3331" t="s">
        <v>1372</v>
      </c>
      <c r="G3331">
        <v>-110</v>
      </c>
      <c r="H3331">
        <v>4226</v>
      </c>
      <c r="K3331" t="s">
        <v>1383</v>
      </c>
    </row>
    <row r="3332" spans="1:11" x14ac:dyDescent="0.25">
      <c r="A3332" s="40">
        <v>46049.382071759261</v>
      </c>
      <c r="B3332" t="s">
        <v>1836</v>
      </c>
      <c r="C3332" t="s">
        <v>229</v>
      </c>
      <c r="D3332" t="s">
        <v>321</v>
      </c>
      <c r="E3332" t="s">
        <v>1364</v>
      </c>
      <c r="F3332" t="s">
        <v>1372</v>
      </c>
      <c r="G3332">
        <v>-300</v>
      </c>
      <c r="H3332">
        <v>6090</v>
      </c>
      <c r="K3332" t="s">
        <v>1383</v>
      </c>
    </row>
    <row r="3333" spans="1:11" x14ac:dyDescent="0.25">
      <c r="A3333" s="40">
        <v>46049.382071759261</v>
      </c>
      <c r="B3333" t="s">
        <v>1836</v>
      </c>
      <c r="C3333" t="s">
        <v>90</v>
      </c>
      <c r="D3333" t="s">
        <v>503</v>
      </c>
      <c r="E3333" t="s">
        <v>1364</v>
      </c>
      <c r="F3333" t="s">
        <v>1372</v>
      </c>
      <c r="G3333">
        <v>-60</v>
      </c>
      <c r="H3333">
        <v>3932</v>
      </c>
      <c r="K3333" t="s">
        <v>1383</v>
      </c>
    </row>
    <row r="3334" spans="1:11" x14ac:dyDescent="0.25">
      <c r="A3334" s="40">
        <v>46049.382071759261</v>
      </c>
      <c r="B3334" t="s">
        <v>1836</v>
      </c>
      <c r="C3334" t="s">
        <v>69</v>
      </c>
      <c r="D3334" t="s">
        <v>375</v>
      </c>
      <c r="E3334" t="s">
        <v>1364</v>
      </c>
      <c r="F3334" t="s">
        <v>1372</v>
      </c>
      <c r="G3334">
        <v>-175</v>
      </c>
      <c r="H3334">
        <v>5309</v>
      </c>
      <c r="K3334" t="s">
        <v>1383</v>
      </c>
    </row>
    <row r="3335" spans="1:11" x14ac:dyDescent="0.25">
      <c r="A3335" s="40">
        <v>46049.382071759261</v>
      </c>
      <c r="B3335" t="s">
        <v>1836</v>
      </c>
      <c r="C3335" t="s">
        <v>14</v>
      </c>
      <c r="D3335" t="s">
        <v>483</v>
      </c>
      <c r="E3335" t="s">
        <v>1364</v>
      </c>
      <c r="F3335" t="s">
        <v>1372</v>
      </c>
      <c r="G3335">
        <v>-110</v>
      </c>
      <c r="H3335">
        <v>-35</v>
      </c>
      <c r="K3335" t="s">
        <v>1383</v>
      </c>
    </row>
    <row r="3336" spans="1:11" x14ac:dyDescent="0.25">
      <c r="A3336" s="40">
        <v>46049.382071759261</v>
      </c>
      <c r="B3336" t="s">
        <v>1836</v>
      </c>
      <c r="C3336" t="s">
        <v>31</v>
      </c>
      <c r="D3336" t="s">
        <v>493</v>
      </c>
      <c r="E3336" t="s">
        <v>1364</v>
      </c>
      <c r="F3336" t="s">
        <v>1372</v>
      </c>
      <c r="G3336">
        <v>-40</v>
      </c>
      <c r="H3336">
        <v>2439</v>
      </c>
      <c r="K3336" t="s">
        <v>1383</v>
      </c>
    </row>
    <row r="3337" spans="1:11" x14ac:dyDescent="0.25">
      <c r="A3337" s="40">
        <v>46049.382071759261</v>
      </c>
      <c r="B3337" t="s">
        <v>1836</v>
      </c>
      <c r="C3337" t="s">
        <v>25</v>
      </c>
      <c r="D3337" t="s">
        <v>491</v>
      </c>
      <c r="E3337" t="s">
        <v>1364</v>
      </c>
      <c r="F3337" t="s">
        <v>1372</v>
      </c>
      <c r="G3337">
        <v>-110</v>
      </c>
      <c r="H3337">
        <v>9696</v>
      </c>
      <c r="K3337" t="s">
        <v>1383</v>
      </c>
    </row>
    <row r="3338" spans="1:11" x14ac:dyDescent="0.25">
      <c r="A3338" s="40">
        <v>46049.382071759261</v>
      </c>
      <c r="B3338" t="s">
        <v>1836</v>
      </c>
      <c r="C3338" t="s">
        <v>333</v>
      </c>
      <c r="D3338" t="s">
        <v>334</v>
      </c>
      <c r="E3338" t="s">
        <v>1364</v>
      </c>
      <c r="F3338" t="s">
        <v>1372</v>
      </c>
      <c r="G3338">
        <v>-320</v>
      </c>
      <c r="H3338">
        <v>5950</v>
      </c>
      <c r="K3338" t="s">
        <v>1383</v>
      </c>
    </row>
    <row r="3339" spans="1:11" x14ac:dyDescent="0.25">
      <c r="A3339" s="40">
        <v>46049.382071759261</v>
      </c>
      <c r="B3339" t="s">
        <v>1836</v>
      </c>
      <c r="C3339" t="s">
        <v>68</v>
      </c>
      <c r="D3339" t="s">
        <v>374</v>
      </c>
      <c r="E3339" t="s">
        <v>1364</v>
      </c>
      <c r="F3339" t="s">
        <v>1372</v>
      </c>
      <c r="G3339">
        <v>-215</v>
      </c>
      <c r="H3339">
        <v>4712</v>
      </c>
      <c r="K3339" t="s">
        <v>1383</v>
      </c>
    </row>
    <row r="3340" spans="1:11" x14ac:dyDescent="0.25">
      <c r="A3340" s="40">
        <v>46049.382071759261</v>
      </c>
      <c r="B3340" t="s">
        <v>1836</v>
      </c>
      <c r="C3340" t="s">
        <v>63</v>
      </c>
      <c r="D3340" t="s">
        <v>355</v>
      </c>
      <c r="E3340" t="s">
        <v>1364</v>
      </c>
      <c r="F3340" t="s">
        <v>1372</v>
      </c>
      <c r="G3340">
        <v>-60</v>
      </c>
      <c r="H3340">
        <v>170</v>
      </c>
      <c r="K3340" t="s">
        <v>1383</v>
      </c>
    </row>
    <row r="3341" spans="1:11" x14ac:dyDescent="0.25">
      <c r="A3341" s="40">
        <v>46049.382071759261</v>
      </c>
      <c r="B3341" t="s">
        <v>1836</v>
      </c>
      <c r="C3341" t="s">
        <v>38</v>
      </c>
      <c r="D3341" t="s">
        <v>386</v>
      </c>
      <c r="E3341" t="s">
        <v>1364</v>
      </c>
      <c r="F3341" t="s">
        <v>1372</v>
      </c>
      <c r="G3341">
        <v>-90</v>
      </c>
      <c r="H3341">
        <v>21950</v>
      </c>
      <c r="K3341" t="s">
        <v>1383</v>
      </c>
    </row>
    <row r="3342" spans="1:11" x14ac:dyDescent="0.25">
      <c r="A3342" s="40">
        <v>46049.382071759261</v>
      </c>
      <c r="B3342" t="s">
        <v>1836</v>
      </c>
      <c r="C3342" t="s">
        <v>32</v>
      </c>
      <c r="D3342" t="s">
        <v>384</v>
      </c>
      <c r="E3342" t="s">
        <v>1364</v>
      </c>
      <c r="F3342" t="s">
        <v>1372</v>
      </c>
      <c r="G3342">
        <v>-40</v>
      </c>
      <c r="H3342">
        <v>2891</v>
      </c>
      <c r="K3342" t="s">
        <v>1383</v>
      </c>
    </row>
    <row r="3343" spans="1:11" x14ac:dyDescent="0.25">
      <c r="A3343" s="40">
        <v>46049.382071759261</v>
      </c>
      <c r="B3343" t="s">
        <v>1836</v>
      </c>
      <c r="C3343" t="s">
        <v>370</v>
      </c>
      <c r="D3343" t="s">
        <v>371</v>
      </c>
      <c r="E3343" t="s">
        <v>1364</v>
      </c>
      <c r="F3343" t="s">
        <v>1372</v>
      </c>
      <c r="G3343">
        <v>-90</v>
      </c>
      <c r="H3343">
        <v>2051</v>
      </c>
      <c r="K3343" t="s">
        <v>1383</v>
      </c>
    </row>
    <row r="3344" spans="1:11" x14ac:dyDescent="0.25">
      <c r="A3344" s="40">
        <v>46049.382071759261</v>
      </c>
      <c r="B3344" t="s">
        <v>1836</v>
      </c>
      <c r="C3344" t="s">
        <v>21</v>
      </c>
      <c r="D3344" t="s">
        <v>488</v>
      </c>
      <c r="E3344" t="s">
        <v>1364</v>
      </c>
      <c r="F3344" t="s">
        <v>1372</v>
      </c>
      <c r="G3344">
        <v>-840</v>
      </c>
      <c r="H3344">
        <v>10470</v>
      </c>
      <c r="K3344" t="s">
        <v>1383</v>
      </c>
    </row>
    <row r="3345" spans="1:12" x14ac:dyDescent="0.25">
      <c r="A3345" s="40">
        <v>46049.382071759261</v>
      </c>
      <c r="B3345" t="s">
        <v>1836</v>
      </c>
      <c r="C3345" t="s">
        <v>7</v>
      </c>
      <c r="D3345" t="s">
        <v>307</v>
      </c>
      <c r="E3345" t="s">
        <v>1364</v>
      </c>
      <c r="F3345" t="s">
        <v>1372</v>
      </c>
      <c r="G3345">
        <v>-660</v>
      </c>
      <c r="H3345">
        <v>6143</v>
      </c>
      <c r="K3345" t="s">
        <v>1383</v>
      </c>
    </row>
    <row r="3346" spans="1:12" x14ac:dyDescent="0.25">
      <c r="A3346" s="40">
        <v>46049.382071759261</v>
      </c>
      <c r="B3346" t="s">
        <v>1836</v>
      </c>
      <c r="C3346" t="s">
        <v>230</v>
      </c>
      <c r="D3346" t="s">
        <v>255</v>
      </c>
      <c r="E3346" t="s">
        <v>1364</v>
      </c>
      <c r="F3346" t="s">
        <v>1372</v>
      </c>
      <c r="G3346">
        <v>-110</v>
      </c>
      <c r="H3346">
        <v>2316</v>
      </c>
      <c r="K3346" t="s">
        <v>1383</v>
      </c>
    </row>
    <row r="3347" spans="1:12" x14ac:dyDescent="0.25">
      <c r="A3347" s="40">
        <v>46049.382071759261</v>
      </c>
      <c r="B3347" t="s">
        <v>1836</v>
      </c>
      <c r="C3347" t="s">
        <v>48</v>
      </c>
      <c r="D3347" t="s">
        <v>396</v>
      </c>
      <c r="E3347" t="s">
        <v>1364</v>
      </c>
      <c r="F3347" t="s">
        <v>1372</v>
      </c>
      <c r="G3347">
        <v>-135</v>
      </c>
      <c r="H3347">
        <v>13930</v>
      </c>
      <c r="K3347" t="s">
        <v>1383</v>
      </c>
    </row>
    <row r="3348" spans="1:12" x14ac:dyDescent="0.25">
      <c r="A3348" s="40">
        <v>46049.382071759261</v>
      </c>
      <c r="B3348" t="s">
        <v>1836</v>
      </c>
      <c r="C3348" t="s">
        <v>58</v>
      </c>
      <c r="D3348" t="s">
        <v>315</v>
      </c>
      <c r="E3348" t="s">
        <v>1364</v>
      </c>
      <c r="F3348" t="s">
        <v>1372</v>
      </c>
      <c r="G3348">
        <v>-60</v>
      </c>
      <c r="H3348">
        <v>3359</v>
      </c>
      <c r="K3348" t="s">
        <v>1383</v>
      </c>
    </row>
    <row r="3349" spans="1:12" x14ac:dyDescent="0.25">
      <c r="A3349" s="40">
        <v>46049.382071759261</v>
      </c>
      <c r="B3349" t="s">
        <v>1836</v>
      </c>
      <c r="C3349" t="s">
        <v>24</v>
      </c>
      <c r="D3349" t="s">
        <v>378</v>
      </c>
      <c r="E3349" t="s">
        <v>1364</v>
      </c>
      <c r="F3349" t="s">
        <v>1372</v>
      </c>
      <c r="G3349">
        <v>-470</v>
      </c>
      <c r="H3349">
        <v>17937</v>
      </c>
      <c r="K3349" t="s">
        <v>1383</v>
      </c>
    </row>
    <row r="3350" spans="1:12" x14ac:dyDescent="0.25">
      <c r="A3350" s="40">
        <v>46049.382071759261</v>
      </c>
      <c r="B3350" t="s">
        <v>1836</v>
      </c>
      <c r="C3350" t="s">
        <v>5</v>
      </c>
      <c r="D3350" t="s">
        <v>389</v>
      </c>
      <c r="E3350" t="s">
        <v>1364</v>
      </c>
      <c r="F3350" t="s">
        <v>1372</v>
      </c>
      <c r="G3350">
        <v>-195</v>
      </c>
      <c r="H3350">
        <v>-90</v>
      </c>
      <c r="K3350" t="s">
        <v>1383</v>
      </c>
    </row>
    <row r="3351" spans="1:12" x14ac:dyDescent="0.25">
      <c r="A3351" s="40">
        <v>46049.382071759261</v>
      </c>
      <c r="B3351" t="s">
        <v>1836</v>
      </c>
      <c r="C3351" t="s">
        <v>366</v>
      </c>
      <c r="D3351" t="s">
        <v>367</v>
      </c>
      <c r="E3351" t="s">
        <v>1364</v>
      </c>
      <c r="F3351" t="s">
        <v>1372</v>
      </c>
      <c r="G3351">
        <v>-60</v>
      </c>
      <c r="H3351">
        <v>3140</v>
      </c>
      <c r="K3351" t="s">
        <v>1383</v>
      </c>
    </row>
    <row r="3352" spans="1:12" x14ac:dyDescent="0.25">
      <c r="A3352" s="40">
        <v>46049.382071759261</v>
      </c>
      <c r="B3352" t="s">
        <v>1836</v>
      </c>
      <c r="C3352" t="s">
        <v>47</v>
      </c>
      <c r="D3352" t="s">
        <v>395</v>
      </c>
      <c r="E3352" t="s">
        <v>1364</v>
      </c>
      <c r="F3352" t="s">
        <v>1372</v>
      </c>
      <c r="G3352">
        <v>-155</v>
      </c>
      <c r="H3352">
        <v>16390</v>
      </c>
      <c r="K3352" t="s">
        <v>1383</v>
      </c>
    </row>
    <row r="3353" spans="1:12" x14ac:dyDescent="0.25">
      <c r="A3353" s="40">
        <v>46049.382071759261</v>
      </c>
      <c r="B3353" t="s">
        <v>1836</v>
      </c>
      <c r="C3353" t="s">
        <v>57</v>
      </c>
      <c r="D3353" t="s">
        <v>314</v>
      </c>
      <c r="E3353" t="s">
        <v>1364</v>
      </c>
      <c r="F3353" t="s">
        <v>1372</v>
      </c>
      <c r="G3353">
        <v>-350</v>
      </c>
      <c r="H3353">
        <v>4341</v>
      </c>
      <c r="K3353" t="s">
        <v>1383</v>
      </c>
    </row>
    <row r="3354" spans="1:12" x14ac:dyDescent="0.25">
      <c r="A3354" s="40">
        <v>46049.382071759261</v>
      </c>
      <c r="B3354" t="s">
        <v>1836</v>
      </c>
      <c r="C3354" t="s">
        <v>27</v>
      </c>
      <c r="D3354" t="s">
        <v>381</v>
      </c>
      <c r="E3354" t="s">
        <v>1364</v>
      </c>
      <c r="F3354" t="s">
        <v>1372</v>
      </c>
      <c r="G3354">
        <v>-1020</v>
      </c>
      <c r="H3354">
        <v>30008</v>
      </c>
      <c r="K3354" t="s">
        <v>1383</v>
      </c>
    </row>
    <row r="3355" spans="1:12" x14ac:dyDescent="0.25">
      <c r="A3355" s="40">
        <v>46049.382071759261</v>
      </c>
      <c r="B3355" t="s">
        <v>1836</v>
      </c>
      <c r="C3355" t="s">
        <v>15</v>
      </c>
      <c r="D3355" t="s">
        <v>474</v>
      </c>
      <c r="E3355" t="s">
        <v>1364</v>
      </c>
      <c r="F3355" t="s">
        <v>1372</v>
      </c>
      <c r="G3355">
        <v>-370</v>
      </c>
      <c r="H3355">
        <v>10419</v>
      </c>
      <c r="K3355" t="s">
        <v>1383</v>
      </c>
    </row>
    <row r="3356" spans="1:12" x14ac:dyDescent="0.25">
      <c r="A3356" s="40">
        <v>46049.382071759261</v>
      </c>
      <c r="B3356" t="s">
        <v>1836</v>
      </c>
      <c r="C3356" t="s">
        <v>20</v>
      </c>
      <c r="D3356" t="s">
        <v>498</v>
      </c>
      <c r="E3356" t="s">
        <v>1364</v>
      </c>
      <c r="F3356" t="s">
        <v>1372</v>
      </c>
      <c r="G3356">
        <v>-450</v>
      </c>
      <c r="H3356">
        <v>20165</v>
      </c>
      <c r="K3356" t="s">
        <v>1383</v>
      </c>
    </row>
    <row r="3357" spans="1:12" x14ac:dyDescent="0.25">
      <c r="A3357" s="40">
        <v>46049.382071759261</v>
      </c>
      <c r="B3357" t="s">
        <v>1836</v>
      </c>
      <c r="C3357" t="s">
        <v>1</v>
      </c>
      <c r="D3357" t="s">
        <v>250</v>
      </c>
      <c r="E3357" t="s">
        <v>1364</v>
      </c>
      <c r="F3357" t="s">
        <v>1372</v>
      </c>
      <c r="G3357">
        <v>-2440</v>
      </c>
      <c r="H3357">
        <v>4915</v>
      </c>
      <c r="K3357" t="s">
        <v>1383</v>
      </c>
    </row>
    <row r="3358" spans="1:12" x14ac:dyDescent="0.25">
      <c r="A3358" s="40">
        <v>46058.375416666669</v>
      </c>
      <c r="B3358" t="s">
        <v>1836</v>
      </c>
      <c r="C3358" t="s">
        <v>341</v>
      </c>
      <c r="D3358" t="s">
        <v>342</v>
      </c>
      <c r="E3358" t="s">
        <v>1364</v>
      </c>
      <c r="F3358" t="s">
        <v>695</v>
      </c>
      <c r="G3358">
        <v>3000</v>
      </c>
      <c r="H3358">
        <v>2853</v>
      </c>
      <c r="I3358" t="s">
        <v>696</v>
      </c>
      <c r="K3358" t="s">
        <v>1465</v>
      </c>
      <c r="L3358">
        <v>120.54</v>
      </c>
    </row>
    <row r="3359" spans="1:12" x14ac:dyDescent="0.25">
      <c r="A3359" s="40">
        <v>46058.375416666669</v>
      </c>
      <c r="B3359" t="s">
        <v>1836</v>
      </c>
      <c r="C3359" t="s">
        <v>279</v>
      </c>
      <c r="D3359" t="s">
        <v>280</v>
      </c>
      <c r="E3359" t="s">
        <v>1364</v>
      </c>
      <c r="F3359" t="s">
        <v>695</v>
      </c>
      <c r="G3359">
        <v>6000</v>
      </c>
      <c r="H3359">
        <v>5860</v>
      </c>
      <c r="I3359" t="s">
        <v>696</v>
      </c>
      <c r="K3359" t="s">
        <v>1465</v>
      </c>
      <c r="L3359">
        <v>67.2</v>
      </c>
    </row>
    <row r="3360" spans="1:12" x14ac:dyDescent="0.25">
      <c r="A3360" s="40">
        <v>46058.375416666669</v>
      </c>
      <c r="B3360" t="s">
        <v>1836</v>
      </c>
      <c r="C3360" t="s">
        <v>5</v>
      </c>
      <c r="D3360" t="s">
        <v>389</v>
      </c>
      <c r="E3360" t="s">
        <v>1364</v>
      </c>
      <c r="F3360" t="s">
        <v>695</v>
      </c>
      <c r="G3360">
        <v>10000</v>
      </c>
      <c r="H3360">
        <v>9910</v>
      </c>
      <c r="I3360" t="s">
        <v>696</v>
      </c>
      <c r="K3360" t="s">
        <v>1465</v>
      </c>
      <c r="L3360">
        <v>11.2</v>
      </c>
    </row>
    <row r="3361" spans="1:12" x14ac:dyDescent="0.25">
      <c r="A3361" s="40">
        <v>46058.375416666669</v>
      </c>
      <c r="B3361" t="s">
        <v>1836</v>
      </c>
      <c r="C3361" t="s">
        <v>14</v>
      </c>
      <c r="D3361" t="s">
        <v>483</v>
      </c>
      <c r="E3361" t="s">
        <v>1364</v>
      </c>
      <c r="F3361" t="s">
        <v>695</v>
      </c>
      <c r="G3361">
        <v>10000</v>
      </c>
      <c r="H3361">
        <v>9965</v>
      </c>
      <c r="I3361" t="s">
        <v>696</v>
      </c>
      <c r="K3361" t="s">
        <v>1465</v>
      </c>
      <c r="L3361">
        <v>22.4</v>
      </c>
    </row>
    <row r="3362" spans="1:12" x14ac:dyDescent="0.25">
      <c r="A3362" s="40">
        <v>46058.376956018517</v>
      </c>
      <c r="B3362" t="s">
        <v>1837</v>
      </c>
      <c r="C3362" t="s">
        <v>1</v>
      </c>
      <c r="D3362" t="s">
        <v>250</v>
      </c>
      <c r="E3362" t="s">
        <v>1364</v>
      </c>
      <c r="F3362" t="s">
        <v>1372</v>
      </c>
      <c r="G3362">
        <v>-370</v>
      </c>
      <c r="H3362">
        <v>4545</v>
      </c>
      <c r="K3362" t="s">
        <v>1383</v>
      </c>
    </row>
    <row r="3363" spans="1:12" x14ac:dyDescent="0.25">
      <c r="A3363" s="40">
        <v>46058.376956018517</v>
      </c>
      <c r="B3363" t="s">
        <v>1837</v>
      </c>
      <c r="C3363" t="s">
        <v>20</v>
      </c>
      <c r="D3363" t="s">
        <v>498</v>
      </c>
      <c r="E3363" t="s">
        <v>1364</v>
      </c>
      <c r="F3363" t="s">
        <v>1372</v>
      </c>
      <c r="G3363">
        <v>-155</v>
      </c>
      <c r="H3363">
        <v>20010</v>
      </c>
      <c r="K3363" t="s">
        <v>1383</v>
      </c>
    </row>
    <row r="3364" spans="1:12" x14ac:dyDescent="0.25">
      <c r="A3364" s="40">
        <v>46058.376956018517</v>
      </c>
      <c r="B3364" t="s">
        <v>1837</v>
      </c>
      <c r="C3364" t="s">
        <v>27</v>
      </c>
      <c r="D3364" t="s">
        <v>381</v>
      </c>
      <c r="E3364" t="s">
        <v>1364</v>
      </c>
      <c r="F3364" t="s">
        <v>1372</v>
      </c>
      <c r="G3364">
        <v>-420</v>
      </c>
      <c r="H3364">
        <v>29588</v>
      </c>
      <c r="K3364" t="s">
        <v>1383</v>
      </c>
    </row>
    <row r="3365" spans="1:12" x14ac:dyDescent="0.25">
      <c r="A3365" s="40">
        <v>46058.376956018517</v>
      </c>
      <c r="B3365" t="s">
        <v>1837</v>
      </c>
      <c r="C3365" t="s">
        <v>47</v>
      </c>
      <c r="D3365" t="s">
        <v>395</v>
      </c>
      <c r="E3365" t="s">
        <v>1364</v>
      </c>
      <c r="F3365" t="s">
        <v>1372</v>
      </c>
      <c r="G3365">
        <v>-70</v>
      </c>
      <c r="H3365">
        <v>16320</v>
      </c>
      <c r="K3365" t="s">
        <v>1383</v>
      </c>
    </row>
    <row r="3366" spans="1:12" x14ac:dyDescent="0.25">
      <c r="A3366" s="40">
        <v>46058.376956018517</v>
      </c>
      <c r="B3366" t="s">
        <v>1837</v>
      </c>
      <c r="C3366" t="s">
        <v>370</v>
      </c>
      <c r="D3366" t="s">
        <v>371</v>
      </c>
      <c r="E3366" t="s">
        <v>1364</v>
      </c>
      <c r="F3366" t="s">
        <v>1372</v>
      </c>
      <c r="G3366">
        <v>-30</v>
      </c>
      <c r="H3366">
        <v>2021</v>
      </c>
      <c r="K3366" t="s">
        <v>1383</v>
      </c>
    </row>
    <row r="3367" spans="1:12" x14ac:dyDescent="0.25">
      <c r="A3367" s="40">
        <v>46058.376956018517</v>
      </c>
      <c r="B3367" t="s">
        <v>1837</v>
      </c>
      <c r="C3367" t="s">
        <v>70</v>
      </c>
      <c r="D3367" t="s">
        <v>402</v>
      </c>
      <c r="E3367" t="s">
        <v>1364</v>
      </c>
      <c r="F3367" t="s">
        <v>1372</v>
      </c>
      <c r="G3367">
        <v>-175</v>
      </c>
      <c r="H3367">
        <v>17142</v>
      </c>
      <c r="K3367" t="s">
        <v>1383</v>
      </c>
    </row>
    <row r="3368" spans="1:12" x14ac:dyDescent="0.25">
      <c r="A3368" s="40">
        <v>46058.376956018517</v>
      </c>
      <c r="B3368" t="s">
        <v>1837</v>
      </c>
      <c r="C3368" t="s">
        <v>58</v>
      </c>
      <c r="D3368" t="s">
        <v>315</v>
      </c>
      <c r="E3368" t="s">
        <v>1364</v>
      </c>
      <c r="F3368" t="s">
        <v>1372</v>
      </c>
      <c r="G3368">
        <v>-110</v>
      </c>
      <c r="H3368">
        <v>3249</v>
      </c>
      <c r="K3368" t="s">
        <v>1383</v>
      </c>
    </row>
    <row r="3369" spans="1:12" x14ac:dyDescent="0.25">
      <c r="A3369" s="40">
        <v>46058.376956018517</v>
      </c>
      <c r="B3369" t="s">
        <v>1837</v>
      </c>
      <c r="C3369" t="s">
        <v>230</v>
      </c>
      <c r="D3369" t="s">
        <v>255</v>
      </c>
      <c r="E3369" t="s">
        <v>1364</v>
      </c>
      <c r="F3369" t="s">
        <v>1372</v>
      </c>
      <c r="G3369">
        <v>-50</v>
      </c>
      <c r="H3369">
        <v>2266</v>
      </c>
      <c r="K3369" t="s">
        <v>1383</v>
      </c>
    </row>
    <row r="3370" spans="1:12" x14ac:dyDescent="0.25">
      <c r="A3370" s="40">
        <v>46058.376956018517</v>
      </c>
      <c r="B3370" t="s">
        <v>1837</v>
      </c>
      <c r="C3370" t="s">
        <v>7</v>
      </c>
      <c r="D3370" t="s">
        <v>307</v>
      </c>
      <c r="E3370" t="s">
        <v>1364</v>
      </c>
      <c r="F3370" t="s">
        <v>1372</v>
      </c>
      <c r="G3370">
        <v>-175</v>
      </c>
      <c r="H3370">
        <v>5968</v>
      </c>
      <c r="K3370" t="s">
        <v>1383</v>
      </c>
    </row>
    <row r="3371" spans="1:12" x14ac:dyDescent="0.25">
      <c r="A3371" s="40">
        <v>46058.376956018517</v>
      </c>
      <c r="B3371" t="s">
        <v>1837</v>
      </c>
      <c r="C3371" t="s">
        <v>44</v>
      </c>
      <c r="D3371" t="s">
        <v>392</v>
      </c>
      <c r="E3371" t="s">
        <v>1364</v>
      </c>
      <c r="F3371" t="s">
        <v>1372</v>
      </c>
      <c r="G3371">
        <v>-70</v>
      </c>
      <c r="H3371">
        <v>1914</v>
      </c>
      <c r="K3371" t="s">
        <v>1383</v>
      </c>
    </row>
    <row r="3372" spans="1:12" x14ac:dyDescent="0.25">
      <c r="A3372" s="40">
        <v>46058.376956018517</v>
      </c>
      <c r="B3372" t="s">
        <v>1837</v>
      </c>
      <c r="C3372" t="s">
        <v>63</v>
      </c>
      <c r="D3372" t="s">
        <v>355</v>
      </c>
      <c r="E3372" t="s">
        <v>1364</v>
      </c>
      <c r="F3372" t="s">
        <v>1372</v>
      </c>
      <c r="G3372">
        <v>-50</v>
      </c>
      <c r="H3372">
        <v>120</v>
      </c>
      <c r="K3372" t="s">
        <v>1383</v>
      </c>
    </row>
    <row r="3373" spans="1:12" x14ac:dyDescent="0.25">
      <c r="A3373" s="40">
        <v>46058.376956018517</v>
      </c>
      <c r="B3373" t="s">
        <v>1837</v>
      </c>
      <c r="C3373" t="s">
        <v>12</v>
      </c>
      <c r="D3373" t="s">
        <v>432</v>
      </c>
      <c r="E3373" t="s">
        <v>1364</v>
      </c>
      <c r="F3373" t="s">
        <v>1372</v>
      </c>
      <c r="G3373">
        <v>-120</v>
      </c>
      <c r="H3373">
        <v>9759</v>
      </c>
      <c r="K3373" t="s">
        <v>1383</v>
      </c>
    </row>
    <row r="3374" spans="1:12" x14ac:dyDescent="0.25">
      <c r="A3374" s="40">
        <v>46058.376956018517</v>
      </c>
      <c r="B3374" t="s">
        <v>1837</v>
      </c>
      <c r="C3374" t="s">
        <v>68</v>
      </c>
      <c r="D3374" t="s">
        <v>374</v>
      </c>
      <c r="E3374" t="s">
        <v>1364</v>
      </c>
      <c r="F3374" t="s">
        <v>1372</v>
      </c>
      <c r="G3374">
        <v>-110</v>
      </c>
      <c r="H3374">
        <v>4602</v>
      </c>
      <c r="K3374" t="s">
        <v>1383</v>
      </c>
    </row>
    <row r="3375" spans="1:12" x14ac:dyDescent="0.25">
      <c r="A3375" s="40">
        <v>46058.376956018517</v>
      </c>
      <c r="B3375" t="s">
        <v>1837</v>
      </c>
      <c r="C3375" t="s">
        <v>82</v>
      </c>
      <c r="D3375" t="s">
        <v>318</v>
      </c>
      <c r="E3375" t="s">
        <v>1364</v>
      </c>
      <c r="F3375" t="s">
        <v>1372</v>
      </c>
      <c r="G3375">
        <v>-70</v>
      </c>
      <c r="H3375">
        <v>9869</v>
      </c>
      <c r="K3375" t="s">
        <v>1383</v>
      </c>
    </row>
    <row r="3376" spans="1:12" x14ac:dyDescent="0.25">
      <c r="A3376" s="40">
        <v>46058.376956018517</v>
      </c>
      <c r="B3376" t="s">
        <v>1837</v>
      </c>
      <c r="C3376" t="s">
        <v>13</v>
      </c>
      <c r="D3376" t="s">
        <v>453</v>
      </c>
      <c r="E3376" t="s">
        <v>1364</v>
      </c>
      <c r="F3376" t="s">
        <v>1372</v>
      </c>
      <c r="G3376">
        <v>-60</v>
      </c>
      <c r="H3376">
        <v>906</v>
      </c>
      <c r="K3376" t="s">
        <v>1383</v>
      </c>
    </row>
    <row r="3377" spans="1:11" x14ac:dyDescent="0.25">
      <c r="A3377" s="40">
        <v>46058.376956018517</v>
      </c>
      <c r="B3377" t="s">
        <v>1837</v>
      </c>
      <c r="C3377" t="s">
        <v>477</v>
      </c>
      <c r="D3377" t="s">
        <v>478</v>
      </c>
      <c r="E3377" t="s">
        <v>1364</v>
      </c>
      <c r="F3377" t="s">
        <v>1372</v>
      </c>
      <c r="G3377">
        <v>-30</v>
      </c>
      <c r="H3377">
        <v>1752</v>
      </c>
      <c r="K3377" t="s">
        <v>1383</v>
      </c>
    </row>
    <row r="3378" spans="1:11" x14ac:dyDescent="0.25">
      <c r="A3378" s="40">
        <v>46058.376956018517</v>
      </c>
      <c r="B3378" t="s">
        <v>1837</v>
      </c>
      <c r="C3378" t="s">
        <v>424</v>
      </c>
      <c r="D3378" t="s">
        <v>425</v>
      </c>
      <c r="E3378" t="s">
        <v>1364</v>
      </c>
      <c r="F3378" t="s">
        <v>1372</v>
      </c>
      <c r="G3378">
        <v>-40</v>
      </c>
      <c r="H3378">
        <v>3595</v>
      </c>
      <c r="K3378" t="s">
        <v>1383</v>
      </c>
    </row>
    <row r="3379" spans="1:11" x14ac:dyDescent="0.25">
      <c r="A3379" s="40">
        <v>46058.376956018517</v>
      </c>
      <c r="B3379" t="s">
        <v>1837</v>
      </c>
      <c r="C3379" t="s">
        <v>464</v>
      </c>
      <c r="D3379" t="s">
        <v>465</v>
      </c>
      <c r="E3379" t="s">
        <v>1364</v>
      </c>
      <c r="F3379" t="s">
        <v>1372</v>
      </c>
      <c r="G3379">
        <v>-40</v>
      </c>
      <c r="H3379">
        <v>3890</v>
      </c>
      <c r="K3379" t="s">
        <v>1383</v>
      </c>
    </row>
    <row r="3380" spans="1:11" x14ac:dyDescent="0.25">
      <c r="A3380" s="40">
        <v>46058.376956018517</v>
      </c>
      <c r="B3380" t="s">
        <v>1837</v>
      </c>
      <c r="C3380" t="s">
        <v>60</v>
      </c>
      <c r="D3380" t="s">
        <v>350</v>
      </c>
      <c r="E3380" t="s">
        <v>1364</v>
      </c>
      <c r="F3380" t="s">
        <v>1372</v>
      </c>
      <c r="G3380">
        <v>-100</v>
      </c>
      <c r="H3380">
        <v>2165</v>
      </c>
      <c r="K3380" t="s">
        <v>1383</v>
      </c>
    </row>
    <row r="3381" spans="1:11" x14ac:dyDescent="0.25">
      <c r="A3381" s="40">
        <v>46058.376956018517</v>
      </c>
      <c r="B3381" t="s">
        <v>1837</v>
      </c>
      <c r="C3381" t="s">
        <v>69</v>
      </c>
      <c r="D3381" t="s">
        <v>375</v>
      </c>
      <c r="E3381" t="s">
        <v>1364</v>
      </c>
      <c r="F3381" t="s">
        <v>1372</v>
      </c>
      <c r="G3381">
        <v>-120</v>
      </c>
      <c r="H3381">
        <v>5189</v>
      </c>
      <c r="K3381" t="s">
        <v>1383</v>
      </c>
    </row>
    <row r="3382" spans="1:11" x14ac:dyDescent="0.25">
      <c r="A3382" s="40">
        <v>46058.376956018517</v>
      </c>
      <c r="B3382" t="s">
        <v>1837</v>
      </c>
      <c r="C3382" t="s">
        <v>28</v>
      </c>
      <c r="D3382" t="s">
        <v>382</v>
      </c>
      <c r="E3382" t="s">
        <v>1364</v>
      </c>
      <c r="F3382" t="s">
        <v>1372</v>
      </c>
      <c r="G3382">
        <v>-40</v>
      </c>
      <c r="H3382">
        <v>2429</v>
      </c>
      <c r="K3382" t="s">
        <v>1383</v>
      </c>
    </row>
    <row r="3383" spans="1:11" x14ac:dyDescent="0.25">
      <c r="A3383" s="40">
        <v>46058.376956018517</v>
      </c>
      <c r="B3383" t="s">
        <v>1837</v>
      </c>
      <c r="C3383" t="s">
        <v>281</v>
      </c>
      <c r="D3383" t="s">
        <v>282</v>
      </c>
      <c r="E3383" t="s">
        <v>1364</v>
      </c>
      <c r="F3383" t="s">
        <v>1372</v>
      </c>
      <c r="G3383">
        <v>-40</v>
      </c>
      <c r="H3383">
        <v>1158</v>
      </c>
      <c r="K3383" t="s">
        <v>1383</v>
      </c>
    </row>
    <row r="3384" spans="1:11" x14ac:dyDescent="0.25">
      <c r="A3384" s="40">
        <v>46058.376956018517</v>
      </c>
      <c r="B3384" t="s">
        <v>1837</v>
      </c>
      <c r="C3384" t="s">
        <v>89</v>
      </c>
      <c r="D3384" t="s">
        <v>359</v>
      </c>
      <c r="E3384" t="s">
        <v>1364</v>
      </c>
      <c r="F3384" t="s">
        <v>1372</v>
      </c>
      <c r="G3384">
        <v>-60</v>
      </c>
      <c r="H3384">
        <v>1270</v>
      </c>
      <c r="K3384" t="s">
        <v>1383</v>
      </c>
    </row>
    <row r="3385" spans="1:11" x14ac:dyDescent="0.25">
      <c r="A3385" s="40">
        <v>46058.376956018517</v>
      </c>
      <c r="B3385" t="s">
        <v>1837</v>
      </c>
      <c r="C3385" t="s">
        <v>414</v>
      </c>
      <c r="D3385" t="s">
        <v>415</v>
      </c>
      <c r="E3385" t="s">
        <v>1364</v>
      </c>
      <c r="F3385" t="s">
        <v>1372</v>
      </c>
      <c r="G3385">
        <v>-70</v>
      </c>
      <c r="H3385">
        <v>3234</v>
      </c>
      <c r="K3385" t="s">
        <v>1383</v>
      </c>
    </row>
    <row r="3386" spans="1:11" x14ac:dyDescent="0.25">
      <c r="A3386" s="40">
        <v>46058.376956018517</v>
      </c>
      <c r="B3386" t="s">
        <v>1837</v>
      </c>
      <c r="C3386" t="s">
        <v>445</v>
      </c>
      <c r="D3386" t="s">
        <v>446</v>
      </c>
      <c r="E3386" t="s">
        <v>1364</v>
      </c>
      <c r="F3386" t="s">
        <v>1372</v>
      </c>
      <c r="G3386">
        <v>-40</v>
      </c>
      <c r="H3386">
        <v>2828</v>
      </c>
      <c r="K3386" t="s">
        <v>1383</v>
      </c>
    </row>
    <row r="3387" spans="1:11" x14ac:dyDescent="0.25">
      <c r="A3387" s="40">
        <v>46058.376956018517</v>
      </c>
      <c r="B3387" t="s">
        <v>1837</v>
      </c>
      <c r="C3387" t="s">
        <v>79</v>
      </c>
      <c r="D3387" t="s">
        <v>358</v>
      </c>
      <c r="E3387" t="s">
        <v>1364</v>
      </c>
      <c r="F3387" t="s">
        <v>1372</v>
      </c>
      <c r="G3387">
        <v>-30</v>
      </c>
      <c r="H3387">
        <v>1828</v>
      </c>
      <c r="K3387" t="s">
        <v>1383</v>
      </c>
    </row>
    <row r="3388" spans="1:11" x14ac:dyDescent="0.25">
      <c r="A3388" s="40">
        <v>46058.376956018517</v>
      </c>
      <c r="B3388" t="s">
        <v>1837</v>
      </c>
      <c r="C3388" t="s">
        <v>1762</v>
      </c>
      <c r="D3388" t="s">
        <v>1792</v>
      </c>
      <c r="E3388" t="s">
        <v>1364</v>
      </c>
      <c r="F3388" t="s">
        <v>1372</v>
      </c>
      <c r="G3388">
        <v>-30</v>
      </c>
      <c r="H3388">
        <v>473</v>
      </c>
      <c r="K3388" t="s">
        <v>1383</v>
      </c>
    </row>
    <row r="3389" spans="1:11" x14ac:dyDescent="0.25">
      <c r="A3389" s="40">
        <v>46058.376956018517</v>
      </c>
      <c r="B3389" t="s">
        <v>1837</v>
      </c>
      <c r="C3389" t="s">
        <v>326</v>
      </c>
      <c r="D3389" t="s">
        <v>327</v>
      </c>
      <c r="E3389" t="s">
        <v>1364</v>
      </c>
      <c r="F3389" t="s">
        <v>1372</v>
      </c>
      <c r="G3389">
        <v>-30</v>
      </c>
      <c r="H3389">
        <v>429</v>
      </c>
      <c r="K3389" t="s">
        <v>1383</v>
      </c>
    </row>
    <row r="3390" spans="1:11" x14ac:dyDescent="0.25">
      <c r="A3390" s="40">
        <v>46058.376956018517</v>
      </c>
      <c r="B3390" t="s">
        <v>1837</v>
      </c>
      <c r="C3390" t="s">
        <v>1352</v>
      </c>
      <c r="E3390" t="s">
        <v>1365</v>
      </c>
      <c r="F3390" t="s">
        <v>1372</v>
      </c>
      <c r="G3390">
        <v>-140</v>
      </c>
      <c r="H3390">
        <v>1934</v>
      </c>
      <c r="K3390" t="s">
        <v>1383</v>
      </c>
    </row>
    <row r="3391" spans="1:11" x14ac:dyDescent="0.25">
      <c r="A3391" s="40">
        <v>46058.376956018517</v>
      </c>
      <c r="B3391" t="s">
        <v>1837</v>
      </c>
      <c r="C3391" t="s">
        <v>8</v>
      </c>
      <c r="D3391" t="s">
        <v>311</v>
      </c>
      <c r="E3391" t="s">
        <v>1364</v>
      </c>
      <c r="F3391" t="s">
        <v>1372</v>
      </c>
      <c r="G3391">
        <v>-110</v>
      </c>
      <c r="H3391">
        <v>7701</v>
      </c>
      <c r="K3391" t="s">
        <v>1383</v>
      </c>
    </row>
    <row r="3392" spans="1:11" x14ac:dyDescent="0.25">
      <c r="A3392" s="40">
        <v>46058.376956018517</v>
      </c>
      <c r="B3392" t="s">
        <v>1837</v>
      </c>
      <c r="C3392" t="s">
        <v>296</v>
      </c>
      <c r="D3392" t="s">
        <v>297</v>
      </c>
      <c r="E3392" t="s">
        <v>1364</v>
      </c>
      <c r="F3392" t="s">
        <v>1372</v>
      </c>
      <c r="G3392">
        <v>-90</v>
      </c>
      <c r="H3392">
        <v>2268</v>
      </c>
      <c r="K3392" t="s">
        <v>1383</v>
      </c>
    </row>
    <row r="3393" spans="1:11" x14ac:dyDescent="0.25">
      <c r="A3393" s="40">
        <v>46058.376956018517</v>
      </c>
      <c r="B3393" t="s">
        <v>1837</v>
      </c>
      <c r="C3393" t="s">
        <v>62</v>
      </c>
      <c r="D3393" t="s">
        <v>354</v>
      </c>
      <c r="E3393" t="s">
        <v>1364</v>
      </c>
      <c r="F3393" t="s">
        <v>1372</v>
      </c>
      <c r="G3393">
        <v>-30</v>
      </c>
      <c r="H3393">
        <v>2540</v>
      </c>
      <c r="K3393" t="s">
        <v>1383</v>
      </c>
    </row>
    <row r="3394" spans="1:11" x14ac:dyDescent="0.25">
      <c r="A3394" s="40">
        <v>46058.376956018517</v>
      </c>
      <c r="B3394" t="s">
        <v>1837</v>
      </c>
      <c r="C3394" t="s">
        <v>420</v>
      </c>
      <c r="D3394" t="s">
        <v>421</v>
      </c>
      <c r="E3394" t="s">
        <v>1364</v>
      </c>
      <c r="F3394" t="s">
        <v>1372</v>
      </c>
      <c r="G3394">
        <v>-40</v>
      </c>
      <c r="H3394">
        <v>7354</v>
      </c>
      <c r="K3394" t="s">
        <v>1383</v>
      </c>
    </row>
    <row r="3395" spans="1:11" x14ac:dyDescent="0.25">
      <c r="A3395" s="40">
        <v>46058.376956018517</v>
      </c>
      <c r="B3395" t="s">
        <v>1837</v>
      </c>
      <c r="C3395" t="s">
        <v>1353</v>
      </c>
      <c r="E3395" t="s">
        <v>1365</v>
      </c>
      <c r="F3395" t="s">
        <v>1372</v>
      </c>
      <c r="G3395">
        <v>-22</v>
      </c>
      <c r="H3395">
        <v>542</v>
      </c>
      <c r="K3395" t="s">
        <v>1383</v>
      </c>
    </row>
    <row r="3396" spans="1:11" x14ac:dyDescent="0.25">
      <c r="A3396" s="40">
        <v>46058.376956018517</v>
      </c>
      <c r="B3396" t="s">
        <v>1837</v>
      </c>
      <c r="C3396" t="s">
        <v>693</v>
      </c>
      <c r="D3396" t="s">
        <v>701</v>
      </c>
      <c r="E3396" t="s">
        <v>1364</v>
      </c>
      <c r="F3396" t="s">
        <v>1372</v>
      </c>
      <c r="G3396">
        <v>-30</v>
      </c>
      <c r="H3396">
        <v>644</v>
      </c>
      <c r="K3396" t="s">
        <v>1383</v>
      </c>
    </row>
    <row r="3397" spans="1:11" x14ac:dyDescent="0.25">
      <c r="A3397" s="40">
        <v>46058.376956018517</v>
      </c>
      <c r="B3397" t="s">
        <v>1837</v>
      </c>
      <c r="C3397" t="s">
        <v>330</v>
      </c>
      <c r="D3397" t="s">
        <v>331</v>
      </c>
      <c r="E3397" t="s">
        <v>1364</v>
      </c>
      <c r="F3397" t="s">
        <v>1372</v>
      </c>
      <c r="G3397">
        <v>-100</v>
      </c>
      <c r="H3397">
        <v>373</v>
      </c>
      <c r="K3397" t="s">
        <v>1383</v>
      </c>
    </row>
    <row r="3398" spans="1:11" x14ac:dyDescent="0.25">
      <c r="A3398" s="40">
        <v>46058.376956018517</v>
      </c>
      <c r="B3398" t="s">
        <v>1837</v>
      </c>
      <c r="C3398" t="s">
        <v>1763</v>
      </c>
      <c r="D3398" t="s">
        <v>1793</v>
      </c>
      <c r="E3398" t="s">
        <v>1364</v>
      </c>
      <c r="F3398" t="s">
        <v>1372</v>
      </c>
      <c r="G3398">
        <v>-50</v>
      </c>
      <c r="H3398">
        <v>1561</v>
      </c>
      <c r="K3398" t="s">
        <v>1383</v>
      </c>
    </row>
    <row r="3399" spans="1:11" x14ac:dyDescent="0.25">
      <c r="A3399" s="40">
        <v>46058.376956018517</v>
      </c>
      <c r="B3399" t="s">
        <v>1837</v>
      </c>
      <c r="C3399" t="s">
        <v>1769</v>
      </c>
      <c r="E3399" t="s">
        <v>1365</v>
      </c>
      <c r="F3399" t="s">
        <v>1372</v>
      </c>
      <c r="G3399">
        <v>-11</v>
      </c>
      <c r="H3399">
        <v>12</v>
      </c>
      <c r="K3399" t="s">
        <v>1383</v>
      </c>
    </row>
    <row r="3400" spans="1:11" x14ac:dyDescent="0.25">
      <c r="A3400" s="40">
        <v>46058.376956018517</v>
      </c>
      <c r="B3400" t="s">
        <v>1837</v>
      </c>
      <c r="C3400" t="s">
        <v>1823</v>
      </c>
      <c r="D3400" t="s">
        <v>1824</v>
      </c>
      <c r="E3400" t="s">
        <v>1364</v>
      </c>
      <c r="F3400" t="s">
        <v>1372</v>
      </c>
      <c r="G3400">
        <v>-13</v>
      </c>
      <c r="H3400">
        <v>2952</v>
      </c>
      <c r="K3400" t="s">
        <v>1383</v>
      </c>
    </row>
    <row r="3401" spans="1:11" x14ac:dyDescent="0.25">
      <c r="A3401" s="40">
        <v>46058.376956018517</v>
      </c>
      <c r="B3401" t="s">
        <v>1837</v>
      </c>
      <c r="C3401" t="s">
        <v>1351</v>
      </c>
      <c r="E3401" t="s">
        <v>1365</v>
      </c>
      <c r="F3401" t="s">
        <v>1372</v>
      </c>
      <c r="G3401">
        <v>-11</v>
      </c>
      <c r="H3401">
        <v>70</v>
      </c>
      <c r="K3401" t="s">
        <v>1383</v>
      </c>
    </row>
    <row r="3402" spans="1:11" x14ac:dyDescent="0.25">
      <c r="A3402" s="40">
        <v>46058.376956018517</v>
      </c>
      <c r="B3402" t="s">
        <v>1837</v>
      </c>
      <c r="C3402" t="s">
        <v>1761</v>
      </c>
      <c r="E3402" t="s">
        <v>1365</v>
      </c>
      <c r="F3402" t="s">
        <v>1372</v>
      </c>
      <c r="G3402">
        <v>-11</v>
      </c>
      <c r="H3402">
        <v>4</v>
      </c>
      <c r="K3402" t="s">
        <v>1383</v>
      </c>
    </row>
    <row r="3403" spans="1:11" x14ac:dyDescent="0.25">
      <c r="A3403" s="40">
        <v>46058.376956018517</v>
      </c>
      <c r="B3403" t="s">
        <v>1837</v>
      </c>
      <c r="C3403" t="s">
        <v>56</v>
      </c>
      <c r="D3403" t="s">
        <v>313</v>
      </c>
      <c r="E3403" t="s">
        <v>1364</v>
      </c>
      <c r="F3403" t="s">
        <v>1372</v>
      </c>
      <c r="G3403">
        <v>-40</v>
      </c>
      <c r="H3403">
        <v>1753</v>
      </c>
      <c r="K3403" t="s">
        <v>1383</v>
      </c>
    </row>
    <row r="3404" spans="1:11" x14ac:dyDescent="0.25">
      <c r="A3404" s="40">
        <v>46058.376956018517</v>
      </c>
      <c r="B3404" t="s">
        <v>1837</v>
      </c>
      <c r="C3404" t="s">
        <v>1751</v>
      </c>
      <c r="D3404" t="s">
        <v>1791</v>
      </c>
      <c r="E3404" t="s">
        <v>1364</v>
      </c>
      <c r="F3404" t="s">
        <v>1372</v>
      </c>
      <c r="G3404">
        <v>-13</v>
      </c>
      <c r="H3404">
        <v>876</v>
      </c>
      <c r="K3404" t="s">
        <v>1383</v>
      </c>
    </row>
    <row r="3405" spans="1:11" x14ac:dyDescent="0.25">
      <c r="A3405" s="40">
        <v>46058.376956018517</v>
      </c>
      <c r="B3405" t="s">
        <v>1837</v>
      </c>
      <c r="C3405" t="s">
        <v>1768</v>
      </c>
      <c r="E3405" t="s">
        <v>1365</v>
      </c>
      <c r="F3405" t="s">
        <v>1372</v>
      </c>
      <c r="G3405">
        <v>-11</v>
      </c>
      <c r="H3405">
        <v>12</v>
      </c>
      <c r="K3405" t="s">
        <v>1383</v>
      </c>
    </row>
    <row r="3406" spans="1:11" x14ac:dyDescent="0.25">
      <c r="A3406" s="40">
        <v>46058.376956018517</v>
      </c>
      <c r="B3406" t="s">
        <v>1837</v>
      </c>
      <c r="C3406" t="s">
        <v>1766</v>
      </c>
      <c r="E3406" t="s">
        <v>1365</v>
      </c>
      <c r="F3406" t="s">
        <v>1372</v>
      </c>
      <c r="G3406">
        <v>-11</v>
      </c>
      <c r="H3406">
        <v>12</v>
      </c>
      <c r="K3406" t="s">
        <v>1383</v>
      </c>
    </row>
    <row r="3407" spans="1:11" x14ac:dyDescent="0.25">
      <c r="A3407" s="40">
        <v>46058</v>
      </c>
      <c r="B3407" t="s">
        <v>1822</v>
      </c>
      <c r="C3407" t="s">
        <v>1838</v>
      </c>
      <c r="E3407" t="s">
        <v>1365</v>
      </c>
      <c r="F3407" t="s">
        <v>695</v>
      </c>
      <c r="G3407">
        <v>72</v>
      </c>
      <c r="H3407">
        <v>72</v>
      </c>
      <c r="K3407" t="s">
        <v>1380</v>
      </c>
    </row>
    <row r="3408" spans="1:11" x14ac:dyDescent="0.25">
      <c r="A3408" s="40">
        <v>46058</v>
      </c>
      <c r="B3408" t="s">
        <v>1822</v>
      </c>
      <c r="C3408" t="s">
        <v>1838</v>
      </c>
      <c r="E3408" t="s">
        <v>1365</v>
      </c>
      <c r="F3408" t="s">
        <v>1372</v>
      </c>
      <c r="G3408">
        <v>-32</v>
      </c>
      <c r="H3408">
        <v>40</v>
      </c>
      <c r="K3408" t="s">
        <v>1380</v>
      </c>
    </row>
    <row r="3409" spans="1:11" x14ac:dyDescent="0.25">
      <c r="A3409" s="40">
        <v>46058</v>
      </c>
      <c r="B3409" t="s">
        <v>1837</v>
      </c>
      <c r="C3409" t="s">
        <v>1838</v>
      </c>
      <c r="E3409" t="s">
        <v>1365</v>
      </c>
      <c r="F3409" t="s">
        <v>1372</v>
      </c>
      <c r="G3409">
        <v>-11</v>
      </c>
      <c r="H3409">
        <v>29</v>
      </c>
      <c r="K3409" t="s">
        <v>1380</v>
      </c>
    </row>
    <row r="3410" spans="1:11" x14ac:dyDescent="0.25">
      <c r="A3410" s="40">
        <v>46065.298888888887</v>
      </c>
      <c r="B3410" t="s">
        <v>1842</v>
      </c>
      <c r="C3410" t="s">
        <v>324</v>
      </c>
      <c r="D3410" t="s">
        <v>325</v>
      </c>
      <c r="E3410" t="s">
        <v>1364</v>
      </c>
      <c r="F3410" t="s">
        <v>1372</v>
      </c>
      <c r="G3410">
        <v>-45</v>
      </c>
      <c r="H3410">
        <v>246</v>
      </c>
      <c r="K3410" t="s">
        <v>1383</v>
      </c>
    </row>
    <row r="3411" spans="1:11" x14ac:dyDescent="0.25">
      <c r="A3411" s="40">
        <v>46065.298888888887</v>
      </c>
      <c r="B3411" t="s">
        <v>1842</v>
      </c>
      <c r="C3411" t="s">
        <v>326</v>
      </c>
      <c r="D3411" t="s">
        <v>327</v>
      </c>
      <c r="E3411" t="s">
        <v>1364</v>
      </c>
      <c r="F3411" t="s">
        <v>1372</v>
      </c>
      <c r="G3411">
        <v>-90</v>
      </c>
      <c r="H3411">
        <v>339</v>
      </c>
      <c r="K3411" t="s">
        <v>1383</v>
      </c>
    </row>
    <row r="3412" spans="1:11" x14ac:dyDescent="0.25">
      <c r="A3412" s="40">
        <v>46065.298888888887</v>
      </c>
      <c r="B3412" t="s">
        <v>1842</v>
      </c>
      <c r="C3412" t="s">
        <v>63</v>
      </c>
      <c r="D3412" t="s">
        <v>355</v>
      </c>
      <c r="E3412" t="s">
        <v>1364</v>
      </c>
      <c r="F3412" t="s">
        <v>1372</v>
      </c>
      <c r="G3412">
        <v>-115</v>
      </c>
      <c r="H3412">
        <v>5</v>
      </c>
      <c r="K3412" t="s">
        <v>1383</v>
      </c>
    </row>
    <row r="3413" spans="1:11" x14ac:dyDescent="0.25">
      <c r="A3413" s="40">
        <v>46065.298888888887</v>
      </c>
      <c r="B3413" t="s">
        <v>1842</v>
      </c>
      <c r="C3413" t="s">
        <v>370</v>
      </c>
      <c r="D3413" t="s">
        <v>371</v>
      </c>
      <c r="E3413" t="s">
        <v>1364</v>
      </c>
      <c r="F3413" t="s">
        <v>1372</v>
      </c>
      <c r="G3413">
        <v>-55</v>
      </c>
      <c r="H3413">
        <v>1966</v>
      </c>
      <c r="K3413" t="s">
        <v>1383</v>
      </c>
    </row>
    <row r="3414" spans="1:11" x14ac:dyDescent="0.25">
      <c r="A3414" s="40">
        <v>46065.298888888887</v>
      </c>
      <c r="B3414" t="s">
        <v>1842</v>
      </c>
      <c r="C3414" t="s">
        <v>1762</v>
      </c>
      <c r="D3414" t="s">
        <v>1792</v>
      </c>
      <c r="E3414" t="s">
        <v>1364</v>
      </c>
      <c r="F3414" t="s">
        <v>1372</v>
      </c>
      <c r="G3414">
        <v>-145</v>
      </c>
      <c r="H3414">
        <v>328</v>
      </c>
      <c r="K3414" t="s">
        <v>1383</v>
      </c>
    </row>
    <row r="3415" spans="1:11" x14ac:dyDescent="0.25">
      <c r="A3415" s="40">
        <v>46065.298888888887</v>
      </c>
      <c r="B3415" t="s">
        <v>1842</v>
      </c>
      <c r="C3415" t="s">
        <v>18</v>
      </c>
      <c r="D3415" t="s">
        <v>487</v>
      </c>
      <c r="E3415" t="s">
        <v>1364</v>
      </c>
      <c r="F3415" t="s">
        <v>1372</v>
      </c>
      <c r="G3415">
        <v>-70</v>
      </c>
      <c r="H3415">
        <v>960</v>
      </c>
      <c r="K3415" t="s">
        <v>1383</v>
      </c>
    </row>
    <row r="3416" spans="1:11" x14ac:dyDescent="0.25">
      <c r="A3416" s="40">
        <v>46065.298888888887</v>
      </c>
      <c r="B3416" t="s">
        <v>1842</v>
      </c>
      <c r="C3416" t="s">
        <v>25</v>
      </c>
      <c r="D3416" t="s">
        <v>491</v>
      </c>
      <c r="E3416" t="s">
        <v>1364</v>
      </c>
      <c r="F3416" t="s">
        <v>1372</v>
      </c>
      <c r="G3416">
        <v>-135</v>
      </c>
      <c r="H3416">
        <v>9561</v>
      </c>
      <c r="K3416" t="s">
        <v>1383</v>
      </c>
    </row>
    <row r="3417" spans="1:11" x14ac:dyDescent="0.25">
      <c r="A3417" s="40">
        <v>46065.298888888887</v>
      </c>
      <c r="B3417" t="s">
        <v>1842</v>
      </c>
      <c r="C3417" t="s">
        <v>24</v>
      </c>
      <c r="D3417" t="s">
        <v>378</v>
      </c>
      <c r="E3417" t="s">
        <v>1364</v>
      </c>
      <c r="F3417" t="s">
        <v>1372</v>
      </c>
      <c r="G3417">
        <v>-70</v>
      </c>
      <c r="H3417">
        <v>17867</v>
      </c>
      <c r="K3417" t="s">
        <v>1383</v>
      </c>
    </row>
    <row r="3418" spans="1:11" x14ac:dyDescent="0.25">
      <c r="A3418" s="40">
        <v>46065.298888888887</v>
      </c>
      <c r="B3418" t="s">
        <v>1842</v>
      </c>
      <c r="C3418" t="s">
        <v>58</v>
      </c>
      <c r="D3418" t="s">
        <v>315</v>
      </c>
      <c r="E3418" t="s">
        <v>1364</v>
      </c>
      <c r="F3418" t="s">
        <v>1372</v>
      </c>
      <c r="G3418">
        <v>-320</v>
      </c>
      <c r="H3418">
        <v>2929</v>
      </c>
      <c r="K3418" t="s">
        <v>1383</v>
      </c>
    </row>
    <row r="3419" spans="1:11" x14ac:dyDescent="0.25">
      <c r="A3419" s="40">
        <v>46065.298888888887</v>
      </c>
      <c r="B3419" t="s">
        <v>1842</v>
      </c>
      <c r="C3419" t="s">
        <v>304</v>
      </c>
      <c r="D3419" t="s">
        <v>305</v>
      </c>
      <c r="E3419" t="s">
        <v>1364</v>
      </c>
      <c r="F3419" t="s">
        <v>1372</v>
      </c>
      <c r="G3419">
        <v>-300</v>
      </c>
      <c r="H3419">
        <v>2307</v>
      </c>
      <c r="K3419" t="s">
        <v>1383</v>
      </c>
    </row>
    <row r="3420" spans="1:11" x14ac:dyDescent="0.25">
      <c r="A3420" s="40">
        <v>46065.298888888887</v>
      </c>
      <c r="B3420" t="s">
        <v>1842</v>
      </c>
      <c r="C3420" t="s">
        <v>55</v>
      </c>
      <c r="D3420" t="s">
        <v>312</v>
      </c>
      <c r="E3420" t="s">
        <v>1364</v>
      </c>
      <c r="F3420" t="s">
        <v>1372</v>
      </c>
      <c r="G3420">
        <v>-50</v>
      </c>
      <c r="H3420">
        <v>395</v>
      </c>
      <c r="K3420" t="s">
        <v>1383</v>
      </c>
    </row>
    <row r="3421" spans="1:11" x14ac:dyDescent="0.25">
      <c r="A3421" s="40">
        <v>46065.298888888887</v>
      </c>
      <c r="B3421" t="s">
        <v>1842</v>
      </c>
      <c r="C3421" t="s">
        <v>56</v>
      </c>
      <c r="D3421" t="s">
        <v>313</v>
      </c>
      <c r="E3421" t="s">
        <v>1364</v>
      </c>
      <c r="F3421" t="s">
        <v>1372</v>
      </c>
      <c r="G3421">
        <v>-65</v>
      </c>
      <c r="H3421">
        <v>1688</v>
      </c>
      <c r="K3421" t="s">
        <v>1383</v>
      </c>
    </row>
    <row r="3422" spans="1:11" x14ac:dyDescent="0.25">
      <c r="A3422" s="40">
        <v>46065.298888888887</v>
      </c>
      <c r="B3422" t="s">
        <v>1842</v>
      </c>
      <c r="C3422" t="s">
        <v>281</v>
      </c>
      <c r="D3422" t="s">
        <v>282</v>
      </c>
      <c r="E3422" t="s">
        <v>1364</v>
      </c>
      <c r="F3422" t="s">
        <v>1372</v>
      </c>
      <c r="G3422">
        <v>-40</v>
      </c>
      <c r="H3422">
        <v>1118</v>
      </c>
      <c r="K3422" t="s">
        <v>1383</v>
      </c>
    </row>
    <row r="3423" spans="1:11" x14ac:dyDescent="0.25">
      <c r="A3423" s="40">
        <v>46065.298888888887</v>
      </c>
      <c r="B3423" t="s">
        <v>1842</v>
      </c>
      <c r="C3423" t="s">
        <v>75</v>
      </c>
      <c r="D3423" t="s">
        <v>251</v>
      </c>
      <c r="E3423" t="s">
        <v>1364</v>
      </c>
      <c r="F3423" t="s">
        <v>1372</v>
      </c>
      <c r="G3423">
        <v>-40</v>
      </c>
      <c r="H3423">
        <v>2238</v>
      </c>
      <c r="K3423" t="s">
        <v>1383</v>
      </c>
    </row>
    <row r="3424" spans="1:11" x14ac:dyDescent="0.25">
      <c r="A3424" s="40">
        <v>46065.298888888887</v>
      </c>
      <c r="B3424" t="s">
        <v>1842</v>
      </c>
      <c r="C3424" t="s">
        <v>262</v>
      </c>
      <c r="D3424" t="s">
        <v>263</v>
      </c>
      <c r="E3424" t="s">
        <v>1364</v>
      </c>
      <c r="F3424" t="s">
        <v>1372</v>
      </c>
      <c r="G3424">
        <v>-35</v>
      </c>
      <c r="H3424">
        <v>2779</v>
      </c>
      <c r="K3424" t="s">
        <v>1383</v>
      </c>
    </row>
    <row r="3425" spans="1:11" x14ac:dyDescent="0.25">
      <c r="A3425" s="40">
        <v>46065.298888888887</v>
      </c>
      <c r="B3425" t="s">
        <v>1842</v>
      </c>
      <c r="C3425" t="s">
        <v>302</v>
      </c>
      <c r="D3425" t="s">
        <v>303</v>
      </c>
      <c r="E3425" t="s">
        <v>1364</v>
      </c>
      <c r="F3425" t="s">
        <v>1372</v>
      </c>
      <c r="G3425">
        <v>-30</v>
      </c>
      <c r="H3425">
        <v>2422</v>
      </c>
      <c r="K3425" t="s">
        <v>1383</v>
      </c>
    </row>
    <row r="3426" spans="1:11" x14ac:dyDescent="0.25">
      <c r="A3426" s="40">
        <v>46065.298888888887</v>
      </c>
      <c r="B3426" t="s">
        <v>1842</v>
      </c>
      <c r="C3426" t="s">
        <v>277</v>
      </c>
      <c r="D3426" t="s">
        <v>278</v>
      </c>
      <c r="E3426" t="s">
        <v>1364</v>
      </c>
      <c r="F3426" t="s">
        <v>1372</v>
      </c>
      <c r="G3426">
        <v>-40</v>
      </c>
      <c r="H3426">
        <v>2058</v>
      </c>
      <c r="K3426" t="s">
        <v>1383</v>
      </c>
    </row>
    <row r="3427" spans="1:11" x14ac:dyDescent="0.25">
      <c r="A3427" s="40">
        <v>46065.298888888887</v>
      </c>
      <c r="B3427" t="s">
        <v>1842</v>
      </c>
      <c r="C3427" t="s">
        <v>298</v>
      </c>
      <c r="D3427" t="s">
        <v>299</v>
      </c>
      <c r="E3427" t="s">
        <v>1364</v>
      </c>
      <c r="F3427" t="s">
        <v>1372</v>
      </c>
      <c r="G3427">
        <v>-40</v>
      </c>
      <c r="H3427">
        <v>708</v>
      </c>
      <c r="K3427" t="s">
        <v>1383</v>
      </c>
    </row>
    <row r="3428" spans="1:11" x14ac:dyDescent="0.25">
      <c r="A3428" s="40">
        <v>46065.298888888887</v>
      </c>
      <c r="B3428" t="s">
        <v>1842</v>
      </c>
      <c r="C3428" t="s">
        <v>7</v>
      </c>
      <c r="D3428" t="s">
        <v>307</v>
      </c>
      <c r="E3428" t="s">
        <v>1364</v>
      </c>
      <c r="F3428" t="s">
        <v>1372</v>
      </c>
      <c r="G3428">
        <v>-385</v>
      </c>
      <c r="H3428">
        <v>5583</v>
      </c>
      <c r="K3428" t="s">
        <v>1383</v>
      </c>
    </row>
    <row r="3429" spans="1:11" x14ac:dyDescent="0.25">
      <c r="A3429" s="40">
        <v>46065.298888888887</v>
      </c>
      <c r="B3429" t="s">
        <v>1842</v>
      </c>
      <c r="C3429" t="s">
        <v>230</v>
      </c>
      <c r="D3429" t="s">
        <v>255</v>
      </c>
      <c r="E3429" t="s">
        <v>1364</v>
      </c>
      <c r="F3429" t="s">
        <v>1372</v>
      </c>
      <c r="G3429">
        <v>-50</v>
      </c>
      <c r="H3429">
        <v>2216</v>
      </c>
      <c r="K3429" t="s">
        <v>1383</v>
      </c>
    </row>
    <row r="3430" spans="1:11" x14ac:dyDescent="0.25">
      <c r="A3430" s="40">
        <v>46065.298888888887</v>
      </c>
      <c r="B3430" t="s">
        <v>1842</v>
      </c>
      <c r="C3430" t="s">
        <v>229</v>
      </c>
      <c r="D3430" t="s">
        <v>321</v>
      </c>
      <c r="E3430" t="s">
        <v>1364</v>
      </c>
      <c r="F3430" t="s">
        <v>1372</v>
      </c>
      <c r="G3430">
        <v>-150</v>
      </c>
      <c r="H3430">
        <v>5940</v>
      </c>
      <c r="K3430" t="s">
        <v>1383</v>
      </c>
    </row>
    <row r="3431" spans="1:11" x14ac:dyDescent="0.25">
      <c r="A3431" s="40">
        <v>46065.298888888887</v>
      </c>
      <c r="B3431" t="s">
        <v>1842</v>
      </c>
      <c r="C3431" t="s">
        <v>328</v>
      </c>
      <c r="D3431" t="s">
        <v>329</v>
      </c>
      <c r="E3431" t="s">
        <v>1364</v>
      </c>
      <c r="F3431" t="s">
        <v>1372</v>
      </c>
      <c r="G3431">
        <v>-40</v>
      </c>
      <c r="H3431">
        <v>3048</v>
      </c>
      <c r="K3431" t="s">
        <v>1383</v>
      </c>
    </row>
    <row r="3432" spans="1:11" x14ac:dyDescent="0.25">
      <c r="A3432" s="40">
        <v>46065.298888888887</v>
      </c>
      <c r="B3432" t="s">
        <v>1842</v>
      </c>
      <c r="C3432" t="s">
        <v>84</v>
      </c>
      <c r="D3432" t="s">
        <v>319</v>
      </c>
      <c r="E3432" t="s">
        <v>1364</v>
      </c>
      <c r="F3432" t="s">
        <v>1372</v>
      </c>
      <c r="G3432">
        <v>-45</v>
      </c>
      <c r="H3432">
        <v>1674</v>
      </c>
      <c r="K3432" t="s">
        <v>1383</v>
      </c>
    </row>
    <row r="3433" spans="1:11" x14ac:dyDescent="0.25">
      <c r="A3433" s="40">
        <v>46065.298888888887</v>
      </c>
      <c r="B3433" t="s">
        <v>1842</v>
      </c>
      <c r="C3433" t="s">
        <v>1351</v>
      </c>
      <c r="E3433" t="s">
        <v>1365</v>
      </c>
      <c r="F3433" t="s">
        <v>1372</v>
      </c>
      <c r="G3433">
        <v>-11</v>
      </c>
      <c r="H3433">
        <v>59</v>
      </c>
      <c r="K3433" t="s">
        <v>1383</v>
      </c>
    </row>
    <row r="3434" spans="1:11" x14ac:dyDescent="0.25">
      <c r="A3434" s="40">
        <v>46065.298888888887</v>
      </c>
      <c r="B3434" t="s">
        <v>1842</v>
      </c>
      <c r="C3434" t="s">
        <v>89</v>
      </c>
      <c r="D3434" t="s">
        <v>359</v>
      </c>
      <c r="E3434" t="s">
        <v>1364</v>
      </c>
      <c r="F3434" t="s">
        <v>1372</v>
      </c>
      <c r="G3434">
        <v>-505</v>
      </c>
      <c r="H3434">
        <v>765</v>
      </c>
      <c r="K3434" t="s">
        <v>1383</v>
      </c>
    </row>
    <row r="3435" spans="1:11" x14ac:dyDescent="0.25">
      <c r="A3435" s="40">
        <v>46065.298888888887</v>
      </c>
      <c r="B3435" t="s">
        <v>1842</v>
      </c>
      <c r="C3435" t="s">
        <v>68</v>
      </c>
      <c r="D3435" t="s">
        <v>374</v>
      </c>
      <c r="E3435" t="s">
        <v>1364</v>
      </c>
      <c r="F3435" t="s">
        <v>1372</v>
      </c>
      <c r="G3435">
        <v>-195</v>
      </c>
      <c r="H3435">
        <v>4407</v>
      </c>
      <c r="K3435" t="s">
        <v>1383</v>
      </c>
    </row>
    <row r="3436" spans="1:11" x14ac:dyDescent="0.25">
      <c r="A3436" s="40">
        <v>46065.298888888887</v>
      </c>
      <c r="B3436" t="s">
        <v>1842</v>
      </c>
      <c r="C3436" t="s">
        <v>69</v>
      </c>
      <c r="D3436" t="s">
        <v>375</v>
      </c>
      <c r="E3436" t="s">
        <v>1364</v>
      </c>
      <c r="F3436" t="s">
        <v>1372</v>
      </c>
      <c r="G3436">
        <v>-180</v>
      </c>
      <c r="H3436">
        <v>5009</v>
      </c>
      <c r="K3436" t="s">
        <v>1383</v>
      </c>
    </row>
    <row r="3437" spans="1:11" x14ac:dyDescent="0.25">
      <c r="A3437" s="40">
        <v>46065.298888888887</v>
      </c>
      <c r="B3437" t="s">
        <v>1842</v>
      </c>
      <c r="C3437" t="s">
        <v>38</v>
      </c>
      <c r="D3437" t="s">
        <v>386</v>
      </c>
      <c r="E3437" t="s">
        <v>1364</v>
      </c>
      <c r="F3437" t="s">
        <v>1372</v>
      </c>
      <c r="G3437">
        <v>-1075</v>
      </c>
      <c r="H3437">
        <v>20875</v>
      </c>
      <c r="K3437" t="s">
        <v>1383</v>
      </c>
    </row>
    <row r="3438" spans="1:11" x14ac:dyDescent="0.25">
      <c r="A3438" s="40">
        <v>46065.298888888887</v>
      </c>
      <c r="B3438" t="s">
        <v>1842</v>
      </c>
      <c r="C3438" t="s">
        <v>12</v>
      </c>
      <c r="D3438" t="s">
        <v>432</v>
      </c>
      <c r="E3438" t="s">
        <v>1364</v>
      </c>
      <c r="F3438" t="s">
        <v>1372</v>
      </c>
      <c r="G3438">
        <v>-120</v>
      </c>
      <c r="H3438">
        <v>9639</v>
      </c>
      <c r="K3438" t="s">
        <v>1383</v>
      </c>
    </row>
    <row r="3439" spans="1:11" x14ac:dyDescent="0.25">
      <c r="A3439" s="40">
        <v>46065.298888888887</v>
      </c>
      <c r="B3439" t="s">
        <v>1842</v>
      </c>
      <c r="C3439" t="s">
        <v>70</v>
      </c>
      <c r="D3439" t="s">
        <v>402</v>
      </c>
      <c r="E3439" t="s">
        <v>1364</v>
      </c>
      <c r="F3439" t="s">
        <v>1372</v>
      </c>
      <c r="G3439">
        <v>-570</v>
      </c>
      <c r="H3439">
        <v>16572</v>
      </c>
      <c r="K3439" t="s">
        <v>1383</v>
      </c>
    </row>
    <row r="3440" spans="1:11" x14ac:dyDescent="0.25">
      <c r="A3440" s="40">
        <v>46065.298888888887</v>
      </c>
      <c r="B3440" t="s">
        <v>1842</v>
      </c>
      <c r="C3440" t="s">
        <v>94</v>
      </c>
      <c r="D3440" t="s">
        <v>404</v>
      </c>
      <c r="E3440" t="s">
        <v>1364</v>
      </c>
      <c r="F3440" t="s">
        <v>1372</v>
      </c>
      <c r="G3440">
        <v>-60</v>
      </c>
      <c r="H3440">
        <v>2566</v>
      </c>
      <c r="K3440" t="s">
        <v>1383</v>
      </c>
    </row>
    <row r="3441" spans="1:11" x14ac:dyDescent="0.25">
      <c r="A3441" s="40">
        <v>46065.298888888887</v>
      </c>
      <c r="B3441" t="s">
        <v>1842</v>
      </c>
      <c r="C3441" t="s">
        <v>6</v>
      </c>
      <c r="D3441" t="s">
        <v>400</v>
      </c>
      <c r="E3441" t="s">
        <v>1364</v>
      </c>
      <c r="F3441" t="s">
        <v>1372</v>
      </c>
      <c r="G3441">
        <v>-230</v>
      </c>
      <c r="H3441">
        <v>3961</v>
      </c>
      <c r="K3441" t="s">
        <v>1383</v>
      </c>
    </row>
    <row r="3442" spans="1:11" x14ac:dyDescent="0.25">
      <c r="A3442" s="40">
        <v>46065.298888888887</v>
      </c>
      <c r="B3442" t="s">
        <v>1842</v>
      </c>
      <c r="C3442" t="s">
        <v>477</v>
      </c>
      <c r="D3442" t="s">
        <v>478</v>
      </c>
      <c r="E3442" t="s">
        <v>1364</v>
      </c>
      <c r="F3442" t="s">
        <v>1372</v>
      </c>
      <c r="G3442">
        <v>-30</v>
      </c>
      <c r="H3442">
        <v>1722</v>
      </c>
      <c r="K3442" t="s">
        <v>1383</v>
      </c>
    </row>
    <row r="3443" spans="1:11" x14ac:dyDescent="0.25">
      <c r="A3443" s="40">
        <v>46065.298888888887</v>
      </c>
      <c r="B3443" t="s">
        <v>1842</v>
      </c>
      <c r="C3443" t="s">
        <v>28</v>
      </c>
      <c r="D3443" t="s">
        <v>382</v>
      </c>
      <c r="E3443" t="s">
        <v>1364</v>
      </c>
      <c r="F3443" t="s">
        <v>1372</v>
      </c>
      <c r="G3443">
        <v>-30</v>
      </c>
      <c r="H3443">
        <v>2399</v>
      </c>
      <c r="K3443" t="s">
        <v>1383</v>
      </c>
    </row>
    <row r="3444" spans="1:11" x14ac:dyDescent="0.25">
      <c r="A3444" s="40">
        <v>46065.298888888887</v>
      </c>
      <c r="B3444" t="s">
        <v>1842</v>
      </c>
      <c r="C3444" t="s">
        <v>13</v>
      </c>
      <c r="D3444" t="s">
        <v>453</v>
      </c>
      <c r="E3444" t="s">
        <v>1364</v>
      </c>
      <c r="F3444" t="s">
        <v>1372</v>
      </c>
      <c r="G3444">
        <v>-60</v>
      </c>
      <c r="H3444">
        <v>846</v>
      </c>
      <c r="K3444" t="s">
        <v>1383</v>
      </c>
    </row>
    <row r="3445" spans="1:11" x14ac:dyDescent="0.25">
      <c r="A3445" s="40">
        <v>46065.298888888887</v>
      </c>
      <c r="B3445" t="s">
        <v>1842</v>
      </c>
      <c r="C3445" t="s">
        <v>426</v>
      </c>
      <c r="D3445" t="s">
        <v>427</v>
      </c>
      <c r="E3445" t="s">
        <v>1364</v>
      </c>
      <c r="F3445" t="s">
        <v>1372</v>
      </c>
      <c r="G3445">
        <v>-280</v>
      </c>
      <c r="H3445">
        <v>3724</v>
      </c>
      <c r="K3445" t="s">
        <v>1383</v>
      </c>
    </row>
    <row r="3446" spans="1:11" x14ac:dyDescent="0.25">
      <c r="A3446" s="40">
        <v>46065.298888888887</v>
      </c>
      <c r="B3446" t="s">
        <v>1842</v>
      </c>
      <c r="C3446" t="s">
        <v>420</v>
      </c>
      <c r="D3446" t="s">
        <v>421</v>
      </c>
      <c r="E3446" t="s">
        <v>1364</v>
      </c>
      <c r="F3446" t="s">
        <v>1372</v>
      </c>
      <c r="G3446">
        <v>-110</v>
      </c>
      <c r="H3446">
        <v>7244</v>
      </c>
      <c r="K3446" t="s">
        <v>1383</v>
      </c>
    </row>
    <row r="3447" spans="1:11" x14ac:dyDescent="0.25">
      <c r="A3447" s="40">
        <v>46065.298888888887</v>
      </c>
      <c r="B3447" t="s">
        <v>1842</v>
      </c>
      <c r="C3447" t="s">
        <v>104</v>
      </c>
      <c r="D3447" t="s">
        <v>410</v>
      </c>
      <c r="E3447" t="s">
        <v>1364</v>
      </c>
      <c r="F3447" t="s">
        <v>1372</v>
      </c>
      <c r="G3447">
        <v>-50</v>
      </c>
      <c r="H3447">
        <v>4176</v>
      </c>
      <c r="K3447" t="s">
        <v>1383</v>
      </c>
    </row>
    <row r="3448" spans="1:11" x14ac:dyDescent="0.25">
      <c r="A3448" s="40">
        <v>46065.298888888887</v>
      </c>
      <c r="B3448" t="s">
        <v>1842</v>
      </c>
      <c r="C3448" t="s">
        <v>42</v>
      </c>
      <c r="D3448" t="s">
        <v>391</v>
      </c>
      <c r="E3448" t="s">
        <v>1364</v>
      </c>
      <c r="F3448" t="s">
        <v>1372</v>
      </c>
      <c r="G3448">
        <v>-60</v>
      </c>
      <c r="H3448">
        <v>1825</v>
      </c>
      <c r="K3448" t="s">
        <v>1383</v>
      </c>
    </row>
    <row r="3449" spans="1:11" x14ac:dyDescent="0.25">
      <c r="A3449" s="40">
        <v>46065.298888888887</v>
      </c>
      <c r="B3449" t="s">
        <v>1842</v>
      </c>
      <c r="C3449" t="s">
        <v>46</v>
      </c>
      <c r="D3449" t="s">
        <v>394</v>
      </c>
      <c r="E3449" t="s">
        <v>1364</v>
      </c>
      <c r="F3449" t="s">
        <v>1372</v>
      </c>
      <c r="G3449">
        <v>-30</v>
      </c>
      <c r="H3449">
        <v>3190</v>
      </c>
      <c r="K3449" t="s">
        <v>1383</v>
      </c>
    </row>
    <row r="3450" spans="1:11" x14ac:dyDescent="0.25">
      <c r="A3450" s="40">
        <v>46065.298888888887</v>
      </c>
      <c r="B3450" t="s">
        <v>1842</v>
      </c>
      <c r="C3450" t="s">
        <v>437</v>
      </c>
      <c r="D3450" t="s">
        <v>438</v>
      </c>
      <c r="E3450" t="s">
        <v>1364</v>
      </c>
      <c r="F3450" t="s">
        <v>1372</v>
      </c>
      <c r="G3450">
        <v>-30</v>
      </c>
      <c r="H3450">
        <v>2332</v>
      </c>
      <c r="K3450" t="s">
        <v>1383</v>
      </c>
    </row>
    <row r="3451" spans="1:11" x14ac:dyDescent="0.25">
      <c r="A3451" s="40">
        <v>46065.298888888887</v>
      </c>
      <c r="B3451" t="s">
        <v>1842</v>
      </c>
      <c r="C3451" t="s">
        <v>435</v>
      </c>
      <c r="D3451" t="s">
        <v>436</v>
      </c>
      <c r="E3451" t="s">
        <v>1364</v>
      </c>
      <c r="F3451" t="s">
        <v>1372</v>
      </c>
      <c r="G3451">
        <v>-40</v>
      </c>
      <c r="H3451">
        <v>3772</v>
      </c>
      <c r="K3451" t="s">
        <v>1383</v>
      </c>
    </row>
    <row r="3452" spans="1:11" x14ac:dyDescent="0.25">
      <c r="A3452" s="40">
        <v>46065.298888888887</v>
      </c>
      <c r="B3452" t="s">
        <v>1842</v>
      </c>
      <c r="C3452" t="s">
        <v>414</v>
      </c>
      <c r="D3452" t="s">
        <v>415</v>
      </c>
      <c r="E3452" t="s">
        <v>1364</v>
      </c>
      <c r="F3452" t="s">
        <v>1372</v>
      </c>
      <c r="G3452">
        <v>-35</v>
      </c>
      <c r="H3452">
        <v>3199</v>
      </c>
      <c r="K3452" t="s">
        <v>1383</v>
      </c>
    </row>
    <row r="3453" spans="1:11" x14ac:dyDescent="0.25">
      <c r="A3453" s="40">
        <v>46065.298888888887</v>
      </c>
      <c r="B3453" t="s">
        <v>1842</v>
      </c>
      <c r="C3453" t="s">
        <v>456</v>
      </c>
      <c r="D3453" t="s">
        <v>457</v>
      </c>
      <c r="E3453" t="s">
        <v>1364</v>
      </c>
      <c r="F3453" t="s">
        <v>1372</v>
      </c>
      <c r="G3453">
        <v>-175</v>
      </c>
      <c r="H3453">
        <v>1516</v>
      </c>
      <c r="K3453" t="s">
        <v>1383</v>
      </c>
    </row>
    <row r="3454" spans="1:11" x14ac:dyDescent="0.25">
      <c r="A3454" s="40">
        <v>46065.298888888887</v>
      </c>
      <c r="B3454" t="s">
        <v>1842</v>
      </c>
      <c r="C3454" t="s">
        <v>44</v>
      </c>
      <c r="D3454" t="s">
        <v>392</v>
      </c>
      <c r="E3454" t="s">
        <v>1364</v>
      </c>
      <c r="F3454" t="s">
        <v>1372</v>
      </c>
      <c r="G3454">
        <v>-175</v>
      </c>
      <c r="H3454">
        <v>1739</v>
      </c>
      <c r="K3454" t="s">
        <v>1383</v>
      </c>
    </row>
    <row r="3455" spans="1:11" x14ac:dyDescent="0.25">
      <c r="A3455" s="40">
        <v>46065.298888888887</v>
      </c>
      <c r="B3455" t="s">
        <v>1842</v>
      </c>
      <c r="C3455" t="s">
        <v>412</v>
      </c>
      <c r="D3455" t="s">
        <v>413</v>
      </c>
      <c r="E3455" t="s">
        <v>1364</v>
      </c>
      <c r="F3455" t="s">
        <v>1372</v>
      </c>
      <c r="G3455">
        <v>-725</v>
      </c>
      <c r="H3455">
        <v>1357</v>
      </c>
      <c r="K3455" t="s">
        <v>1383</v>
      </c>
    </row>
    <row r="3456" spans="1:11" x14ac:dyDescent="0.25">
      <c r="A3456" s="40">
        <v>46065.298888888887</v>
      </c>
      <c r="B3456" t="s">
        <v>1842</v>
      </c>
      <c r="C3456" t="s">
        <v>1352</v>
      </c>
      <c r="E3456" t="s">
        <v>1365</v>
      </c>
      <c r="F3456" t="s">
        <v>1372</v>
      </c>
      <c r="G3456">
        <v>-310</v>
      </c>
      <c r="H3456">
        <v>1624</v>
      </c>
      <c r="K3456" t="s">
        <v>1383</v>
      </c>
    </row>
    <row r="3457" spans="1:11" x14ac:dyDescent="0.25">
      <c r="A3457" s="40">
        <v>46065.298888888887</v>
      </c>
      <c r="B3457" t="s">
        <v>1842</v>
      </c>
      <c r="C3457" t="s">
        <v>360</v>
      </c>
      <c r="D3457" t="s">
        <v>361</v>
      </c>
      <c r="E3457" t="s">
        <v>1364</v>
      </c>
      <c r="F3457" t="s">
        <v>1372</v>
      </c>
      <c r="G3457">
        <v>-35</v>
      </c>
      <c r="H3457">
        <v>415</v>
      </c>
      <c r="K3457" t="s">
        <v>1383</v>
      </c>
    </row>
    <row r="3458" spans="1:11" x14ac:dyDescent="0.25">
      <c r="A3458" s="40">
        <v>46065.298888888887</v>
      </c>
      <c r="B3458" t="s">
        <v>1842</v>
      </c>
      <c r="C3458" t="s">
        <v>60</v>
      </c>
      <c r="D3458" t="s">
        <v>350</v>
      </c>
      <c r="E3458" t="s">
        <v>1364</v>
      </c>
      <c r="F3458" t="s">
        <v>1372</v>
      </c>
      <c r="G3458">
        <v>-440</v>
      </c>
      <c r="H3458">
        <v>1725</v>
      </c>
      <c r="K3458" t="s">
        <v>1383</v>
      </c>
    </row>
    <row r="3459" spans="1:11" x14ac:dyDescent="0.25">
      <c r="A3459" s="40">
        <v>46065.298888888887</v>
      </c>
      <c r="B3459" t="s">
        <v>1842</v>
      </c>
      <c r="C3459" t="s">
        <v>57</v>
      </c>
      <c r="D3459" t="s">
        <v>314</v>
      </c>
      <c r="E3459" t="s">
        <v>1364</v>
      </c>
      <c r="F3459" t="s">
        <v>1372</v>
      </c>
      <c r="G3459">
        <v>-25</v>
      </c>
      <c r="H3459">
        <v>4316</v>
      </c>
      <c r="K3459" t="s">
        <v>1383</v>
      </c>
    </row>
    <row r="3460" spans="1:11" x14ac:dyDescent="0.25">
      <c r="A3460" s="40">
        <v>46065.298888888887</v>
      </c>
      <c r="B3460" t="s">
        <v>1842</v>
      </c>
      <c r="C3460" t="s">
        <v>288</v>
      </c>
      <c r="D3460" t="s">
        <v>289</v>
      </c>
      <c r="E3460" t="s">
        <v>1364</v>
      </c>
      <c r="F3460" t="s">
        <v>1372</v>
      </c>
      <c r="G3460">
        <v>-25</v>
      </c>
      <c r="H3460">
        <v>3975</v>
      </c>
      <c r="K3460" t="s">
        <v>1383</v>
      </c>
    </row>
    <row r="3461" spans="1:11" x14ac:dyDescent="0.25">
      <c r="A3461" s="40">
        <v>46065.298888888887</v>
      </c>
      <c r="B3461" t="s">
        <v>1842</v>
      </c>
      <c r="C3461" t="s">
        <v>269</v>
      </c>
      <c r="D3461" t="s">
        <v>270</v>
      </c>
      <c r="E3461" t="s">
        <v>1364</v>
      </c>
      <c r="F3461" t="s">
        <v>1372</v>
      </c>
      <c r="G3461">
        <v>-100</v>
      </c>
      <c r="H3461">
        <v>1763</v>
      </c>
      <c r="K3461" t="s">
        <v>1383</v>
      </c>
    </row>
    <row r="3462" spans="1:11" x14ac:dyDescent="0.25">
      <c r="A3462" s="40">
        <v>46065.298888888887</v>
      </c>
      <c r="B3462" t="s">
        <v>1842</v>
      </c>
      <c r="C3462" t="s">
        <v>9</v>
      </c>
      <c r="D3462" t="s">
        <v>316</v>
      </c>
      <c r="E3462" t="s">
        <v>1364</v>
      </c>
      <c r="F3462" t="s">
        <v>1372</v>
      </c>
      <c r="G3462">
        <v>-30</v>
      </c>
      <c r="H3462">
        <v>2170</v>
      </c>
      <c r="K3462" t="s">
        <v>1383</v>
      </c>
    </row>
    <row r="3463" spans="1:11" x14ac:dyDescent="0.25">
      <c r="A3463" s="40">
        <v>46065.298888888887</v>
      </c>
      <c r="B3463" t="s">
        <v>1842</v>
      </c>
      <c r="C3463" t="s">
        <v>79</v>
      </c>
      <c r="D3463" t="s">
        <v>358</v>
      </c>
      <c r="E3463" t="s">
        <v>1364</v>
      </c>
      <c r="F3463" t="s">
        <v>1372</v>
      </c>
      <c r="G3463">
        <v>-50</v>
      </c>
      <c r="H3463">
        <v>1778</v>
      </c>
      <c r="K3463" t="s">
        <v>1383</v>
      </c>
    </row>
    <row r="3464" spans="1:11" x14ac:dyDescent="0.25">
      <c r="A3464" s="40">
        <v>46065.298888888887</v>
      </c>
      <c r="B3464" t="s">
        <v>1842</v>
      </c>
      <c r="C3464" t="s">
        <v>66</v>
      </c>
      <c r="D3464" t="s">
        <v>357</v>
      </c>
      <c r="E3464" t="s">
        <v>1364</v>
      </c>
      <c r="F3464" t="s">
        <v>1372</v>
      </c>
      <c r="G3464">
        <v>-30</v>
      </c>
      <c r="H3464">
        <v>1535</v>
      </c>
      <c r="K3464" t="s">
        <v>1383</v>
      </c>
    </row>
    <row r="3465" spans="1:11" x14ac:dyDescent="0.25">
      <c r="A3465" s="40">
        <v>46065.298888888887</v>
      </c>
      <c r="B3465" t="s">
        <v>1842</v>
      </c>
      <c r="C3465" t="s">
        <v>93</v>
      </c>
      <c r="D3465" t="s">
        <v>505</v>
      </c>
      <c r="E3465" t="s">
        <v>1364</v>
      </c>
      <c r="F3465" t="s">
        <v>1372</v>
      </c>
      <c r="G3465">
        <v>-25</v>
      </c>
      <c r="H3465">
        <v>4556</v>
      </c>
      <c r="K3465" t="s">
        <v>1383</v>
      </c>
    </row>
    <row r="3466" spans="1:11" x14ac:dyDescent="0.25">
      <c r="A3466" s="40">
        <v>46065.298888888887</v>
      </c>
      <c r="B3466" t="s">
        <v>1842</v>
      </c>
      <c r="C3466" t="s">
        <v>464</v>
      </c>
      <c r="D3466" t="s">
        <v>465</v>
      </c>
      <c r="E3466" t="s">
        <v>1364</v>
      </c>
      <c r="F3466" t="s">
        <v>1372</v>
      </c>
      <c r="G3466">
        <v>-30</v>
      </c>
      <c r="H3466">
        <v>3860</v>
      </c>
      <c r="K3466" t="s">
        <v>1383</v>
      </c>
    </row>
    <row r="3467" spans="1:11" x14ac:dyDescent="0.25">
      <c r="A3467" s="40">
        <v>46065.298888888887</v>
      </c>
      <c r="B3467" t="s">
        <v>1842</v>
      </c>
      <c r="C3467" t="s">
        <v>466</v>
      </c>
      <c r="D3467" t="s">
        <v>467</v>
      </c>
      <c r="E3467" t="s">
        <v>1364</v>
      </c>
      <c r="F3467" t="s">
        <v>1372</v>
      </c>
      <c r="G3467">
        <v>-25</v>
      </c>
      <c r="H3467">
        <v>3925</v>
      </c>
      <c r="K3467" t="s">
        <v>1383</v>
      </c>
    </row>
    <row r="3468" spans="1:11" x14ac:dyDescent="0.25">
      <c r="A3468" s="40">
        <v>46065.298888888887</v>
      </c>
      <c r="B3468" t="s">
        <v>1842</v>
      </c>
      <c r="C3468" t="s">
        <v>45</v>
      </c>
      <c r="D3468" t="s">
        <v>393</v>
      </c>
      <c r="E3468" t="s">
        <v>1364</v>
      </c>
      <c r="F3468" t="s">
        <v>1372</v>
      </c>
      <c r="G3468">
        <v>-35</v>
      </c>
      <c r="H3468">
        <v>3055</v>
      </c>
      <c r="K3468" t="s">
        <v>1383</v>
      </c>
    </row>
    <row r="3469" spans="1:11" x14ac:dyDescent="0.25">
      <c r="A3469" s="40">
        <v>46065.298888888887</v>
      </c>
      <c r="B3469" t="s">
        <v>1842</v>
      </c>
      <c r="C3469" t="s">
        <v>59</v>
      </c>
      <c r="D3469" t="s">
        <v>401</v>
      </c>
      <c r="E3469" t="s">
        <v>1364</v>
      </c>
      <c r="F3469" t="s">
        <v>1372</v>
      </c>
      <c r="G3469">
        <v>-30</v>
      </c>
      <c r="H3469">
        <v>2550</v>
      </c>
      <c r="K3469" t="s">
        <v>1383</v>
      </c>
    </row>
    <row r="3470" spans="1:11" x14ac:dyDescent="0.25">
      <c r="A3470" s="40">
        <v>46065.298888888887</v>
      </c>
      <c r="B3470" t="s">
        <v>1842</v>
      </c>
      <c r="C3470" t="s">
        <v>95</v>
      </c>
      <c r="D3470" t="s">
        <v>405</v>
      </c>
      <c r="E3470" t="s">
        <v>1364</v>
      </c>
      <c r="F3470" t="s">
        <v>1372</v>
      </c>
      <c r="G3470">
        <v>-70</v>
      </c>
      <c r="H3470">
        <v>2695</v>
      </c>
      <c r="K3470" t="s">
        <v>1383</v>
      </c>
    </row>
    <row r="3471" spans="1:11" x14ac:dyDescent="0.25">
      <c r="A3471" s="40">
        <v>46065.298888888887</v>
      </c>
      <c r="B3471" t="s">
        <v>1842</v>
      </c>
      <c r="C3471" t="s">
        <v>40</v>
      </c>
      <c r="D3471" t="s">
        <v>388</v>
      </c>
      <c r="E3471" t="s">
        <v>1364</v>
      </c>
      <c r="F3471" t="s">
        <v>1372</v>
      </c>
      <c r="G3471">
        <v>-30</v>
      </c>
      <c r="H3471">
        <v>5876</v>
      </c>
      <c r="K3471" t="s">
        <v>1383</v>
      </c>
    </row>
    <row r="3472" spans="1:11" x14ac:dyDescent="0.25">
      <c r="A3472" s="40">
        <v>46065.298888888887</v>
      </c>
      <c r="B3472" t="s">
        <v>1842</v>
      </c>
      <c r="C3472" t="s">
        <v>418</v>
      </c>
      <c r="D3472" t="s">
        <v>419</v>
      </c>
      <c r="E3472" t="s">
        <v>1364</v>
      </c>
      <c r="F3472" t="s">
        <v>1372</v>
      </c>
      <c r="G3472">
        <v>-25</v>
      </c>
      <c r="H3472">
        <v>381</v>
      </c>
      <c r="K3472" t="s">
        <v>1383</v>
      </c>
    </row>
    <row r="3473" spans="1:11" x14ac:dyDescent="0.25">
      <c r="A3473" s="40">
        <v>46065.298888888887</v>
      </c>
      <c r="B3473" t="s">
        <v>1842</v>
      </c>
      <c r="C3473" t="s">
        <v>481</v>
      </c>
      <c r="D3473" t="s">
        <v>482</v>
      </c>
      <c r="E3473" t="s">
        <v>1364</v>
      </c>
      <c r="F3473" t="s">
        <v>1372</v>
      </c>
      <c r="G3473">
        <v>-25</v>
      </c>
      <c r="H3473">
        <v>4975</v>
      </c>
      <c r="K3473" t="s">
        <v>1383</v>
      </c>
    </row>
    <row r="3474" spans="1:11" x14ac:dyDescent="0.25">
      <c r="A3474" s="40">
        <v>46065.298888888887</v>
      </c>
      <c r="B3474" t="s">
        <v>1842</v>
      </c>
      <c r="C3474" t="s">
        <v>364</v>
      </c>
      <c r="D3474" t="s">
        <v>365</v>
      </c>
      <c r="E3474" t="s">
        <v>1364</v>
      </c>
      <c r="F3474" t="s">
        <v>1372</v>
      </c>
      <c r="G3474">
        <v>-25</v>
      </c>
      <c r="H3474">
        <v>2830</v>
      </c>
      <c r="K3474" t="s">
        <v>1383</v>
      </c>
    </row>
    <row r="3475" spans="1:11" x14ac:dyDescent="0.25">
      <c r="A3475" s="40">
        <v>46065.298888888887</v>
      </c>
      <c r="B3475" t="s">
        <v>1842</v>
      </c>
      <c r="C3475" t="s">
        <v>1</v>
      </c>
      <c r="D3475" t="s">
        <v>250</v>
      </c>
      <c r="E3475" t="s">
        <v>1364</v>
      </c>
      <c r="F3475" t="s">
        <v>1372</v>
      </c>
      <c r="G3475">
        <v>-1195</v>
      </c>
      <c r="H3475">
        <v>3350</v>
      </c>
      <c r="K3475" t="s">
        <v>1383</v>
      </c>
    </row>
    <row r="3476" spans="1:11" x14ac:dyDescent="0.25">
      <c r="A3476" s="40">
        <v>46065.298888888887</v>
      </c>
      <c r="B3476" t="s">
        <v>1842</v>
      </c>
      <c r="C3476" t="s">
        <v>1363</v>
      </c>
      <c r="E3476" t="s">
        <v>1365</v>
      </c>
      <c r="F3476" t="s">
        <v>1372</v>
      </c>
      <c r="G3476">
        <v>-55</v>
      </c>
      <c r="H3476">
        <v>123</v>
      </c>
      <c r="K3476" t="s">
        <v>1383</v>
      </c>
    </row>
    <row r="3477" spans="1:11" x14ac:dyDescent="0.25">
      <c r="A3477" s="40">
        <v>46065.298888888887</v>
      </c>
      <c r="B3477" t="s">
        <v>1842</v>
      </c>
      <c r="C3477" t="s">
        <v>20</v>
      </c>
      <c r="D3477" t="s">
        <v>498</v>
      </c>
      <c r="E3477" t="s">
        <v>1364</v>
      </c>
      <c r="F3477" t="s">
        <v>1372</v>
      </c>
      <c r="G3477">
        <v>-110</v>
      </c>
      <c r="H3477">
        <v>19900</v>
      </c>
      <c r="K3477" t="s">
        <v>1383</v>
      </c>
    </row>
    <row r="3478" spans="1:11" x14ac:dyDescent="0.25">
      <c r="A3478" s="40">
        <v>46065.298888888887</v>
      </c>
      <c r="B3478" t="s">
        <v>1842</v>
      </c>
      <c r="C3478" t="s">
        <v>14</v>
      </c>
      <c r="D3478" t="s">
        <v>483</v>
      </c>
      <c r="E3478" t="s">
        <v>1364</v>
      </c>
      <c r="F3478" t="s">
        <v>1372</v>
      </c>
      <c r="G3478">
        <v>-135</v>
      </c>
      <c r="H3478">
        <v>9830</v>
      </c>
      <c r="K3478" t="s">
        <v>1383</v>
      </c>
    </row>
    <row r="3479" spans="1:11" x14ac:dyDescent="0.25">
      <c r="A3479" s="40">
        <v>46065.298888888887</v>
      </c>
      <c r="B3479" t="s">
        <v>1842</v>
      </c>
      <c r="C3479" t="s">
        <v>27</v>
      </c>
      <c r="D3479" t="s">
        <v>381</v>
      </c>
      <c r="E3479" t="s">
        <v>1364</v>
      </c>
      <c r="F3479" t="s">
        <v>1372</v>
      </c>
      <c r="G3479">
        <v>-110</v>
      </c>
      <c r="H3479">
        <v>29478</v>
      </c>
      <c r="K3479" t="s">
        <v>1383</v>
      </c>
    </row>
    <row r="3480" spans="1:11" x14ac:dyDescent="0.25">
      <c r="A3480" s="40">
        <v>46065.298888888887</v>
      </c>
      <c r="B3480" t="s">
        <v>1842</v>
      </c>
      <c r="C3480" t="s">
        <v>26</v>
      </c>
      <c r="D3480" t="s">
        <v>380</v>
      </c>
      <c r="E3480" t="s">
        <v>1364</v>
      </c>
      <c r="F3480" t="s">
        <v>1372</v>
      </c>
      <c r="G3480">
        <v>-30</v>
      </c>
      <c r="H3480">
        <v>3170</v>
      </c>
      <c r="K3480" t="s">
        <v>1383</v>
      </c>
    </row>
    <row r="3481" spans="1:11" x14ac:dyDescent="0.25">
      <c r="A3481" s="40">
        <v>46065.298888888887</v>
      </c>
      <c r="B3481" t="s">
        <v>1842</v>
      </c>
      <c r="C3481" t="s">
        <v>1761</v>
      </c>
      <c r="E3481" t="s">
        <v>1365</v>
      </c>
      <c r="F3481" t="s">
        <v>1372</v>
      </c>
      <c r="G3481">
        <v>-11</v>
      </c>
      <c r="H3481">
        <v>-7</v>
      </c>
      <c r="K3481" t="s">
        <v>1383</v>
      </c>
    </row>
    <row r="3482" spans="1:11" x14ac:dyDescent="0.25">
      <c r="A3482" s="40">
        <v>46065.298888888887</v>
      </c>
      <c r="B3482" t="s">
        <v>1842</v>
      </c>
      <c r="C3482" t="s">
        <v>2</v>
      </c>
      <c r="D3482" t="s">
        <v>266</v>
      </c>
      <c r="E3482" t="s">
        <v>1364</v>
      </c>
      <c r="F3482" t="s">
        <v>1372</v>
      </c>
      <c r="G3482">
        <v>-155</v>
      </c>
      <c r="H3482">
        <v>2957</v>
      </c>
      <c r="K3482" t="s">
        <v>1383</v>
      </c>
    </row>
    <row r="3483" spans="1:11" x14ac:dyDescent="0.25">
      <c r="A3483" s="40">
        <v>46065.298888888887</v>
      </c>
      <c r="B3483" t="s">
        <v>1842</v>
      </c>
      <c r="C3483" t="s">
        <v>61</v>
      </c>
      <c r="D3483" t="s">
        <v>353</v>
      </c>
      <c r="E3483" t="s">
        <v>1364</v>
      </c>
      <c r="F3483" t="s">
        <v>1372</v>
      </c>
      <c r="G3483">
        <v>-175</v>
      </c>
      <c r="H3483">
        <v>4405</v>
      </c>
      <c r="K3483" t="s">
        <v>1383</v>
      </c>
    </row>
    <row r="3484" spans="1:11" x14ac:dyDescent="0.25">
      <c r="A3484" s="40">
        <v>46065.298888888887</v>
      </c>
      <c r="B3484" t="s">
        <v>1842</v>
      </c>
      <c r="C3484" t="s">
        <v>62</v>
      </c>
      <c r="D3484" t="s">
        <v>354</v>
      </c>
      <c r="E3484" t="s">
        <v>1364</v>
      </c>
      <c r="F3484" t="s">
        <v>1372</v>
      </c>
      <c r="G3484">
        <v>-35</v>
      </c>
      <c r="H3484">
        <v>2505</v>
      </c>
      <c r="K3484" t="s">
        <v>1383</v>
      </c>
    </row>
    <row r="3485" spans="1:11" x14ac:dyDescent="0.25">
      <c r="A3485" s="40">
        <v>46065.298888888887</v>
      </c>
      <c r="B3485" t="s">
        <v>1842</v>
      </c>
      <c r="C3485" t="s">
        <v>47</v>
      </c>
      <c r="D3485" t="s">
        <v>395</v>
      </c>
      <c r="E3485" t="s">
        <v>1364</v>
      </c>
      <c r="F3485" t="s">
        <v>1372</v>
      </c>
      <c r="G3485">
        <v>-105</v>
      </c>
      <c r="H3485">
        <v>16215</v>
      </c>
      <c r="K3485" t="s">
        <v>1383</v>
      </c>
    </row>
    <row r="3486" spans="1:11" x14ac:dyDescent="0.25">
      <c r="A3486" s="40">
        <v>46065.298888888887</v>
      </c>
      <c r="B3486" t="s">
        <v>1842</v>
      </c>
      <c r="C3486" t="s">
        <v>36</v>
      </c>
      <c r="D3486" t="s">
        <v>385</v>
      </c>
      <c r="E3486" t="s">
        <v>1364</v>
      </c>
      <c r="F3486" t="s">
        <v>1372</v>
      </c>
      <c r="G3486">
        <v>-1010</v>
      </c>
      <c r="H3486">
        <v>8437</v>
      </c>
      <c r="K3486" t="s">
        <v>1383</v>
      </c>
    </row>
    <row r="3487" spans="1:11" x14ac:dyDescent="0.25">
      <c r="A3487" s="40">
        <v>46065.298888888887</v>
      </c>
      <c r="B3487" t="s">
        <v>1842</v>
      </c>
      <c r="C3487" t="s">
        <v>445</v>
      </c>
      <c r="D3487" t="s">
        <v>446</v>
      </c>
      <c r="E3487" t="s">
        <v>1364</v>
      </c>
      <c r="F3487" t="s">
        <v>1372</v>
      </c>
      <c r="G3487">
        <v>-40</v>
      </c>
      <c r="H3487">
        <v>2788</v>
      </c>
      <c r="K3487" t="s">
        <v>1383</v>
      </c>
    </row>
    <row r="3488" spans="1:11" x14ac:dyDescent="0.25">
      <c r="A3488" s="40">
        <v>46065.298888888887</v>
      </c>
      <c r="B3488" t="s">
        <v>1842</v>
      </c>
      <c r="C3488" t="s">
        <v>92</v>
      </c>
      <c r="D3488" t="s">
        <v>403</v>
      </c>
      <c r="E3488" t="s">
        <v>1364</v>
      </c>
      <c r="F3488" t="s">
        <v>1372</v>
      </c>
      <c r="G3488">
        <v>-110</v>
      </c>
      <c r="H3488">
        <v>2545</v>
      </c>
      <c r="K3488" t="s">
        <v>1383</v>
      </c>
    </row>
    <row r="3489" spans="1:11" x14ac:dyDescent="0.25">
      <c r="A3489" s="40">
        <v>46065.298888888887</v>
      </c>
      <c r="B3489" t="s">
        <v>1842</v>
      </c>
      <c r="C3489" t="s">
        <v>1751</v>
      </c>
      <c r="D3489" t="s">
        <v>1791</v>
      </c>
      <c r="E3489" t="s">
        <v>1364</v>
      </c>
      <c r="F3489" t="s">
        <v>1372</v>
      </c>
      <c r="G3489">
        <v>-13</v>
      </c>
      <c r="H3489">
        <v>863</v>
      </c>
      <c r="K3489" t="s">
        <v>1383</v>
      </c>
    </row>
    <row r="3490" spans="1:11" x14ac:dyDescent="0.25">
      <c r="A3490" s="40">
        <v>46065.298888888887</v>
      </c>
      <c r="B3490" t="s">
        <v>1842</v>
      </c>
      <c r="C3490" t="s">
        <v>1353</v>
      </c>
      <c r="E3490" t="s">
        <v>1365</v>
      </c>
      <c r="F3490" t="s">
        <v>1372</v>
      </c>
      <c r="G3490">
        <v>-120</v>
      </c>
      <c r="H3490">
        <v>422</v>
      </c>
      <c r="K3490" t="s">
        <v>1383</v>
      </c>
    </row>
    <row r="3491" spans="1:11" x14ac:dyDescent="0.25">
      <c r="A3491" s="40">
        <v>46065.298888888887</v>
      </c>
      <c r="B3491" t="s">
        <v>1842</v>
      </c>
      <c r="C3491" t="s">
        <v>8</v>
      </c>
      <c r="D3491" t="s">
        <v>311</v>
      </c>
      <c r="E3491" t="s">
        <v>1364</v>
      </c>
      <c r="F3491" t="s">
        <v>1372</v>
      </c>
      <c r="G3491">
        <v>-35</v>
      </c>
      <c r="H3491">
        <v>7666</v>
      </c>
      <c r="K3491" t="s">
        <v>1383</v>
      </c>
    </row>
    <row r="3492" spans="1:11" x14ac:dyDescent="0.25">
      <c r="A3492" s="40">
        <v>46065.298888888887</v>
      </c>
      <c r="B3492" t="s">
        <v>1842</v>
      </c>
      <c r="C3492" t="s">
        <v>322</v>
      </c>
      <c r="D3492" t="s">
        <v>323</v>
      </c>
      <c r="E3492" t="s">
        <v>1364</v>
      </c>
      <c r="F3492" t="s">
        <v>1372</v>
      </c>
      <c r="G3492">
        <v>-55</v>
      </c>
      <c r="H3492">
        <v>2160</v>
      </c>
      <c r="K3492" t="s">
        <v>1383</v>
      </c>
    </row>
    <row r="3493" spans="1:11" x14ac:dyDescent="0.25">
      <c r="A3493" s="40">
        <v>46065.298888888887</v>
      </c>
      <c r="B3493" t="s">
        <v>1842</v>
      </c>
      <c r="C3493" t="s">
        <v>85</v>
      </c>
      <c r="D3493" t="s">
        <v>320</v>
      </c>
      <c r="E3493" t="s">
        <v>1364</v>
      </c>
      <c r="F3493" t="s">
        <v>1372</v>
      </c>
      <c r="G3493">
        <v>-25</v>
      </c>
      <c r="H3493">
        <v>3950</v>
      </c>
      <c r="K3493" t="s">
        <v>1383</v>
      </c>
    </row>
    <row r="3494" spans="1:11" x14ac:dyDescent="0.25">
      <c r="A3494" s="40">
        <v>46065.298888888887</v>
      </c>
      <c r="B3494" t="s">
        <v>1842</v>
      </c>
      <c r="C3494" t="s">
        <v>345</v>
      </c>
      <c r="D3494" t="s">
        <v>346</v>
      </c>
      <c r="E3494" t="s">
        <v>1364</v>
      </c>
      <c r="F3494" t="s">
        <v>1372</v>
      </c>
      <c r="G3494">
        <v>-25</v>
      </c>
      <c r="H3494">
        <v>2975</v>
      </c>
      <c r="K3494" t="s">
        <v>1383</v>
      </c>
    </row>
    <row r="3495" spans="1:11" x14ac:dyDescent="0.25">
      <c r="A3495" s="40">
        <v>46065.298888888887</v>
      </c>
      <c r="B3495" t="s">
        <v>1842</v>
      </c>
      <c r="C3495" t="s">
        <v>101</v>
      </c>
      <c r="D3495" t="s">
        <v>507</v>
      </c>
      <c r="E3495" t="s">
        <v>1364</v>
      </c>
      <c r="F3495" t="s">
        <v>1372</v>
      </c>
      <c r="G3495">
        <v>-30</v>
      </c>
      <c r="H3495">
        <v>4692</v>
      </c>
      <c r="K3495" t="s">
        <v>1383</v>
      </c>
    </row>
    <row r="3496" spans="1:11" x14ac:dyDescent="0.25">
      <c r="A3496" s="40">
        <v>46065.298888888887</v>
      </c>
      <c r="B3496" t="s">
        <v>1842</v>
      </c>
      <c r="C3496" t="s">
        <v>468</v>
      </c>
      <c r="D3496" t="s">
        <v>469</v>
      </c>
      <c r="E3496" t="s">
        <v>1364</v>
      </c>
      <c r="F3496" t="s">
        <v>1372</v>
      </c>
      <c r="G3496">
        <v>-30</v>
      </c>
      <c r="H3496">
        <v>3472</v>
      </c>
      <c r="K3496" t="s">
        <v>1383</v>
      </c>
    </row>
    <row r="3497" spans="1:11" x14ac:dyDescent="0.25">
      <c r="A3497" s="40">
        <v>46065.298888888887</v>
      </c>
      <c r="B3497" t="s">
        <v>1842</v>
      </c>
      <c r="C3497" t="s">
        <v>430</v>
      </c>
      <c r="D3497" t="s">
        <v>431</v>
      </c>
      <c r="E3497" t="s">
        <v>1364</v>
      </c>
      <c r="F3497" t="s">
        <v>1372</v>
      </c>
      <c r="G3497">
        <v>-25</v>
      </c>
      <c r="H3497">
        <v>4619</v>
      </c>
      <c r="K3497" t="s">
        <v>1383</v>
      </c>
    </row>
    <row r="3498" spans="1:11" x14ac:dyDescent="0.25">
      <c r="A3498" s="40">
        <v>46065.298888888887</v>
      </c>
      <c r="B3498" t="s">
        <v>1842</v>
      </c>
      <c r="C3498" t="s">
        <v>460</v>
      </c>
      <c r="D3498" t="s">
        <v>461</v>
      </c>
      <c r="E3498" t="s">
        <v>1364</v>
      </c>
      <c r="F3498" t="s">
        <v>1372</v>
      </c>
      <c r="G3498">
        <v>-40</v>
      </c>
      <c r="H3498">
        <v>2994</v>
      </c>
      <c r="K3498" t="s">
        <v>1383</v>
      </c>
    </row>
    <row r="3499" spans="1:11" x14ac:dyDescent="0.25">
      <c r="A3499" s="40">
        <v>46065.298888888887</v>
      </c>
      <c r="B3499" t="s">
        <v>1842</v>
      </c>
      <c r="C3499" t="s">
        <v>447</v>
      </c>
      <c r="D3499" t="s">
        <v>448</v>
      </c>
      <c r="E3499" t="s">
        <v>1364</v>
      </c>
      <c r="F3499" t="s">
        <v>1372</v>
      </c>
      <c r="G3499">
        <v>-25</v>
      </c>
      <c r="H3499">
        <v>3677</v>
      </c>
      <c r="K3499" t="s">
        <v>1383</v>
      </c>
    </row>
    <row r="3500" spans="1:11" x14ac:dyDescent="0.25">
      <c r="A3500" s="40">
        <v>46065.298888888887</v>
      </c>
      <c r="B3500" t="s">
        <v>1842</v>
      </c>
      <c r="C3500" t="s">
        <v>32</v>
      </c>
      <c r="D3500" t="s">
        <v>384</v>
      </c>
      <c r="E3500" t="s">
        <v>1364</v>
      </c>
      <c r="F3500" t="s">
        <v>1372</v>
      </c>
      <c r="G3500">
        <v>-25</v>
      </c>
      <c r="H3500">
        <v>2866</v>
      </c>
      <c r="K3500" t="s">
        <v>1383</v>
      </c>
    </row>
    <row r="3501" spans="1:11" x14ac:dyDescent="0.25">
      <c r="A3501" s="40">
        <v>46065.47074074074</v>
      </c>
      <c r="B3501" t="s">
        <v>1843</v>
      </c>
      <c r="C3501" t="s">
        <v>78</v>
      </c>
      <c r="D3501" t="s">
        <v>254</v>
      </c>
      <c r="E3501" t="s">
        <v>1364</v>
      </c>
      <c r="F3501" t="s">
        <v>1372</v>
      </c>
      <c r="G3501">
        <v>-75</v>
      </c>
      <c r="H3501">
        <v>3515</v>
      </c>
      <c r="K3501" t="s">
        <v>1383</v>
      </c>
    </row>
    <row r="3502" spans="1:11" x14ac:dyDescent="0.25">
      <c r="A3502" s="40">
        <v>46065.47074074074</v>
      </c>
      <c r="B3502" t="s">
        <v>1843</v>
      </c>
      <c r="C3502" t="s">
        <v>230</v>
      </c>
      <c r="D3502" t="s">
        <v>255</v>
      </c>
      <c r="E3502" t="s">
        <v>1364</v>
      </c>
      <c r="F3502" t="s">
        <v>1372</v>
      </c>
      <c r="G3502">
        <v>-75</v>
      </c>
      <c r="H3502">
        <v>2141</v>
      </c>
      <c r="K3502" t="s">
        <v>1383</v>
      </c>
    </row>
    <row r="3503" spans="1:11" x14ac:dyDescent="0.25">
      <c r="A3503" s="40">
        <v>46065.47074074074</v>
      </c>
      <c r="B3503" t="s">
        <v>1843</v>
      </c>
      <c r="C3503" t="s">
        <v>333</v>
      </c>
      <c r="D3503" t="s">
        <v>334</v>
      </c>
      <c r="E3503" t="s">
        <v>1364</v>
      </c>
      <c r="F3503" t="s">
        <v>1372</v>
      </c>
      <c r="G3503">
        <v>-75</v>
      </c>
      <c r="H3503">
        <v>5875</v>
      </c>
      <c r="K3503" t="s">
        <v>1383</v>
      </c>
    </row>
    <row r="3504" spans="1:11" x14ac:dyDescent="0.25">
      <c r="A3504" s="40">
        <v>46065.47074074074</v>
      </c>
      <c r="B3504" t="s">
        <v>1843</v>
      </c>
      <c r="C3504" t="s">
        <v>42</v>
      </c>
      <c r="D3504" t="s">
        <v>391</v>
      </c>
      <c r="E3504" t="s">
        <v>1364</v>
      </c>
      <c r="F3504" t="s">
        <v>1372</v>
      </c>
      <c r="G3504">
        <v>-145</v>
      </c>
      <c r="H3504">
        <v>1680</v>
      </c>
      <c r="K3504" t="s">
        <v>1383</v>
      </c>
    </row>
    <row r="3505" spans="1:11" x14ac:dyDescent="0.25">
      <c r="A3505" s="40">
        <v>46065.47074074074</v>
      </c>
      <c r="B3505" t="s">
        <v>1843</v>
      </c>
      <c r="C3505" t="s">
        <v>2</v>
      </c>
      <c r="D3505" t="s">
        <v>266</v>
      </c>
      <c r="E3505" t="s">
        <v>1364</v>
      </c>
      <c r="F3505" t="s">
        <v>1372</v>
      </c>
      <c r="G3505">
        <v>-75</v>
      </c>
      <c r="H3505">
        <v>2882</v>
      </c>
      <c r="K3505" t="s">
        <v>1383</v>
      </c>
    </row>
  </sheetData>
  <conditionalFormatting sqref="C2849:C2855">
    <cfRule type="duplicateValues" dxfId="14" priority="1"/>
    <cfRule type="duplicateValues" dxfId="13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05E41-BA14-4B47-A029-53837689A172}">
  <sheetPr codeName="Sheet15"/>
  <dimension ref="A1:K18"/>
  <sheetViews>
    <sheetView workbookViewId="0">
      <selection activeCell="H1" sqref="H1:J1048576"/>
    </sheetView>
  </sheetViews>
  <sheetFormatPr defaultRowHeight="15" x14ac:dyDescent="0.25"/>
  <cols>
    <col min="1" max="1" width="18.28515625" bestFit="1" customWidth="1"/>
    <col min="2" max="5" width="17.85546875" customWidth="1"/>
    <col min="6" max="6" width="9.7109375" bestFit="1" customWidth="1"/>
    <col min="7" max="7" width="13.28515625" bestFit="1" customWidth="1"/>
    <col min="8" max="8" width="5.7109375" bestFit="1" customWidth="1"/>
    <col min="9" max="9" width="6.5703125" bestFit="1" customWidth="1"/>
    <col min="10" max="10" width="9.7109375" bestFit="1" customWidth="1"/>
    <col min="11" max="11" width="18.42578125" bestFit="1" customWidth="1"/>
  </cols>
  <sheetData>
    <row r="1" spans="1:11" x14ac:dyDescent="0.25">
      <c r="A1" s="32" t="s">
        <v>1811</v>
      </c>
      <c r="B1" s="32" t="s">
        <v>1371</v>
      </c>
      <c r="C1" s="32" t="s">
        <v>247</v>
      </c>
      <c r="D1" s="32" t="s">
        <v>1802</v>
      </c>
      <c r="E1" s="32" t="s">
        <v>1813</v>
      </c>
      <c r="F1" s="32" t="s">
        <v>1803</v>
      </c>
      <c r="G1" s="32" t="s">
        <v>1804</v>
      </c>
      <c r="H1" s="32" t="s">
        <v>1805</v>
      </c>
      <c r="I1" s="32" t="s">
        <v>1806</v>
      </c>
      <c r="J1" s="32" t="s">
        <v>1326</v>
      </c>
      <c r="K1" s="32" t="s">
        <v>1807</v>
      </c>
    </row>
    <row r="2" spans="1:11" x14ac:dyDescent="0.25">
      <c r="A2" s="40">
        <v>45948.366516203707</v>
      </c>
      <c r="B2" t="s">
        <v>1795</v>
      </c>
      <c r="C2" t="s">
        <v>1351</v>
      </c>
      <c r="D2" t="s">
        <v>1808</v>
      </c>
      <c r="F2">
        <v>30</v>
      </c>
      <c r="G2">
        <v>2</v>
      </c>
      <c r="H2">
        <f>G2*F2</f>
        <v>60</v>
      </c>
      <c r="I2">
        <v>30</v>
      </c>
      <c r="J2">
        <f>SUM(H2:I2)</f>
        <v>90</v>
      </c>
      <c r="K2" t="s">
        <v>1810</v>
      </c>
    </row>
    <row r="3" spans="1:11" s="3" customFormat="1" x14ac:dyDescent="0.25">
      <c r="A3" s="44">
        <v>45948.366516203707</v>
      </c>
      <c r="B3" s="3" t="s">
        <v>1795</v>
      </c>
      <c r="C3" s="3" t="s">
        <v>1351</v>
      </c>
      <c r="D3" s="3" t="s">
        <v>1809</v>
      </c>
      <c r="F3" s="3">
        <v>15</v>
      </c>
      <c r="G3" s="3">
        <v>1</v>
      </c>
      <c r="H3" s="3">
        <f>G3*F3</f>
        <v>15</v>
      </c>
      <c r="I3" s="3">
        <v>10</v>
      </c>
      <c r="J3" s="3">
        <f t="shared" ref="J3:J15" si="0">SUM(H3:I3)</f>
        <v>25</v>
      </c>
      <c r="K3" t="s">
        <v>1810</v>
      </c>
    </row>
    <row r="4" spans="1:11" x14ac:dyDescent="0.25">
      <c r="A4" s="40">
        <v>45949.366516203707</v>
      </c>
      <c r="B4" t="s">
        <v>1795</v>
      </c>
      <c r="C4" t="s">
        <v>18</v>
      </c>
      <c r="D4" t="s">
        <v>1808</v>
      </c>
      <c r="F4">
        <v>30</v>
      </c>
      <c r="G4">
        <v>1</v>
      </c>
      <c r="H4">
        <f t="shared" ref="H4:H15" si="1">G4*F4</f>
        <v>30</v>
      </c>
      <c r="J4">
        <f t="shared" si="0"/>
        <v>30</v>
      </c>
      <c r="K4" t="s">
        <v>1810</v>
      </c>
    </row>
    <row r="5" spans="1:11" x14ac:dyDescent="0.25">
      <c r="A5" s="40">
        <v>45950.366516203707</v>
      </c>
      <c r="B5" t="s">
        <v>1795</v>
      </c>
      <c r="C5" t="s">
        <v>326</v>
      </c>
      <c r="D5" t="s">
        <v>1808</v>
      </c>
      <c r="F5">
        <v>30</v>
      </c>
      <c r="G5">
        <v>2</v>
      </c>
      <c r="H5">
        <f t="shared" si="1"/>
        <v>60</v>
      </c>
      <c r="J5">
        <f t="shared" si="0"/>
        <v>60</v>
      </c>
      <c r="K5" t="s">
        <v>1810</v>
      </c>
    </row>
    <row r="6" spans="1:11" x14ac:dyDescent="0.25">
      <c r="A6" s="40">
        <v>45951.366516203707</v>
      </c>
      <c r="B6" t="s">
        <v>1795</v>
      </c>
      <c r="C6" t="s">
        <v>1762</v>
      </c>
      <c r="D6" t="s">
        <v>1808</v>
      </c>
      <c r="F6">
        <v>30</v>
      </c>
      <c r="G6">
        <v>4</v>
      </c>
      <c r="H6">
        <f t="shared" si="1"/>
        <v>120</v>
      </c>
      <c r="J6">
        <f t="shared" si="0"/>
        <v>120</v>
      </c>
      <c r="K6" t="s">
        <v>1810</v>
      </c>
    </row>
    <row r="7" spans="1:11" x14ac:dyDescent="0.25">
      <c r="A7" s="40">
        <v>45952.366516203707</v>
      </c>
      <c r="B7" t="s">
        <v>1795</v>
      </c>
      <c r="C7" t="s">
        <v>14</v>
      </c>
      <c r="D7" t="s">
        <v>1808</v>
      </c>
      <c r="F7">
        <v>30</v>
      </c>
      <c r="G7">
        <v>4</v>
      </c>
      <c r="H7">
        <f t="shared" si="1"/>
        <v>120</v>
      </c>
      <c r="J7">
        <f t="shared" si="0"/>
        <v>120</v>
      </c>
      <c r="K7" t="s">
        <v>1810</v>
      </c>
    </row>
    <row r="8" spans="1:11" x14ac:dyDescent="0.25">
      <c r="A8" s="40">
        <v>45953.366516203707</v>
      </c>
      <c r="B8" t="s">
        <v>1795</v>
      </c>
      <c r="C8" t="s">
        <v>324</v>
      </c>
      <c r="D8" t="s">
        <v>1808</v>
      </c>
      <c r="F8">
        <v>30</v>
      </c>
      <c r="G8">
        <v>1</v>
      </c>
      <c r="H8">
        <f t="shared" si="1"/>
        <v>30</v>
      </c>
      <c r="J8">
        <f t="shared" si="0"/>
        <v>30</v>
      </c>
      <c r="K8" t="s">
        <v>1810</v>
      </c>
    </row>
    <row r="9" spans="1:11" x14ac:dyDescent="0.25">
      <c r="A9" s="40">
        <v>45954.366516203707</v>
      </c>
      <c r="B9" t="s">
        <v>1795</v>
      </c>
      <c r="C9" t="s">
        <v>24</v>
      </c>
      <c r="D9" t="s">
        <v>1808</v>
      </c>
      <c r="F9">
        <v>30</v>
      </c>
      <c r="G9">
        <v>2</v>
      </c>
      <c r="H9">
        <f t="shared" si="1"/>
        <v>60</v>
      </c>
      <c r="J9">
        <f t="shared" si="0"/>
        <v>60</v>
      </c>
      <c r="K9" t="s">
        <v>1810</v>
      </c>
    </row>
    <row r="10" spans="1:11" x14ac:dyDescent="0.25">
      <c r="A10" s="40">
        <v>45955.366516203707</v>
      </c>
      <c r="B10" t="s">
        <v>1795</v>
      </c>
      <c r="C10" t="s">
        <v>370</v>
      </c>
      <c r="D10" t="s">
        <v>1808</v>
      </c>
      <c r="F10">
        <v>30</v>
      </c>
      <c r="G10">
        <v>1</v>
      </c>
      <c r="H10">
        <f t="shared" si="1"/>
        <v>30</v>
      </c>
      <c r="J10">
        <f t="shared" si="0"/>
        <v>30</v>
      </c>
      <c r="K10" t="s">
        <v>1810</v>
      </c>
    </row>
    <row r="11" spans="1:11" x14ac:dyDescent="0.25">
      <c r="A11" s="40">
        <v>45956.366516203707</v>
      </c>
      <c r="B11" t="s">
        <v>1795</v>
      </c>
      <c r="C11" t="s">
        <v>25</v>
      </c>
      <c r="D11" t="s">
        <v>1808</v>
      </c>
      <c r="F11">
        <v>30</v>
      </c>
      <c r="G11">
        <v>4</v>
      </c>
      <c r="H11">
        <f t="shared" si="1"/>
        <v>120</v>
      </c>
      <c r="J11">
        <f t="shared" si="0"/>
        <v>120</v>
      </c>
      <c r="K11" t="s">
        <v>1810</v>
      </c>
    </row>
    <row r="12" spans="1:11" x14ac:dyDescent="0.25">
      <c r="A12" s="40">
        <v>45957.366516203707</v>
      </c>
      <c r="B12" t="s">
        <v>1795</v>
      </c>
      <c r="C12" t="s">
        <v>63</v>
      </c>
      <c r="D12" t="s">
        <v>1808</v>
      </c>
      <c r="F12">
        <v>30</v>
      </c>
      <c r="G12">
        <v>1</v>
      </c>
      <c r="H12">
        <f t="shared" si="1"/>
        <v>30</v>
      </c>
      <c r="J12">
        <f t="shared" si="0"/>
        <v>30</v>
      </c>
      <c r="K12" t="s">
        <v>1810</v>
      </c>
    </row>
    <row r="13" spans="1:11" x14ac:dyDescent="0.25">
      <c r="A13" s="40">
        <v>45958.366516203707</v>
      </c>
      <c r="B13" t="s">
        <v>1795</v>
      </c>
      <c r="C13" t="s">
        <v>20</v>
      </c>
      <c r="D13" t="s">
        <v>1808</v>
      </c>
      <c r="F13">
        <v>30</v>
      </c>
      <c r="G13">
        <v>3</v>
      </c>
      <c r="H13">
        <f t="shared" si="1"/>
        <v>90</v>
      </c>
      <c r="J13">
        <f t="shared" si="0"/>
        <v>90</v>
      </c>
      <c r="K13" t="s">
        <v>1810</v>
      </c>
    </row>
    <row r="14" spans="1:11" x14ac:dyDescent="0.25">
      <c r="A14" s="40">
        <v>45959.366516203707</v>
      </c>
      <c r="B14" t="s">
        <v>1795</v>
      </c>
      <c r="C14" t="s">
        <v>27</v>
      </c>
      <c r="D14" t="s">
        <v>1808</v>
      </c>
      <c r="F14">
        <v>30</v>
      </c>
      <c r="G14">
        <v>2</v>
      </c>
      <c r="H14">
        <f t="shared" si="1"/>
        <v>60</v>
      </c>
      <c r="J14">
        <f t="shared" si="0"/>
        <v>60</v>
      </c>
      <c r="K14" t="s">
        <v>1810</v>
      </c>
    </row>
    <row r="15" spans="1:11" x14ac:dyDescent="0.25">
      <c r="A15" s="40">
        <v>45960.366516203707</v>
      </c>
      <c r="B15" t="s">
        <v>1795</v>
      </c>
      <c r="C15" t="s">
        <v>1</v>
      </c>
      <c r="D15" t="s">
        <v>1808</v>
      </c>
      <c r="F15">
        <v>30</v>
      </c>
      <c r="G15">
        <v>10</v>
      </c>
      <c r="H15">
        <f t="shared" si="1"/>
        <v>300</v>
      </c>
      <c r="J15">
        <f t="shared" si="0"/>
        <v>300</v>
      </c>
      <c r="K15" t="s">
        <v>1810</v>
      </c>
    </row>
    <row r="16" spans="1:11" x14ac:dyDescent="0.25">
      <c r="A16" s="43">
        <v>45967</v>
      </c>
      <c r="B16" s="3" t="s">
        <v>1795</v>
      </c>
      <c r="C16" s="3" t="s">
        <v>1351</v>
      </c>
      <c r="D16" s="3" t="s">
        <v>1809</v>
      </c>
      <c r="E16" s="3"/>
      <c r="F16" s="3">
        <v>10</v>
      </c>
      <c r="G16" s="3">
        <v>1</v>
      </c>
      <c r="H16" s="3">
        <f>G16*F16</f>
        <v>10</v>
      </c>
      <c r="I16" s="3">
        <v>7</v>
      </c>
      <c r="J16" s="3">
        <f t="shared" ref="J16" si="2">SUM(H16:I16)</f>
        <v>17</v>
      </c>
      <c r="K16" t="s">
        <v>1812</v>
      </c>
    </row>
    <row r="17" spans="1:11" x14ac:dyDescent="0.25">
      <c r="A17" s="43">
        <v>45967</v>
      </c>
      <c r="B17" s="3" t="s">
        <v>1795</v>
      </c>
      <c r="C17" s="3" t="s">
        <v>1351</v>
      </c>
      <c r="D17" s="3" t="s">
        <v>1809</v>
      </c>
      <c r="E17" s="3"/>
      <c r="F17">
        <v>3</v>
      </c>
      <c r="G17" s="3">
        <v>1</v>
      </c>
      <c r="H17" s="3">
        <f>G17*F17</f>
        <v>3</v>
      </c>
      <c r="I17">
        <v>2</v>
      </c>
      <c r="K17" t="s">
        <v>1812</v>
      </c>
    </row>
    <row r="18" spans="1:11" x14ac:dyDescent="0.25">
      <c r="F18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748E1-8DDA-4738-B2A4-C9583FB6ECCB}">
  <sheetPr codeName="Sheet14"/>
  <dimension ref="A1:A70"/>
  <sheetViews>
    <sheetView topLeftCell="A3" zoomScale="115" zoomScaleNormal="115" workbookViewId="0">
      <selection activeCell="C14" sqref="C14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6</v>
      </c>
    </row>
    <row r="4" spans="1:1" x14ac:dyDescent="0.25">
      <c r="A4" t="s">
        <v>7</v>
      </c>
    </row>
    <row r="5" spans="1:1" x14ac:dyDescent="0.25">
      <c r="A5" t="s">
        <v>20</v>
      </c>
    </row>
    <row r="6" spans="1:1" x14ac:dyDescent="0.25">
      <c r="A6" t="s">
        <v>27</v>
      </c>
    </row>
    <row r="7" spans="1:1" x14ac:dyDescent="0.25">
      <c r="A7" t="s">
        <v>32</v>
      </c>
    </row>
    <row r="8" spans="1:1" x14ac:dyDescent="0.25">
      <c r="A8" t="s">
        <v>36</v>
      </c>
    </row>
    <row r="9" spans="1:1" x14ac:dyDescent="0.25">
      <c r="A9" t="s">
        <v>38</v>
      </c>
    </row>
    <row r="10" spans="1:1" x14ac:dyDescent="0.25">
      <c r="A10" t="s">
        <v>44</v>
      </c>
    </row>
    <row r="11" spans="1:1" x14ac:dyDescent="0.25">
      <c r="A11" t="s">
        <v>45</v>
      </c>
    </row>
    <row r="12" spans="1:1" x14ac:dyDescent="0.25">
      <c r="A12" t="s">
        <v>47</v>
      </c>
    </row>
    <row r="13" spans="1:1" x14ac:dyDescent="0.25">
      <c r="A13" t="s">
        <v>58</v>
      </c>
    </row>
    <row r="14" spans="1:1" x14ac:dyDescent="0.25">
      <c r="A14" t="s">
        <v>60</v>
      </c>
    </row>
    <row r="15" spans="1:1" x14ac:dyDescent="0.25">
      <c r="A15" t="s">
        <v>61</v>
      </c>
    </row>
    <row r="16" spans="1:1" x14ac:dyDescent="0.25">
      <c r="A16" t="s">
        <v>68</v>
      </c>
    </row>
    <row r="17" spans="1:1" x14ac:dyDescent="0.25">
      <c r="A17" t="s">
        <v>69</v>
      </c>
    </row>
    <row r="18" spans="1:1" x14ac:dyDescent="0.25">
      <c r="A18" t="s">
        <v>79</v>
      </c>
    </row>
    <row r="19" spans="1:1" x14ac:dyDescent="0.25">
      <c r="A19" t="s">
        <v>81</v>
      </c>
    </row>
    <row r="20" spans="1:1" x14ac:dyDescent="0.25">
      <c r="A20" t="s">
        <v>82</v>
      </c>
    </row>
    <row r="21" spans="1:1" x14ac:dyDescent="0.25">
      <c r="A21" t="s">
        <v>84</v>
      </c>
    </row>
    <row r="22" spans="1:1" x14ac:dyDescent="0.25">
      <c r="A22" t="s">
        <v>94</v>
      </c>
    </row>
    <row r="23" spans="1:1" x14ac:dyDescent="0.25">
      <c r="A23" t="s">
        <v>96</v>
      </c>
    </row>
    <row r="24" spans="1:1" x14ac:dyDescent="0.25">
      <c r="A24" t="s">
        <v>24</v>
      </c>
    </row>
    <row r="25" spans="1:1" x14ac:dyDescent="0.25">
      <c r="A25" t="s">
        <v>37</v>
      </c>
    </row>
    <row r="26" spans="1:1" x14ac:dyDescent="0.25">
      <c r="A26" t="s">
        <v>63</v>
      </c>
    </row>
    <row r="27" spans="1:1" x14ac:dyDescent="0.25">
      <c r="A27" t="s">
        <v>229</v>
      </c>
    </row>
    <row r="28" spans="1:1" x14ac:dyDescent="0.25">
      <c r="A28" t="s">
        <v>5</v>
      </c>
    </row>
    <row r="29" spans="1:1" x14ac:dyDescent="0.25">
      <c r="A29" t="s">
        <v>230</v>
      </c>
    </row>
    <row r="30" spans="1:1" x14ac:dyDescent="0.25">
      <c r="A30" t="s">
        <v>52</v>
      </c>
    </row>
    <row r="31" spans="1:1" x14ac:dyDescent="0.25">
      <c r="A31" t="s">
        <v>54</v>
      </c>
    </row>
    <row r="32" spans="1:1" x14ac:dyDescent="0.25">
      <c r="A32" t="s">
        <v>59</v>
      </c>
    </row>
    <row r="33" spans="1:1" x14ac:dyDescent="0.25">
      <c r="A33" t="s">
        <v>62</v>
      </c>
    </row>
    <row r="34" spans="1:1" x14ac:dyDescent="0.25">
      <c r="A34" t="s">
        <v>14</v>
      </c>
    </row>
    <row r="35" spans="1:1" x14ac:dyDescent="0.25">
      <c r="A35" t="s">
        <v>15</v>
      </c>
    </row>
    <row r="36" spans="1:1" x14ac:dyDescent="0.25">
      <c r="A36" t="s">
        <v>18</v>
      </c>
    </row>
    <row r="37" spans="1:1" x14ac:dyDescent="0.25">
      <c r="A37" t="s">
        <v>25</v>
      </c>
    </row>
    <row r="38" spans="1:1" x14ac:dyDescent="0.25">
      <c r="A38" t="s">
        <v>48</v>
      </c>
    </row>
    <row r="39" spans="1:1" x14ac:dyDescent="0.25">
      <c r="A39" t="s">
        <v>70</v>
      </c>
    </row>
    <row r="40" spans="1:1" x14ac:dyDescent="0.25">
      <c r="A40" t="s">
        <v>99</v>
      </c>
    </row>
    <row r="41" spans="1:1" x14ac:dyDescent="0.25">
      <c r="A41" t="s">
        <v>360</v>
      </c>
    </row>
    <row r="42" spans="1:1" x14ac:dyDescent="0.25">
      <c r="A42" t="s">
        <v>335</v>
      </c>
    </row>
    <row r="43" spans="1:1" x14ac:dyDescent="0.25">
      <c r="A43" t="s">
        <v>267</v>
      </c>
    </row>
    <row r="44" spans="1:1" x14ac:dyDescent="0.25">
      <c r="A44" t="s">
        <v>428</v>
      </c>
    </row>
    <row r="45" spans="1:1" x14ac:dyDescent="0.25">
      <c r="A45" t="s">
        <v>258</v>
      </c>
    </row>
    <row r="46" spans="1:1" x14ac:dyDescent="0.25">
      <c r="A46" t="s">
        <v>273</v>
      </c>
    </row>
    <row r="47" spans="1:1" x14ac:dyDescent="0.25">
      <c r="A47" t="s">
        <v>418</v>
      </c>
    </row>
    <row r="48" spans="1:1" x14ac:dyDescent="0.25">
      <c r="A48" t="s">
        <v>324</v>
      </c>
    </row>
    <row r="49" spans="1:1" x14ac:dyDescent="0.25">
      <c r="A49" t="s">
        <v>77</v>
      </c>
    </row>
    <row r="50" spans="1:1" x14ac:dyDescent="0.25">
      <c r="A50" t="s">
        <v>97</v>
      </c>
    </row>
    <row r="51" spans="1:1" x14ac:dyDescent="0.25">
      <c r="A51" t="s">
        <v>330</v>
      </c>
    </row>
    <row r="52" spans="1:1" x14ac:dyDescent="0.25">
      <c r="A52" t="s">
        <v>370</v>
      </c>
    </row>
    <row r="53" spans="1:1" x14ac:dyDescent="0.25">
      <c r="A53" t="s">
        <v>1351</v>
      </c>
    </row>
    <row r="54" spans="1:1" x14ac:dyDescent="0.25">
      <c r="A54" t="s">
        <v>326</v>
      </c>
    </row>
    <row r="55" spans="1:1" x14ac:dyDescent="0.25">
      <c r="A55" t="s">
        <v>368</v>
      </c>
    </row>
    <row r="56" spans="1:1" x14ac:dyDescent="0.25">
      <c r="A56" t="s">
        <v>337</v>
      </c>
    </row>
    <row r="57" spans="1:1" x14ac:dyDescent="0.25">
      <c r="A57" t="s">
        <v>262</v>
      </c>
    </row>
    <row r="58" spans="1:1" x14ac:dyDescent="0.25">
      <c r="A58" t="s">
        <v>308</v>
      </c>
    </row>
    <row r="59" spans="1:1" x14ac:dyDescent="0.25">
      <c r="A59" t="s">
        <v>290</v>
      </c>
    </row>
    <row r="60" spans="1:1" x14ac:dyDescent="0.25">
      <c r="A60" t="s">
        <v>443</v>
      </c>
    </row>
    <row r="61" spans="1:1" x14ac:dyDescent="0.25">
      <c r="A61" t="s">
        <v>285</v>
      </c>
    </row>
    <row r="62" spans="1:1" x14ac:dyDescent="0.25">
      <c r="A62" t="s">
        <v>451</v>
      </c>
    </row>
    <row r="63" spans="1:1" x14ac:dyDescent="0.25">
      <c r="A63" t="s">
        <v>271</v>
      </c>
    </row>
    <row r="64" spans="1:1" x14ac:dyDescent="0.25">
      <c r="A64" t="s">
        <v>256</v>
      </c>
    </row>
    <row r="65" spans="1:1" x14ac:dyDescent="0.25">
      <c r="A65" t="s">
        <v>264</v>
      </c>
    </row>
    <row r="66" spans="1:1" x14ac:dyDescent="0.25">
      <c r="A66" t="s">
        <v>449</v>
      </c>
    </row>
    <row r="67" spans="1:1" x14ac:dyDescent="0.25">
      <c r="A67" t="s">
        <v>433</v>
      </c>
    </row>
    <row r="68" spans="1:1" x14ac:dyDescent="0.25">
      <c r="A68" s="42" t="s">
        <v>1352</v>
      </c>
    </row>
    <row r="69" spans="1:1" x14ac:dyDescent="0.25">
      <c r="A69" t="s">
        <v>1353</v>
      </c>
    </row>
    <row r="70" spans="1:1" x14ac:dyDescent="0.25">
      <c r="A70" t="s">
        <v>98</v>
      </c>
    </row>
  </sheetData>
  <conditionalFormatting sqref="A1:A70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5799E-1060-487B-B82F-45654F6E82C9}">
  <sheetPr codeName="Sheet3"/>
  <dimension ref="A1:Z185"/>
  <sheetViews>
    <sheetView tabSelected="1" workbookViewId="0">
      <selection activeCell="D13" sqref="D13"/>
    </sheetView>
  </sheetViews>
  <sheetFormatPr defaultRowHeight="15" x14ac:dyDescent="0.25"/>
  <cols>
    <col min="1" max="1" width="19.140625" bestFit="1" customWidth="1"/>
    <col min="2" max="2" width="35.140625" bestFit="1" customWidth="1"/>
    <col min="3" max="3" width="4" customWidth="1"/>
    <col min="4" max="4" width="15.42578125" bestFit="1" customWidth="1"/>
    <col min="5" max="5" width="24" bestFit="1" customWidth="1"/>
    <col min="6" max="6" width="10.85546875" bestFit="1" customWidth="1"/>
    <col min="7" max="7" width="6.5703125" bestFit="1" customWidth="1"/>
    <col min="8" max="8" width="24.140625" bestFit="1" customWidth="1"/>
    <col min="9" max="9" width="30.42578125" bestFit="1" customWidth="1"/>
    <col min="10" max="10" width="22.85546875" bestFit="1" customWidth="1"/>
    <col min="11" max="11" width="11.85546875" bestFit="1" customWidth="1"/>
    <col min="12" max="12" width="9" bestFit="1" customWidth="1"/>
    <col min="13" max="13" width="24.42578125" style="3" bestFit="1" customWidth="1"/>
    <col min="14" max="14" width="16.42578125" style="3" bestFit="1" customWidth="1"/>
    <col min="15" max="15" width="51.42578125" bestFit="1" customWidth="1"/>
    <col min="16" max="16" width="28.42578125" bestFit="1" customWidth="1"/>
    <col min="17" max="17" width="12.42578125" bestFit="1" customWidth="1"/>
    <col min="18" max="19" width="11.42578125" bestFit="1" customWidth="1"/>
    <col min="20" max="20" width="14.42578125" bestFit="1" customWidth="1"/>
    <col min="21" max="21" width="13.42578125" bestFit="1" customWidth="1"/>
    <col min="22" max="22" width="19.140625" bestFit="1" customWidth="1"/>
    <col min="23" max="23" width="27" bestFit="1" customWidth="1"/>
    <col min="24" max="24" width="27" customWidth="1"/>
    <col min="25" max="25" width="16.42578125" bestFit="1" customWidth="1"/>
    <col min="26" max="26" width="18.140625" bestFit="1" customWidth="1"/>
  </cols>
  <sheetData>
    <row r="1" spans="1:26" x14ac:dyDescent="0.25">
      <c r="A1" s="7" t="s">
        <v>247</v>
      </c>
      <c r="B1" s="7" t="s">
        <v>248</v>
      </c>
      <c r="C1" s="7" t="s">
        <v>883</v>
      </c>
      <c r="D1" s="7" t="s">
        <v>906</v>
      </c>
      <c r="E1" s="7" t="s">
        <v>885</v>
      </c>
      <c r="F1" s="13" t="s">
        <v>249</v>
      </c>
      <c r="G1" s="7" t="s">
        <v>510</v>
      </c>
      <c r="H1" s="7" t="s">
        <v>1119</v>
      </c>
      <c r="I1" s="7" t="s">
        <v>1118</v>
      </c>
      <c r="J1" s="7" t="s">
        <v>1116</v>
      </c>
      <c r="K1" s="7" t="s">
        <v>882</v>
      </c>
      <c r="L1" s="7" t="s">
        <v>692</v>
      </c>
      <c r="M1" s="9" t="s">
        <v>1302</v>
      </c>
      <c r="N1" s="9" t="s">
        <v>1217</v>
      </c>
      <c r="O1" s="7" t="s">
        <v>1106</v>
      </c>
      <c r="P1" s="7" t="s">
        <v>1117</v>
      </c>
      <c r="Q1" s="7" t="s">
        <v>1107</v>
      </c>
      <c r="R1" s="7" t="s">
        <v>1108</v>
      </c>
      <c r="S1" s="7" t="s">
        <v>509</v>
      </c>
      <c r="T1" s="7" t="s">
        <v>1109</v>
      </c>
      <c r="U1" s="7" t="s">
        <v>1110</v>
      </c>
      <c r="V1" s="7" t="s">
        <v>1114</v>
      </c>
      <c r="W1" s="7" t="s">
        <v>1113</v>
      </c>
      <c r="X1" s="7" t="s">
        <v>1115</v>
      </c>
      <c r="Y1" s="7" t="s">
        <v>1111</v>
      </c>
      <c r="Z1" s="7" t="s">
        <v>1112</v>
      </c>
    </row>
    <row r="2" spans="1:26" x14ac:dyDescent="0.25">
      <c r="A2" s="8" t="s">
        <v>1</v>
      </c>
      <c r="B2" s="8" t="s">
        <v>702</v>
      </c>
      <c r="C2" s="8" t="s">
        <v>884</v>
      </c>
      <c r="D2" s="1" t="s">
        <v>1102</v>
      </c>
      <c r="E2" s="8" t="s">
        <v>894</v>
      </c>
      <c r="F2" s="8" t="s">
        <v>250</v>
      </c>
      <c r="G2" s="8">
        <v>4000</v>
      </c>
      <c r="H2" s="8" t="s">
        <v>107</v>
      </c>
      <c r="I2" s="8" t="s">
        <v>106</v>
      </c>
      <c r="J2" s="8">
        <v>78779</v>
      </c>
      <c r="K2" s="8">
        <v>129</v>
      </c>
      <c r="L2" s="8" t="s">
        <v>694</v>
      </c>
      <c r="M2" s="11" t="s">
        <v>1298</v>
      </c>
      <c r="N2" s="11">
        <v>12000</v>
      </c>
      <c r="O2" s="8" t="s">
        <v>1092</v>
      </c>
      <c r="P2" s="8" t="s">
        <v>1046</v>
      </c>
      <c r="Q2" s="1">
        <v>9.2899999999999996E-3</v>
      </c>
      <c r="R2" s="14">
        <v>37.159999999999997</v>
      </c>
      <c r="S2" s="8" t="s">
        <v>512</v>
      </c>
      <c r="T2" s="1">
        <v>2.2500000000000003E-3</v>
      </c>
      <c r="U2" s="1">
        <f t="shared" ref="U2:U32" si="0">T2*G2</f>
        <v>9.0000000000000018</v>
      </c>
      <c r="V2" s="1" t="s">
        <v>1120</v>
      </c>
      <c r="W2" s="1"/>
      <c r="X2" s="1">
        <v>68.400000000000006</v>
      </c>
      <c r="Y2" s="1" t="s">
        <v>1120</v>
      </c>
      <c r="Z2" s="1"/>
    </row>
    <row r="3" spans="1:26" x14ac:dyDescent="0.25">
      <c r="A3" s="8" t="s">
        <v>7</v>
      </c>
      <c r="B3" s="8" t="s">
        <v>704</v>
      </c>
      <c r="C3" s="8" t="s">
        <v>884</v>
      </c>
      <c r="D3" s="1" t="s">
        <v>1102</v>
      </c>
      <c r="E3" s="8" t="s">
        <v>894</v>
      </c>
      <c r="F3" s="8" t="s">
        <v>307</v>
      </c>
      <c r="G3" s="8">
        <v>4000</v>
      </c>
      <c r="H3" s="8" t="s">
        <v>115</v>
      </c>
      <c r="I3" s="8" t="s">
        <v>114</v>
      </c>
      <c r="J3" s="8">
        <v>22379</v>
      </c>
      <c r="K3" s="8">
        <v>99</v>
      </c>
      <c r="L3" s="8" t="s">
        <v>694</v>
      </c>
      <c r="M3" s="11" t="s">
        <v>697</v>
      </c>
      <c r="N3" s="11"/>
      <c r="O3" s="8" t="s">
        <v>1093</v>
      </c>
      <c r="P3" s="8" t="s">
        <v>1047</v>
      </c>
      <c r="Q3" s="1">
        <v>0.01</v>
      </c>
      <c r="R3" s="14">
        <v>40</v>
      </c>
      <c r="S3" s="8" t="s">
        <v>544</v>
      </c>
      <c r="T3" s="1">
        <v>6.8999999999999999E-3</v>
      </c>
      <c r="U3" s="1">
        <f t="shared" si="0"/>
        <v>27.599999999999998</v>
      </c>
      <c r="V3" s="1" t="s">
        <v>1120</v>
      </c>
      <c r="W3" s="1"/>
      <c r="X3" s="1">
        <v>73.2</v>
      </c>
      <c r="Y3" s="1" t="s">
        <v>1120</v>
      </c>
      <c r="Z3" s="1"/>
    </row>
    <row r="4" spans="1:26" x14ac:dyDescent="0.25">
      <c r="A4" s="8" t="s">
        <v>47</v>
      </c>
      <c r="B4" s="8" t="s">
        <v>707</v>
      </c>
      <c r="C4" s="8" t="s">
        <v>884</v>
      </c>
      <c r="D4" s="1" t="s">
        <v>1102</v>
      </c>
      <c r="E4" s="8" t="s">
        <v>894</v>
      </c>
      <c r="F4" s="8" t="s">
        <v>395</v>
      </c>
      <c r="G4" s="8">
        <v>5000</v>
      </c>
      <c r="H4" s="8" t="s">
        <v>158</v>
      </c>
      <c r="I4" s="8" t="s">
        <v>106</v>
      </c>
      <c r="J4" s="8">
        <v>13011</v>
      </c>
      <c r="K4" s="8">
        <v>86</v>
      </c>
      <c r="L4" s="8" t="s">
        <v>694</v>
      </c>
      <c r="M4" s="11" t="s">
        <v>697</v>
      </c>
      <c r="N4" s="11"/>
      <c r="O4" s="8" t="s">
        <v>1101</v>
      </c>
      <c r="P4" s="8" t="s">
        <v>939</v>
      </c>
      <c r="Q4" s="1">
        <v>4.4999999999999997E-3</v>
      </c>
      <c r="R4" s="14">
        <v>22.5</v>
      </c>
      <c r="S4" s="8" t="s">
        <v>612</v>
      </c>
      <c r="T4" s="1">
        <v>1.0499999999999999E-3</v>
      </c>
      <c r="U4" s="1">
        <f t="shared" si="0"/>
        <v>5.25</v>
      </c>
      <c r="V4" s="1" t="s">
        <v>1121</v>
      </c>
      <c r="W4" s="1"/>
      <c r="X4" s="1" t="s">
        <v>1122</v>
      </c>
      <c r="Y4" s="1" t="s">
        <v>1121</v>
      </c>
      <c r="Z4" s="1">
        <v>25000</v>
      </c>
    </row>
    <row r="5" spans="1:26" x14ac:dyDescent="0.25">
      <c r="A5" s="8" t="s">
        <v>60</v>
      </c>
      <c r="B5" s="8" t="s">
        <v>716</v>
      </c>
      <c r="C5" s="8" t="s">
        <v>884</v>
      </c>
      <c r="D5" s="1" t="s">
        <v>1105</v>
      </c>
      <c r="E5" s="8" t="s">
        <v>891</v>
      </c>
      <c r="F5" s="8" t="s">
        <v>350</v>
      </c>
      <c r="G5" s="8">
        <v>3000</v>
      </c>
      <c r="H5" s="8" t="s">
        <v>174</v>
      </c>
      <c r="I5" s="8" t="s">
        <v>173</v>
      </c>
      <c r="J5" s="8">
        <v>9233</v>
      </c>
      <c r="K5" s="8">
        <v>78</v>
      </c>
      <c r="L5" s="8" t="s">
        <v>694</v>
      </c>
      <c r="M5" s="11" t="s">
        <v>697</v>
      </c>
      <c r="N5" s="11"/>
      <c r="O5" s="8" t="s">
        <v>1096</v>
      </c>
      <c r="P5" s="8" t="s">
        <v>1033</v>
      </c>
      <c r="Q5" s="1">
        <v>2.8000000000000001E-2</v>
      </c>
      <c r="R5" s="14">
        <v>84</v>
      </c>
      <c r="S5" s="8" t="s">
        <v>576</v>
      </c>
      <c r="T5" s="1">
        <v>1.9049999999999997E-2</v>
      </c>
      <c r="U5" s="1">
        <f t="shared" si="0"/>
        <v>57.149999999999991</v>
      </c>
      <c r="V5" s="1" t="s">
        <v>1120</v>
      </c>
      <c r="W5" s="1"/>
      <c r="X5" s="1">
        <v>114.31</v>
      </c>
      <c r="Y5" s="1" t="s">
        <v>1120</v>
      </c>
      <c r="Z5" s="1">
        <v>6000</v>
      </c>
    </row>
    <row r="6" spans="1:26" x14ac:dyDescent="0.25">
      <c r="A6" s="8" t="s">
        <v>27</v>
      </c>
      <c r="B6" s="8" t="s">
        <v>703</v>
      </c>
      <c r="C6" s="8" t="s">
        <v>884</v>
      </c>
      <c r="D6" s="1" t="s">
        <v>1102</v>
      </c>
      <c r="E6" s="8" t="s">
        <v>894</v>
      </c>
      <c r="F6" s="8" t="s">
        <v>381</v>
      </c>
      <c r="G6" s="8">
        <v>5000</v>
      </c>
      <c r="H6" s="8" t="s">
        <v>138</v>
      </c>
      <c r="I6" s="8" t="s">
        <v>106</v>
      </c>
      <c r="J6" s="8">
        <v>61345</v>
      </c>
      <c r="K6" s="8">
        <v>75</v>
      </c>
      <c r="L6" s="8" t="s">
        <v>694</v>
      </c>
      <c r="M6" s="11" t="s">
        <v>697</v>
      </c>
      <c r="N6" s="11"/>
      <c r="O6" s="8" t="s">
        <v>1095</v>
      </c>
      <c r="P6" s="8" t="s">
        <v>936</v>
      </c>
      <c r="Q6" s="1">
        <v>4.7000000000000002E-3</v>
      </c>
      <c r="R6" s="14">
        <v>23.5</v>
      </c>
      <c r="S6" s="8" t="s">
        <v>598</v>
      </c>
      <c r="T6" s="1">
        <v>1.0499999999999999E-3</v>
      </c>
      <c r="U6" s="1">
        <f t="shared" si="0"/>
        <v>5.25</v>
      </c>
      <c r="V6" s="1" t="s">
        <v>1120</v>
      </c>
      <c r="W6" s="1"/>
      <c r="X6" s="1">
        <v>25.76</v>
      </c>
      <c r="Y6" s="1" t="s">
        <v>1120</v>
      </c>
      <c r="Z6" s="1">
        <v>25000</v>
      </c>
    </row>
    <row r="7" spans="1:26" x14ac:dyDescent="0.25">
      <c r="A7" s="8" t="s">
        <v>230</v>
      </c>
      <c r="B7" s="8" t="s">
        <v>725</v>
      </c>
      <c r="C7" s="8" t="s">
        <v>884</v>
      </c>
      <c r="D7" s="1" t="s">
        <v>1102</v>
      </c>
      <c r="E7" s="8" t="s">
        <v>894</v>
      </c>
      <c r="F7" s="8" t="s">
        <v>255</v>
      </c>
      <c r="G7" s="8">
        <v>4000</v>
      </c>
      <c r="H7" s="8" t="s">
        <v>1124</v>
      </c>
      <c r="I7" s="8" t="s">
        <v>167</v>
      </c>
      <c r="J7" s="8">
        <v>6348</v>
      </c>
      <c r="K7" s="8">
        <v>70</v>
      </c>
      <c r="L7" s="8" t="s">
        <v>694</v>
      </c>
      <c r="M7" s="11" t="s">
        <v>697</v>
      </c>
      <c r="N7" s="11"/>
      <c r="O7" s="8" t="s">
        <v>1090</v>
      </c>
      <c r="P7" s="8" t="s">
        <v>1051</v>
      </c>
      <c r="Q7" s="1">
        <v>5.1000000000000004E-3</v>
      </c>
      <c r="R7" s="14">
        <v>20.399999999999999</v>
      </c>
      <c r="S7" s="8" t="s">
        <v>517</v>
      </c>
      <c r="T7" s="1">
        <v>3.7499999999999999E-3</v>
      </c>
      <c r="U7" s="1">
        <f t="shared" si="0"/>
        <v>15</v>
      </c>
      <c r="V7" s="1" t="s">
        <v>1120</v>
      </c>
      <c r="W7" s="1"/>
      <c r="X7" s="1">
        <v>85.2</v>
      </c>
      <c r="Y7" s="1" t="s">
        <v>1120</v>
      </c>
      <c r="Z7" s="1">
        <v>12000</v>
      </c>
    </row>
    <row r="8" spans="1:26" x14ac:dyDescent="0.25">
      <c r="A8" s="8" t="s">
        <v>68</v>
      </c>
      <c r="B8" s="8" t="s">
        <v>708</v>
      </c>
      <c r="C8" s="8" t="s">
        <v>884</v>
      </c>
      <c r="D8" s="1" t="s">
        <v>1105</v>
      </c>
      <c r="E8" s="8" t="s">
        <v>891</v>
      </c>
      <c r="F8" s="8" t="s">
        <v>374</v>
      </c>
      <c r="G8" s="8">
        <v>3000</v>
      </c>
      <c r="H8" s="8" t="s">
        <v>185</v>
      </c>
      <c r="I8" s="8" t="s">
        <v>173</v>
      </c>
      <c r="J8" s="8">
        <v>11215</v>
      </c>
      <c r="K8" s="8">
        <v>68</v>
      </c>
      <c r="L8" s="8" t="s">
        <v>694</v>
      </c>
      <c r="M8" s="11" t="s">
        <v>697</v>
      </c>
      <c r="N8" s="11"/>
      <c r="O8" s="8" t="s">
        <v>1098</v>
      </c>
      <c r="P8" s="8" t="s">
        <v>1032</v>
      </c>
      <c r="Q8" s="1">
        <v>4.1000000000000002E-2</v>
      </c>
      <c r="R8" s="14">
        <v>123</v>
      </c>
      <c r="S8" s="8" t="s">
        <v>591</v>
      </c>
      <c r="T8" s="1">
        <v>2.6700000000000002E-2</v>
      </c>
      <c r="U8" s="1">
        <f t="shared" si="0"/>
        <v>80.100000000000009</v>
      </c>
      <c r="V8" s="1" t="s">
        <v>1120</v>
      </c>
      <c r="W8" s="1"/>
      <c r="X8" s="1">
        <v>106.51</v>
      </c>
      <c r="Y8" s="1" t="s">
        <v>1120</v>
      </c>
      <c r="Z8" s="1">
        <v>6000</v>
      </c>
    </row>
    <row r="9" spans="1:26" x14ac:dyDescent="0.25">
      <c r="A9" s="8" t="s">
        <v>56</v>
      </c>
      <c r="B9" s="8" t="s">
        <v>742</v>
      </c>
      <c r="C9" s="8" t="s">
        <v>884</v>
      </c>
      <c r="D9" s="1" t="s">
        <v>1102</v>
      </c>
      <c r="E9" s="8" t="s">
        <v>894</v>
      </c>
      <c r="F9" s="8" t="s">
        <v>313</v>
      </c>
      <c r="G9" s="8">
        <v>4000</v>
      </c>
      <c r="H9" s="8" t="s">
        <v>168</v>
      </c>
      <c r="I9" s="8" t="s">
        <v>167</v>
      </c>
      <c r="J9" s="8">
        <v>2381</v>
      </c>
      <c r="K9" s="8">
        <v>66</v>
      </c>
      <c r="L9" s="8" t="s">
        <v>694</v>
      </c>
      <c r="M9" s="11" t="s">
        <v>697</v>
      </c>
      <c r="N9" s="11"/>
      <c r="O9" s="1"/>
      <c r="P9" s="8" t="s">
        <v>1052</v>
      </c>
      <c r="Q9" s="1">
        <v>9.4999999999999998E-3</v>
      </c>
      <c r="R9" s="14">
        <v>38</v>
      </c>
      <c r="S9" s="8" t="s">
        <v>551</v>
      </c>
      <c r="T9" s="1">
        <v>3.7499999999999999E-3</v>
      </c>
      <c r="U9" s="1">
        <f t="shared" si="0"/>
        <v>15</v>
      </c>
      <c r="V9" s="1"/>
      <c r="W9" s="1"/>
      <c r="X9" s="1"/>
      <c r="Y9" s="1"/>
      <c r="Z9" s="1"/>
    </row>
    <row r="10" spans="1:26" x14ac:dyDescent="0.25">
      <c r="A10" s="8" t="s">
        <v>38</v>
      </c>
      <c r="B10" s="8" t="s">
        <v>714</v>
      </c>
      <c r="C10" s="8" t="s">
        <v>884</v>
      </c>
      <c r="D10" s="1" t="s">
        <v>1102</v>
      </c>
      <c r="E10" s="8" t="s">
        <v>894</v>
      </c>
      <c r="F10" s="8" t="s">
        <v>386</v>
      </c>
      <c r="G10" s="8">
        <v>5000</v>
      </c>
      <c r="H10" s="8" t="s">
        <v>149</v>
      </c>
      <c r="I10" s="8" t="s">
        <v>106</v>
      </c>
      <c r="J10" s="8">
        <v>9749</v>
      </c>
      <c r="K10" s="8">
        <v>63</v>
      </c>
      <c r="L10" s="8" t="s">
        <v>694</v>
      </c>
      <c r="M10" s="11" t="s">
        <v>697</v>
      </c>
      <c r="N10" s="11"/>
      <c r="O10" s="1"/>
      <c r="P10" s="8" t="s">
        <v>941</v>
      </c>
      <c r="Q10" s="1">
        <v>3.0999999999999999E-3</v>
      </c>
      <c r="R10" s="14">
        <v>15.5</v>
      </c>
      <c r="S10" s="8" t="s">
        <v>603</v>
      </c>
      <c r="T10" s="1">
        <v>1.2000000000000001E-3</v>
      </c>
      <c r="U10" s="1">
        <f t="shared" si="0"/>
        <v>6.0000000000000009</v>
      </c>
      <c r="V10" s="1"/>
      <c r="W10" s="1"/>
      <c r="X10" s="1"/>
      <c r="Y10" s="1"/>
      <c r="Z10" s="1"/>
    </row>
    <row r="11" spans="1:26" x14ac:dyDescent="0.25">
      <c r="A11" s="8" t="s">
        <v>94</v>
      </c>
      <c r="B11" s="8" t="s">
        <v>728</v>
      </c>
      <c r="C11" s="8" t="s">
        <v>884</v>
      </c>
      <c r="D11" s="1" t="s">
        <v>1102</v>
      </c>
      <c r="E11" s="8" t="s">
        <v>894</v>
      </c>
      <c r="F11" s="8" t="s">
        <v>404</v>
      </c>
      <c r="G11" s="8">
        <v>5000</v>
      </c>
      <c r="H11" s="8" t="s">
        <v>117</v>
      </c>
      <c r="I11" s="8" t="s">
        <v>106</v>
      </c>
      <c r="J11" s="8">
        <v>4432</v>
      </c>
      <c r="K11" s="8">
        <v>62</v>
      </c>
      <c r="L11" s="8" t="s">
        <v>694</v>
      </c>
      <c r="M11" s="11" t="s">
        <v>697</v>
      </c>
      <c r="N11" s="11"/>
      <c r="O11" s="1"/>
      <c r="P11" s="8" t="s">
        <v>934</v>
      </c>
      <c r="Q11" s="1">
        <v>3.0999999999999999E-3</v>
      </c>
      <c r="R11" s="14">
        <v>15.5</v>
      </c>
      <c r="S11" s="8" t="s">
        <v>621</v>
      </c>
      <c r="T11" s="1">
        <v>1.2000000000000001E-3</v>
      </c>
      <c r="U11" s="1">
        <f t="shared" si="0"/>
        <v>6.0000000000000009</v>
      </c>
      <c r="V11" s="1"/>
      <c r="W11" s="1"/>
      <c r="X11" s="1"/>
      <c r="Y11" s="1"/>
      <c r="Z11" s="1"/>
    </row>
    <row r="12" spans="1:26" x14ac:dyDescent="0.25">
      <c r="A12" s="8" t="s">
        <v>63</v>
      </c>
      <c r="B12" s="8" t="s">
        <v>727</v>
      </c>
      <c r="C12" s="8" t="s">
        <v>884</v>
      </c>
      <c r="D12" s="1" t="s">
        <v>1105</v>
      </c>
      <c r="E12" s="8" t="s">
        <v>892</v>
      </c>
      <c r="F12" s="8" t="s">
        <v>355</v>
      </c>
      <c r="G12" s="8">
        <v>3000</v>
      </c>
      <c r="H12" s="8" t="s">
        <v>180</v>
      </c>
      <c r="I12" s="8" t="s">
        <v>179</v>
      </c>
      <c r="J12" s="8">
        <v>4436</v>
      </c>
      <c r="K12" s="8">
        <v>61</v>
      </c>
      <c r="L12" s="8" t="s">
        <v>694</v>
      </c>
      <c r="M12" s="11" t="s">
        <v>697</v>
      </c>
      <c r="N12" s="11"/>
      <c r="O12" s="1"/>
      <c r="P12" s="8" t="s">
        <v>1004</v>
      </c>
      <c r="Q12" s="1">
        <v>7.3999999999999996E-2</v>
      </c>
      <c r="R12" s="14">
        <v>222</v>
      </c>
      <c r="S12" s="8" t="s">
        <v>580</v>
      </c>
      <c r="T12" s="1">
        <v>2.5349999999999998E-2</v>
      </c>
      <c r="U12" s="1">
        <f t="shared" si="0"/>
        <v>76.05</v>
      </c>
      <c r="V12" s="1"/>
      <c r="W12" s="1"/>
      <c r="X12" s="1"/>
      <c r="Y12" s="1"/>
      <c r="Z12" s="1"/>
    </row>
    <row r="13" spans="1:26" x14ac:dyDescent="0.25">
      <c r="A13" s="8" t="s">
        <v>36</v>
      </c>
      <c r="B13" s="8" t="s">
        <v>706</v>
      </c>
      <c r="C13" s="8" t="s">
        <v>884</v>
      </c>
      <c r="D13" s="1" t="s">
        <v>1102</v>
      </c>
      <c r="E13" s="8" t="s">
        <v>894</v>
      </c>
      <c r="F13" s="8" t="s">
        <v>385</v>
      </c>
      <c r="G13" s="8">
        <v>5000</v>
      </c>
      <c r="H13" s="8" t="s">
        <v>147</v>
      </c>
      <c r="I13" s="8" t="s">
        <v>106</v>
      </c>
      <c r="J13" s="8">
        <v>13483</v>
      </c>
      <c r="K13" s="8">
        <v>57</v>
      </c>
      <c r="L13" s="8" t="s">
        <v>694</v>
      </c>
      <c r="M13" s="11" t="s">
        <v>1298</v>
      </c>
      <c r="N13" s="11">
        <v>15000</v>
      </c>
      <c r="O13" s="1"/>
      <c r="P13" s="8" t="s">
        <v>938</v>
      </c>
      <c r="Q13" s="1">
        <v>3.0999999999999999E-3</v>
      </c>
      <c r="R13" s="14">
        <v>15.5</v>
      </c>
      <c r="S13" s="8" t="s">
        <v>602</v>
      </c>
      <c r="T13" s="1">
        <v>1.0499999999999999E-3</v>
      </c>
      <c r="U13" s="1">
        <f t="shared" si="0"/>
        <v>5.25</v>
      </c>
      <c r="V13" s="1"/>
      <c r="W13" s="1"/>
      <c r="X13" s="1"/>
      <c r="Y13" s="1"/>
      <c r="Z13" s="1"/>
    </row>
    <row r="14" spans="1:26" x14ac:dyDescent="0.25">
      <c r="A14" s="8" t="s">
        <v>62</v>
      </c>
      <c r="B14" s="8" t="s">
        <v>767</v>
      </c>
      <c r="C14" s="8" t="s">
        <v>884</v>
      </c>
      <c r="D14" s="1" t="s">
        <v>1105</v>
      </c>
      <c r="E14" s="8" t="s">
        <v>904</v>
      </c>
      <c r="F14" s="8" t="s">
        <v>354</v>
      </c>
      <c r="G14" s="8">
        <v>3000</v>
      </c>
      <c r="H14" s="8" t="s">
        <v>178</v>
      </c>
      <c r="I14" s="8" t="s">
        <v>177</v>
      </c>
      <c r="J14" s="8">
        <v>1420</v>
      </c>
      <c r="K14" s="8">
        <v>54</v>
      </c>
      <c r="L14" s="8" t="s">
        <v>694</v>
      </c>
      <c r="M14" s="11" t="s">
        <v>697</v>
      </c>
      <c r="N14" s="11"/>
      <c r="O14" s="1"/>
      <c r="P14" s="8" t="s">
        <v>1005</v>
      </c>
      <c r="Q14" s="1">
        <v>8.5999999999999993E-2</v>
      </c>
      <c r="R14" s="14">
        <v>258</v>
      </c>
      <c r="S14" s="8" t="s">
        <v>579</v>
      </c>
      <c r="T14" s="1">
        <v>2.0250000000000001E-2</v>
      </c>
      <c r="U14" s="1">
        <f t="shared" si="0"/>
        <v>60.75</v>
      </c>
      <c r="V14" s="1"/>
      <c r="W14" s="1"/>
      <c r="X14" s="1"/>
      <c r="Y14" s="1"/>
      <c r="Z14" s="1"/>
    </row>
    <row r="15" spans="1:26" x14ac:dyDescent="0.25">
      <c r="A15" s="8" t="s">
        <v>20</v>
      </c>
      <c r="B15" s="8" t="s">
        <v>705</v>
      </c>
      <c r="C15" s="8" t="s">
        <v>884</v>
      </c>
      <c r="D15" s="1" t="s">
        <v>1102</v>
      </c>
      <c r="E15" s="8" t="s">
        <v>894</v>
      </c>
      <c r="F15" s="8" t="s">
        <v>498</v>
      </c>
      <c r="G15" s="8">
        <v>5000</v>
      </c>
      <c r="H15" s="8" t="s">
        <v>130</v>
      </c>
      <c r="I15" s="8" t="s">
        <v>106</v>
      </c>
      <c r="J15" s="8">
        <v>21085</v>
      </c>
      <c r="K15" s="8">
        <v>52</v>
      </c>
      <c r="L15" s="8" t="s">
        <v>694</v>
      </c>
      <c r="M15" s="11" t="s">
        <v>697</v>
      </c>
      <c r="N15" s="11"/>
      <c r="O15" s="8" t="s">
        <v>1094</v>
      </c>
      <c r="P15" s="8" t="s">
        <v>937</v>
      </c>
      <c r="Q15" s="1">
        <v>6.3E-3</v>
      </c>
      <c r="R15" s="14">
        <v>31.5</v>
      </c>
      <c r="S15" s="8" t="s">
        <v>681</v>
      </c>
      <c r="T15" s="1">
        <v>1.0499999999999999E-3</v>
      </c>
      <c r="U15" s="1">
        <f t="shared" si="0"/>
        <v>5.25</v>
      </c>
      <c r="V15" s="1" t="s">
        <v>1120</v>
      </c>
      <c r="W15" s="1"/>
      <c r="X15" s="1">
        <v>25.7</v>
      </c>
      <c r="Y15" s="1" t="s">
        <v>1120</v>
      </c>
      <c r="Z15" s="1">
        <v>15000</v>
      </c>
    </row>
    <row r="16" spans="1:26" x14ac:dyDescent="0.25">
      <c r="A16" s="8" t="s">
        <v>54</v>
      </c>
      <c r="B16" s="8" t="s">
        <v>731</v>
      </c>
      <c r="C16" s="8" t="s">
        <v>884</v>
      </c>
      <c r="D16" s="1" t="s">
        <v>1102</v>
      </c>
      <c r="E16" s="8" t="s">
        <v>892</v>
      </c>
      <c r="F16" s="8" t="s">
        <v>399</v>
      </c>
      <c r="G16" s="8">
        <v>5000</v>
      </c>
      <c r="H16" s="8" t="s">
        <v>165</v>
      </c>
      <c r="I16" s="8" t="s">
        <v>106</v>
      </c>
      <c r="J16" s="8">
        <v>3738</v>
      </c>
      <c r="K16" s="8">
        <v>52</v>
      </c>
      <c r="L16" s="8" t="s">
        <v>694</v>
      </c>
      <c r="M16" s="11" t="s">
        <v>697</v>
      </c>
      <c r="N16" s="11"/>
      <c r="O16" s="1"/>
      <c r="P16" s="8" t="s">
        <v>974</v>
      </c>
      <c r="Q16" s="1">
        <v>7.4999999999999997E-3</v>
      </c>
      <c r="R16" s="14">
        <v>37.5</v>
      </c>
      <c r="S16" s="8" t="s">
        <v>616</v>
      </c>
      <c r="T16" s="1">
        <v>1.8E-3</v>
      </c>
      <c r="U16" s="1">
        <f t="shared" si="0"/>
        <v>9</v>
      </c>
      <c r="V16" s="1"/>
      <c r="W16" s="1"/>
      <c r="X16" s="1"/>
      <c r="Y16" s="1"/>
      <c r="Z16" s="1"/>
    </row>
    <row r="17" spans="1:26" x14ac:dyDescent="0.25">
      <c r="A17" s="8" t="s">
        <v>42</v>
      </c>
      <c r="B17" s="8" t="s">
        <v>744</v>
      </c>
      <c r="C17" s="8" t="s">
        <v>884</v>
      </c>
      <c r="D17" s="1" t="s">
        <v>1102</v>
      </c>
      <c r="E17" s="8" t="s">
        <v>894</v>
      </c>
      <c r="F17" s="8" t="s">
        <v>391</v>
      </c>
      <c r="G17" s="8">
        <v>5000</v>
      </c>
      <c r="H17" s="8" t="s">
        <v>153</v>
      </c>
      <c r="I17" s="8" t="s">
        <v>106</v>
      </c>
      <c r="J17" s="8">
        <v>2317</v>
      </c>
      <c r="K17" s="8">
        <v>51</v>
      </c>
      <c r="L17" s="8" t="s">
        <v>694</v>
      </c>
      <c r="M17" s="11" t="s">
        <v>697</v>
      </c>
      <c r="N17" s="11"/>
      <c r="O17" s="1"/>
      <c r="P17" s="8" t="s">
        <v>945</v>
      </c>
      <c r="Q17" s="1">
        <v>3.0999999999999999E-3</v>
      </c>
      <c r="R17" s="14">
        <v>15.5</v>
      </c>
      <c r="S17" s="8" t="s">
        <v>608</v>
      </c>
      <c r="T17" s="1">
        <v>1.0499999999999999E-3</v>
      </c>
      <c r="U17" s="1">
        <f t="shared" si="0"/>
        <v>5.25</v>
      </c>
      <c r="V17" s="1"/>
      <c r="W17" s="1"/>
      <c r="X17" s="1"/>
      <c r="Y17" s="1"/>
      <c r="Z17" s="1"/>
    </row>
    <row r="18" spans="1:26" x14ac:dyDescent="0.25">
      <c r="A18" s="8" t="s">
        <v>8</v>
      </c>
      <c r="B18" s="8" t="s">
        <v>722</v>
      </c>
      <c r="C18" s="8" t="s">
        <v>884</v>
      </c>
      <c r="D18" s="1" t="s">
        <v>1102</v>
      </c>
      <c r="E18" s="8" t="s">
        <v>894</v>
      </c>
      <c r="F18" s="8" t="s">
        <v>311</v>
      </c>
      <c r="G18" s="8">
        <v>4000</v>
      </c>
      <c r="H18" s="8" t="s">
        <v>116</v>
      </c>
      <c r="I18" s="8" t="s">
        <v>106</v>
      </c>
      <c r="J18" s="8">
        <v>6897</v>
      </c>
      <c r="K18" s="8">
        <v>50</v>
      </c>
      <c r="L18" s="8" t="s">
        <v>694</v>
      </c>
      <c r="M18" s="11" t="s">
        <v>697</v>
      </c>
      <c r="N18" s="11"/>
      <c r="O18" s="1"/>
      <c r="P18" s="8" t="s">
        <v>1049</v>
      </c>
      <c r="Q18" s="1">
        <v>4.8000000000000001E-2</v>
      </c>
      <c r="R18" s="14">
        <v>192</v>
      </c>
      <c r="S18" s="8" t="s">
        <v>549</v>
      </c>
      <c r="T18" s="1">
        <v>4.3499999999999997E-3</v>
      </c>
      <c r="U18" s="1">
        <f t="shared" si="0"/>
        <v>17.399999999999999</v>
      </c>
      <c r="V18" s="1"/>
      <c r="W18" s="1"/>
      <c r="X18" s="1"/>
      <c r="Y18" s="1"/>
      <c r="Z18" s="1"/>
    </row>
    <row r="19" spans="1:26" x14ac:dyDescent="0.25">
      <c r="A19" s="8" t="s">
        <v>69</v>
      </c>
      <c r="B19" s="8" t="s">
        <v>715</v>
      </c>
      <c r="C19" s="8" t="s">
        <v>884</v>
      </c>
      <c r="D19" s="1" t="s">
        <v>1105</v>
      </c>
      <c r="E19" s="8" t="s">
        <v>891</v>
      </c>
      <c r="F19" s="8" t="s">
        <v>375</v>
      </c>
      <c r="G19" s="8">
        <v>3000</v>
      </c>
      <c r="H19" s="8" t="s">
        <v>186</v>
      </c>
      <c r="I19" s="8" t="s">
        <v>175</v>
      </c>
      <c r="J19" s="8">
        <v>9441</v>
      </c>
      <c r="K19" s="8">
        <v>47</v>
      </c>
      <c r="L19" s="8" t="s">
        <v>694</v>
      </c>
      <c r="M19" s="11" t="s">
        <v>697</v>
      </c>
      <c r="N19" s="11"/>
      <c r="O19" s="8" t="s">
        <v>1099</v>
      </c>
      <c r="P19" s="8" t="s">
        <v>1029</v>
      </c>
      <c r="Q19" s="1">
        <v>4.3999999999999997E-2</v>
      </c>
      <c r="R19" s="14">
        <v>132</v>
      </c>
      <c r="S19" s="8" t="s">
        <v>592</v>
      </c>
      <c r="T19" s="1">
        <v>3.9449999999999999E-2</v>
      </c>
      <c r="U19" s="1">
        <f t="shared" si="0"/>
        <v>118.35</v>
      </c>
      <c r="V19" s="1" t="s">
        <v>1120</v>
      </c>
      <c r="W19" s="1"/>
      <c r="X19" s="1">
        <v>147.22</v>
      </c>
      <c r="Y19" s="1" t="s">
        <v>1120</v>
      </c>
      <c r="Z19" s="1">
        <v>6000</v>
      </c>
    </row>
    <row r="20" spans="1:26" x14ac:dyDescent="0.25">
      <c r="A20" s="8" t="s">
        <v>55</v>
      </c>
      <c r="B20" s="8" t="s">
        <v>762</v>
      </c>
      <c r="C20" s="8" t="s">
        <v>884</v>
      </c>
      <c r="D20" s="1" t="s">
        <v>1102</v>
      </c>
      <c r="E20" s="8" t="s">
        <v>894</v>
      </c>
      <c r="F20" s="8" t="s">
        <v>312</v>
      </c>
      <c r="G20" s="8">
        <v>4000</v>
      </c>
      <c r="H20" s="8" t="s">
        <v>166</v>
      </c>
      <c r="I20" s="8" t="s">
        <v>106</v>
      </c>
      <c r="J20" s="8">
        <v>1552</v>
      </c>
      <c r="K20" s="8">
        <v>47</v>
      </c>
      <c r="L20" s="8" t="s">
        <v>694</v>
      </c>
      <c r="M20" s="11" t="s">
        <v>697</v>
      </c>
      <c r="N20" s="11"/>
      <c r="O20" s="1"/>
      <c r="P20" s="8" t="s">
        <v>1054</v>
      </c>
      <c r="Q20" s="1">
        <v>1.0999999999999999E-2</v>
      </c>
      <c r="R20" s="14">
        <v>44</v>
      </c>
      <c r="S20" s="8" t="s">
        <v>550</v>
      </c>
      <c r="T20" s="1">
        <v>2.7000000000000001E-3</v>
      </c>
      <c r="U20" s="1">
        <f t="shared" si="0"/>
        <v>10.8</v>
      </c>
      <c r="V20" s="1"/>
      <c r="W20" s="1"/>
      <c r="X20" s="1"/>
      <c r="Y20" s="1"/>
      <c r="Z20" s="1"/>
    </row>
    <row r="21" spans="1:26" x14ac:dyDescent="0.25">
      <c r="A21" s="8" t="s">
        <v>70</v>
      </c>
      <c r="B21" s="8" t="s">
        <v>713</v>
      </c>
      <c r="C21" s="8" t="s">
        <v>884</v>
      </c>
      <c r="D21" s="1" t="s">
        <v>1102</v>
      </c>
      <c r="E21" s="8" t="s">
        <v>894</v>
      </c>
      <c r="F21" s="8" t="s">
        <v>402</v>
      </c>
      <c r="G21" s="8">
        <v>5000</v>
      </c>
      <c r="H21" s="8" t="s">
        <v>118</v>
      </c>
      <c r="I21" s="8" t="s">
        <v>106</v>
      </c>
      <c r="J21" s="8">
        <v>10195</v>
      </c>
      <c r="K21" s="8">
        <v>44</v>
      </c>
      <c r="L21" s="8" t="s">
        <v>694</v>
      </c>
      <c r="M21" s="11" t="s">
        <v>697</v>
      </c>
      <c r="N21" s="11"/>
      <c r="O21" s="8" t="s">
        <v>1100</v>
      </c>
      <c r="P21" s="8" t="s">
        <v>935</v>
      </c>
      <c r="Q21" s="1">
        <v>3.0999999999999999E-3</v>
      </c>
      <c r="R21" s="14">
        <v>15.5</v>
      </c>
      <c r="S21" s="8" t="s">
        <v>619</v>
      </c>
      <c r="T21" s="1">
        <v>1.2000000000000001E-3</v>
      </c>
      <c r="U21" s="1">
        <f t="shared" si="0"/>
        <v>6.0000000000000009</v>
      </c>
      <c r="V21" s="1" t="s">
        <v>1120</v>
      </c>
      <c r="W21" s="1"/>
      <c r="X21" s="1">
        <v>17.2</v>
      </c>
      <c r="Y21" s="1" t="s">
        <v>1120</v>
      </c>
      <c r="Z21" s="1">
        <v>15000</v>
      </c>
    </row>
    <row r="22" spans="1:26" x14ac:dyDescent="0.25">
      <c r="A22" s="10" t="s">
        <v>322</v>
      </c>
      <c r="B22" s="8" t="s">
        <v>737</v>
      </c>
      <c r="C22" s="8" t="s">
        <v>884</v>
      </c>
      <c r="D22" s="1" t="s">
        <v>1104</v>
      </c>
      <c r="E22" s="8" t="s">
        <v>890</v>
      </c>
      <c r="F22" s="8" t="s">
        <v>323</v>
      </c>
      <c r="G22" s="8">
        <v>750</v>
      </c>
      <c r="H22" s="8" t="s">
        <v>1186</v>
      </c>
      <c r="I22" s="8" t="s">
        <v>1187</v>
      </c>
      <c r="J22" s="8">
        <v>2625</v>
      </c>
      <c r="K22" s="8">
        <v>42</v>
      </c>
      <c r="L22" s="8" t="s">
        <v>695</v>
      </c>
      <c r="M22" s="11" t="s">
        <v>1298</v>
      </c>
      <c r="N22" s="11">
        <v>3000</v>
      </c>
      <c r="O22" s="1"/>
      <c r="P22" s="8" t="s">
        <v>1007</v>
      </c>
      <c r="Q22" s="1">
        <v>0.19400000000000001</v>
      </c>
      <c r="R22" s="14">
        <v>145.5</v>
      </c>
      <c r="S22" s="8" t="s">
        <v>560</v>
      </c>
      <c r="T22" s="1">
        <v>0.10439999999999999</v>
      </c>
      <c r="U22" s="1">
        <f t="shared" si="0"/>
        <v>78.3</v>
      </c>
      <c r="V22" s="1"/>
      <c r="W22" s="1"/>
      <c r="X22" s="1"/>
      <c r="Y22" s="1"/>
      <c r="Z22" s="1"/>
    </row>
    <row r="23" spans="1:26" x14ac:dyDescent="0.25">
      <c r="A23" s="8" t="s">
        <v>2</v>
      </c>
      <c r="B23" s="8" t="s">
        <v>750</v>
      </c>
      <c r="C23" s="8" t="s">
        <v>884</v>
      </c>
      <c r="D23" s="1" t="s">
        <v>1102</v>
      </c>
      <c r="E23" s="8" t="s">
        <v>894</v>
      </c>
      <c r="F23" s="8" t="s">
        <v>266</v>
      </c>
      <c r="G23" s="8">
        <v>4000</v>
      </c>
      <c r="H23" s="8" t="s">
        <v>109</v>
      </c>
      <c r="I23" s="8" t="s">
        <v>108</v>
      </c>
      <c r="J23" s="8">
        <v>2035</v>
      </c>
      <c r="K23" s="8">
        <v>42</v>
      </c>
      <c r="L23" s="8" t="s">
        <v>694</v>
      </c>
      <c r="M23" s="11" t="s">
        <v>697</v>
      </c>
      <c r="N23" s="11"/>
      <c r="O23" s="1"/>
      <c r="P23" s="8" t="s">
        <v>1053</v>
      </c>
      <c r="Q23" s="1">
        <v>6.8999999999999999E-3</v>
      </c>
      <c r="R23" s="14">
        <v>27.6</v>
      </c>
      <c r="S23" s="8" t="s">
        <v>523</v>
      </c>
      <c r="T23" s="1">
        <v>2.4000000000000002E-3</v>
      </c>
      <c r="U23" s="1">
        <f t="shared" si="0"/>
        <v>9.6000000000000014</v>
      </c>
      <c r="V23" s="1"/>
      <c r="W23" s="1"/>
      <c r="X23" s="1"/>
      <c r="Y23" s="1"/>
      <c r="Z23" s="1"/>
    </row>
    <row r="24" spans="1:26" x14ac:dyDescent="0.25">
      <c r="A24" s="8" t="s">
        <v>82</v>
      </c>
      <c r="B24" s="8" t="s">
        <v>760</v>
      </c>
      <c r="C24" s="8" t="s">
        <v>884</v>
      </c>
      <c r="D24" s="1" t="s">
        <v>1105</v>
      </c>
      <c r="E24" s="8" t="s">
        <v>887</v>
      </c>
      <c r="F24" s="8" t="s">
        <v>318</v>
      </c>
      <c r="G24" s="8">
        <v>3000</v>
      </c>
      <c r="H24" s="8" t="s">
        <v>199</v>
      </c>
      <c r="I24" s="8" t="s">
        <v>173</v>
      </c>
      <c r="J24" s="8">
        <v>1609</v>
      </c>
      <c r="K24" s="8">
        <v>41</v>
      </c>
      <c r="L24" s="8" t="s">
        <v>694</v>
      </c>
      <c r="M24" s="11" t="s">
        <v>697</v>
      </c>
      <c r="N24" s="11"/>
      <c r="O24" s="1"/>
      <c r="P24" s="8" t="s">
        <v>1023</v>
      </c>
      <c r="Q24" s="1">
        <v>2.5000000000000001E-2</v>
      </c>
      <c r="R24" s="14">
        <v>75</v>
      </c>
      <c r="S24" s="8" t="s">
        <v>556</v>
      </c>
      <c r="T24" s="1">
        <v>1.83E-2</v>
      </c>
      <c r="U24" s="1">
        <f t="shared" si="0"/>
        <v>54.9</v>
      </c>
      <c r="V24" s="1"/>
      <c r="W24" s="1"/>
      <c r="X24" s="1"/>
      <c r="Y24" s="1"/>
      <c r="Z24" s="1"/>
    </row>
    <row r="25" spans="1:26" x14ac:dyDescent="0.25">
      <c r="A25" s="8" t="s">
        <v>229</v>
      </c>
      <c r="B25" s="8" t="s">
        <v>738</v>
      </c>
      <c r="C25" s="8" t="s">
        <v>884</v>
      </c>
      <c r="D25" s="1" t="s">
        <v>1103</v>
      </c>
      <c r="E25" s="8" t="s">
        <v>897</v>
      </c>
      <c r="F25" s="8" t="s">
        <v>321</v>
      </c>
      <c r="G25" s="8">
        <v>5000</v>
      </c>
      <c r="H25" s="8" t="s">
        <v>1125</v>
      </c>
      <c r="I25" s="8" t="s">
        <v>175</v>
      </c>
      <c r="J25" s="8">
        <v>2603</v>
      </c>
      <c r="K25" s="8">
        <v>39</v>
      </c>
      <c r="L25" s="8" t="s">
        <v>694</v>
      </c>
      <c r="M25" s="11" t="s">
        <v>697</v>
      </c>
      <c r="N25" s="11"/>
      <c r="O25" s="8" t="s">
        <v>1091</v>
      </c>
      <c r="P25" s="8" t="s">
        <v>1015</v>
      </c>
      <c r="Q25" s="1">
        <v>4.1000000000000002E-2</v>
      </c>
      <c r="R25" s="14">
        <v>205</v>
      </c>
      <c r="S25" s="8" t="s">
        <v>559</v>
      </c>
      <c r="T25" s="1">
        <v>2.0399999999999998E-2</v>
      </c>
      <c r="U25" s="1">
        <f t="shared" si="0"/>
        <v>101.99999999999999</v>
      </c>
      <c r="V25" s="1" t="s">
        <v>1120</v>
      </c>
      <c r="W25" s="1"/>
      <c r="X25" s="1">
        <v>103.85</v>
      </c>
      <c r="Y25" s="1" t="s">
        <v>1120</v>
      </c>
      <c r="Z25" s="1">
        <v>5000</v>
      </c>
    </row>
    <row r="26" spans="1:26" x14ac:dyDescent="0.25">
      <c r="A26" s="10" t="s">
        <v>412</v>
      </c>
      <c r="B26" s="8" t="s">
        <v>774</v>
      </c>
      <c r="C26" s="8" t="s">
        <v>884</v>
      </c>
      <c r="D26" s="1" t="s">
        <v>1104</v>
      </c>
      <c r="E26" s="8" t="s">
        <v>888</v>
      </c>
      <c r="F26" s="8" t="s">
        <v>413</v>
      </c>
      <c r="G26" s="8">
        <v>4000</v>
      </c>
      <c r="H26" s="8" t="s">
        <v>1149</v>
      </c>
      <c r="I26" s="8" t="s">
        <v>106</v>
      </c>
      <c r="J26" s="8">
        <v>1283</v>
      </c>
      <c r="K26" s="8">
        <v>39</v>
      </c>
      <c r="L26" s="8" t="s">
        <v>695</v>
      </c>
      <c r="M26" s="11" t="s">
        <v>1295</v>
      </c>
      <c r="N26" s="11"/>
      <c r="O26" s="1"/>
      <c r="P26" s="8" t="s">
        <v>998</v>
      </c>
      <c r="Q26" s="1">
        <v>6.0999999999999999E-2</v>
      </c>
      <c r="R26" s="14">
        <v>244</v>
      </c>
      <c r="S26" s="8" t="s">
        <v>629</v>
      </c>
      <c r="T26" s="1">
        <v>2.955E-2</v>
      </c>
      <c r="U26" s="1">
        <f t="shared" si="0"/>
        <v>118.2</v>
      </c>
      <c r="V26" s="1" t="str">
        <f>IF(U26&lt;R26,"LCSC","Digikey")</f>
        <v>LCSC</v>
      </c>
      <c r="W26" s="1">
        <f>IF(V26="LCSC",U26,R26)</f>
        <v>118.2</v>
      </c>
      <c r="X26" s="1"/>
      <c r="Y26" s="1"/>
      <c r="Z26" s="1"/>
    </row>
    <row r="27" spans="1:26" x14ac:dyDescent="0.25">
      <c r="A27" s="8" t="s">
        <v>66</v>
      </c>
      <c r="B27" s="8" t="s">
        <v>733</v>
      </c>
      <c r="C27" s="8" t="s">
        <v>884</v>
      </c>
      <c r="D27" s="1" t="s">
        <v>1105</v>
      </c>
      <c r="E27" s="8" t="s">
        <v>905</v>
      </c>
      <c r="F27" s="8" t="s">
        <v>357</v>
      </c>
      <c r="G27" s="8">
        <v>3000</v>
      </c>
      <c r="H27" s="8" t="s">
        <v>1213</v>
      </c>
      <c r="I27" s="8" t="s">
        <v>175</v>
      </c>
      <c r="J27" s="8">
        <v>3516</v>
      </c>
      <c r="K27" s="8">
        <v>38</v>
      </c>
      <c r="L27" s="8" t="s">
        <v>694</v>
      </c>
      <c r="M27" s="11" t="s">
        <v>1298</v>
      </c>
      <c r="N27" s="11">
        <v>6000</v>
      </c>
      <c r="O27" s="1"/>
      <c r="P27" s="8" t="s">
        <v>1027</v>
      </c>
      <c r="Q27" s="1">
        <v>6.8000000000000005E-2</v>
      </c>
      <c r="R27" s="14">
        <v>204</v>
      </c>
      <c r="S27" s="8" t="s">
        <v>582</v>
      </c>
      <c r="T27" s="1">
        <v>2.3399999999999997E-2</v>
      </c>
      <c r="U27" s="1">
        <f t="shared" si="0"/>
        <v>70.199999999999989</v>
      </c>
      <c r="V27" s="1"/>
      <c r="W27" s="1"/>
      <c r="X27" s="1"/>
      <c r="Y27" s="1"/>
      <c r="Z27" s="1"/>
    </row>
    <row r="28" spans="1:26" x14ac:dyDescent="0.25">
      <c r="A28" s="8" t="s">
        <v>81</v>
      </c>
      <c r="B28" s="8" t="s">
        <v>772</v>
      </c>
      <c r="C28" s="8" t="s">
        <v>884</v>
      </c>
      <c r="D28" s="1" t="s">
        <v>1103</v>
      </c>
      <c r="E28" s="8" t="s">
        <v>897</v>
      </c>
      <c r="F28" s="8" t="s">
        <v>317</v>
      </c>
      <c r="G28" s="8">
        <v>5000</v>
      </c>
      <c r="H28" s="8" t="s">
        <v>198</v>
      </c>
      <c r="I28" s="8" t="s">
        <v>175</v>
      </c>
      <c r="J28" s="8">
        <v>1360</v>
      </c>
      <c r="K28" s="8">
        <v>36</v>
      </c>
      <c r="L28" s="8" t="s">
        <v>694</v>
      </c>
      <c r="M28" s="11" t="s">
        <v>697</v>
      </c>
      <c r="N28" s="11"/>
      <c r="O28" s="1"/>
      <c r="P28" s="8" t="s">
        <v>1016</v>
      </c>
      <c r="Q28" s="1">
        <v>0.114</v>
      </c>
      <c r="R28" s="14">
        <v>570</v>
      </c>
      <c r="S28" s="8" t="s">
        <v>555</v>
      </c>
      <c r="T28" s="1">
        <v>5.2650000000000002E-2</v>
      </c>
      <c r="U28" s="1">
        <f t="shared" si="0"/>
        <v>263.25</v>
      </c>
      <c r="V28" s="1"/>
      <c r="W28" s="1"/>
      <c r="X28" s="1"/>
      <c r="Y28" s="1"/>
      <c r="Z28" s="1"/>
    </row>
    <row r="29" spans="1:26" x14ac:dyDescent="0.25">
      <c r="A29" s="8" t="s">
        <v>77</v>
      </c>
      <c r="B29" s="8" t="s">
        <v>730</v>
      </c>
      <c r="C29" s="8" t="s">
        <v>884</v>
      </c>
      <c r="D29" s="1" t="s">
        <v>1102</v>
      </c>
      <c r="E29" s="8" t="s">
        <v>892</v>
      </c>
      <c r="F29" s="8" t="s">
        <v>253</v>
      </c>
      <c r="G29" s="8">
        <v>4000</v>
      </c>
      <c r="H29" s="8" t="s">
        <v>1214</v>
      </c>
      <c r="I29" s="8" t="s">
        <v>194</v>
      </c>
      <c r="J29" s="8">
        <v>3817</v>
      </c>
      <c r="K29" s="8">
        <v>36</v>
      </c>
      <c r="L29" s="8" t="s">
        <v>694</v>
      </c>
      <c r="M29" s="11" t="s">
        <v>697</v>
      </c>
      <c r="N29" s="11"/>
      <c r="O29" s="1"/>
      <c r="P29" s="8" t="s">
        <v>1070</v>
      </c>
      <c r="Q29" s="1">
        <v>3.3000000000000002E-2</v>
      </c>
      <c r="R29" s="14">
        <v>132</v>
      </c>
      <c r="S29" s="8" t="s">
        <v>515</v>
      </c>
      <c r="T29" s="1">
        <v>3.5999999999999999E-3</v>
      </c>
      <c r="U29" s="1">
        <f t="shared" si="0"/>
        <v>14.4</v>
      </c>
      <c r="V29" s="1"/>
      <c r="W29" s="1"/>
      <c r="X29" s="1"/>
      <c r="Y29" s="1"/>
      <c r="Z29" s="1"/>
    </row>
    <row r="30" spans="1:26" x14ac:dyDescent="0.25">
      <c r="A30" s="10" t="s">
        <v>414</v>
      </c>
      <c r="B30" s="8" t="s">
        <v>798</v>
      </c>
      <c r="C30" s="8" t="s">
        <v>884</v>
      </c>
      <c r="D30" s="1" t="s">
        <v>1102</v>
      </c>
      <c r="E30" s="8" t="s">
        <v>894</v>
      </c>
      <c r="F30" s="8" t="s">
        <v>415</v>
      </c>
      <c r="G30" s="8">
        <v>5000</v>
      </c>
      <c r="H30" s="8" t="s">
        <v>1127</v>
      </c>
      <c r="I30" s="8" t="s">
        <v>106</v>
      </c>
      <c r="J30" s="8">
        <v>704</v>
      </c>
      <c r="K30" s="8">
        <v>35</v>
      </c>
      <c r="L30" s="8" t="s">
        <v>695</v>
      </c>
      <c r="M30" s="11" t="s">
        <v>1298</v>
      </c>
      <c r="N30" s="11">
        <v>5000</v>
      </c>
      <c r="O30" s="1"/>
      <c r="P30" s="8" t="s">
        <v>908</v>
      </c>
      <c r="Q30" s="1">
        <v>6.3E-3</v>
      </c>
      <c r="R30" s="14">
        <v>31.5</v>
      </c>
      <c r="S30" s="8" t="s">
        <v>630</v>
      </c>
      <c r="T30" s="1">
        <v>1.0499999999999999E-3</v>
      </c>
      <c r="U30" s="1">
        <f t="shared" si="0"/>
        <v>5.25</v>
      </c>
      <c r="V30" s="1"/>
      <c r="W30" s="1"/>
      <c r="X30" s="1"/>
      <c r="Y30" s="1"/>
      <c r="Z30" s="1"/>
    </row>
    <row r="31" spans="1:26" x14ac:dyDescent="0.25">
      <c r="A31" s="10" t="s">
        <v>324</v>
      </c>
      <c r="B31" s="8" t="s">
        <v>740</v>
      </c>
      <c r="C31" s="8" t="s">
        <v>884</v>
      </c>
      <c r="D31" s="1" t="s">
        <v>1105</v>
      </c>
      <c r="E31" s="8" t="s">
        <v>891</v>
      </c>
      <c r="F31" s="8" t="s">
        <v>325</v>
      </c>
      <c r="G31" s="8">
        <v>3000</v>
      </c>
      <c r="H31" s="8" t="s">
        <v>1198</v>
      </c>
      <c r="I31" s="8" t="s">
        <v>173</v>
      </c>
      <c r="J31" s="8">
        <v>2460</v>
      </c>
      <c r="K31" s="8">
        <v>35</v>
      </c>
      <c r="L31" s="8" t="s">
        <v>695</v>
      </c>
      <c r="M31" s="11" t="s">
        <v>1298</v>
      </c>
      <c r="N31" s="11">
        <v>3000</v>
      </c>
      <c r="O31" s="1"/>
      <c r="P31" s="8" t="s">
        <v>1031</v>
      </c>
      <c r="Q31" s="1">
        <v>2.3E-2</v>
      </c>
      <c r="R31" s="14">
        <v>69</v>
      </c>
      <c r="S31" s="8" t="s">
        <v>561</v>
      </c>
      <c r="T31" s="1">
        <v>2.3549999999999998E-2</v>
      </c>
      <c r="U31" s="1">
        <f t="shared" si="0"/>
        <v>70.649999999999991</v>
      </c>
      <c r="V31" s="1"/>
      <c r="W31" s="1"/>
      <c r="X31" s="1"/>
      <c r="Y31" s="1"/>
      <c r="Z31" s="1"/>
    </row>
    <row r="32" spans="1:26" x14ac:dyDescent="0.25">
      <c r="A32" s="8" t="s">
        <v>89</v>
      </c>
      <c r="B32" s="8" t="s">
        <v>734</v>
      </c>
      <c r="C32" s="8" t="s">
        <v>884</v>
      </c>
      <c r="D32" s="1" t="s">
        <v>1105</v>
      </c>
      <c r="E32" s="8" t="s">
        <v>886</v>
      </c>
      <c r="F32" s="8" t="s">
        <v>359</v>
      </c>
      <c r="G32" s="8">
        <v>3000</v>
      </c>
      <c r="H32" s="8" t="s">
        <v>210</v>
      </c>
      <c r="I32" s="8" t="s">
        <v>209</v>
      </c>
      <c r="J32" s="8">
        <v>3422</v>
      </c>
      <c r="K32" s="8">
        <v>34</v>
      </c>
      <c r="L32" s="8" t="s">
        <v>694</v>
      </c>
      <c r="M32" s="11" t="s">
        <v>697</v>
      </c>
      <c r="N32" s="11"/>
      <c r="O32" s="1"/>
      <c r="P32" s="8" t="s">
        <v>1083</v>
      </c>
      <c r="Q32" s="1">
        <v>0.11784</v>
      </c>
      <c r="R32" s="14">
        <v>353.52</v>
      </c>
      <c r="S32" s="8" t="s">
        <v>584</v>
      </c>
      <c r="T32" s="1">
        <v>1.0500000000000001E-2</v>
      </c>
      <c r="U32" s="1">
        <f t="shared" si="0"/>
        <v>31.500000000000004</v>
      </c>
      <c r="V32" s="5"/>
      <c r="W32" s="5"/>
      <c r="X32" s="5"/>
      <c r="Y32" s="5"/>
      <c r="Z32" s="5"/>
    </row>
    <row r="33" spans="1:26" x14ac:dyDescent="0.25">
      <c r="A33" s="4" t="s">
        <v>693</v>
      </c>
      <c r="B33" s="8" t="s">
        <v>806</v>
      </c>
      <c r="C33" s="8" t="s">
        <v>884</v>
      </c>
      <c r="D33" s="1" t="s">
        <v>1105</v>
      </c>
      <c r="E33" s="8" t="s">
        <v>896</v>
      </c>
      <c r="F33" s="11" t="s">
        <v>701</v>
      </c>
      <c r="G33" s="11">
        <v>3000</v>
      </c>
      <c r="H33" s="8" t="s">
        <v>1199</v>
      </c>
      <c r="I33" s="8" t="s">
        <v>1163</v>
      </c>
      <c r="J33" s="12">
        <v>582</v>
      </c>
      <c r="K33" s="8">
        <v>32</v>
      </c>
      <c r="L33" s="11" t="s">
        <v>695</v>
      </c>
      <c r="M33" s="11" t="s">
        <v>1300</v>
      </c>
      <c r="N33" s="11">
        <v>1000</v>
      </c>
      <c r="O33" s="1"/>
      <c r="P33" s="8" t="s">
        <v>1037</v>
      </c>
      <c r="Q33" s="1">
        <v>1.7490000000000001</v>
      </c>
      <c r="R33" s="14">
        <v>5247</v>
      </c>
      <c r="S33" s="11"/>
      <c r="T33" s="1"/>
      <c r="U33" s="1"/>
      <c r="V33" s="1"/>
      <c r="W33" s="1"/>
      <c r="X33" s="1"/>
      <c r="Y33" s="1"/>
      <c r="Z33" s="1"/>
    </row>
    <row r="34" spans="1:26" x14ac:dyDescent="0.25">
      <c r="A34" s="8" t="s">
        <v>6</v>
      </c>
      <c r="B34" s="8" t="s">
        <v>752</v>
      </c>
      <c r="C34" s="8" t="s">
        <v>884</v>
      </c>
      <c r="D34" s="1" t="s">
        <v>1102</v>
      </c>
      <c r="E34" s="8" t="s">
        <v>894</v>
      </c>
      <c r="F34" s="8" t="s">
        <v>400</v>
      </c>
      <c r="G34" s="8">
        <v>5000</v>
      </c>
      <c r="H34" s="8" t="s">
        <v>113</v>
      </c>
      <c r="I34" s="8" t="s">
        <v>106</v>
      </c>
      <c r="J34" s="8">
        <v>1977</v>
      </c>
      <c r="K34" s="8">
        <v>32</v>
      </c>
      <c r="L34" s="8" t="s">
        <v>694</v>
      </c>
      <c r="M34" s="11" t="s">
        <v>697</v>
      </c>
      <c r="N34" s="11"/>
      <c r="O34" s="1"/>
      <c r="P34" s="8" t="s">
        <v>946</v>
      </c>
      <c r="Q34" s="1">
        <v>4.7000000000000002E-3</v>
      </c>
      <c r="R34" s="14">
        <v>23.5</v>
      </c>
      <c r="S34" s="8" t="s">
        <v>617</v>
      </c>
      <c r="T34" s="1">
        <v>1.2000000000000001E-3</v>
      </c>
      <c r="U34" s="1">
        <f t="shared" ref="U34:U40" si="1">T34*G34</f>
        <v>6.0000000000000009</v>
      </c>
      <c r="V34" s="1"/>
      <c r="W34" s="1"/>
      <c r="X34" s="1"/>
      <c r="Y34" s="1"/>
      <c r="Z34" s="1"/>
    </row>
    <row r="35" spans="1:26" x14ac:dyDescent="0.25">
      <c r="A35" s="8" t="s">
        <v>9</v>
      </c>
      <c r="B35" s="8" t="s">
        <v>759</v>
      </c>
      <c r="C35" s="8" t="s">
        <v>884</v>
      </c>
      <c r="D35" s="1" t="s">
        <v>1103</v>
      </c>
      <c r="E35" s="8" t="s">
        <v>897</v>
      </c>
      <c r="F35" s="8" t="s">
        <v>316</v>
      </c>
      <c r="G35" s="8">
        <v>5000</v>
      </c>
      <c r="H35" s="8" t="s">
        <v>120</v>
      </c>
      <c r="I35" s="8" t="s">
        <v>119</v>
      </c>
      <c r="J35" s="8">
        <v>1629</v>
      </c>
      <c r="K35" s="8">
        <v>32</v>
      </c>
      <c r="L35" s="8" t="s">
        <v>694</v>
      </c>
      <c r="M35" s="11" t="s">
        <v>697</v>
      </c>
      <c r="N35" s="11"/>
      <c r="O35" s="1"/>
      <c r="P35" s="8" t="s">
        <v>1011</v>
      </c>
      <c r="Q35" s="1">
        <v>3.2000000000000001E-2</v>
      </c>
      <c r="R35" s="14">
        <v>160</v>
      </c>
      <c r="S35" s="8" t="s">
        <v>554</v>
      </c>
      <c r="T35" s="1">
        <v>2.9700000000000004E-2</v>
      </c>
      <c r="U35" s="1">
        <f t="shared" si="1"/>
        <v>148.50000000000003</v>
      </c>
      <c r="V35" s="1"/>
      <c r="W35" s="1"/>
      <c r="X35" s="1"/>
      <c r="Y35" s="1"/>
      <c r="Z35" s="1"/>
    </row>
    <row r="36" spans="1:26" x14ac:dyDescent="0.25">
      <c r="A36" s="8" t="s">
        <v>57</v>
      </c>
      <c r="B36" s="8" t="s">
        <v>768</v>
      </c>
      <c r="C36" s="8" t="s">
        <v>884</v>
      </c>
      <c r="D36" s="1" t="s">
        <v>1102</v>
      </c>
      <c r="E36" s="8" t="s">
        <v>894</v>
      </c>
      <c r="F36" s="8" t="s">
        <v>314</v>
      </c>
      <c r="G36" s="8">
        <v>4000</v>
      </c>
      <c r="H36" s="8" t="s">
        <v>169</v>
      </c>
      <c r="I36" s="8" t="s">
        <v>108</v>
      </c>
      <c r="J36" s="8">
        <v>1414</v>
      </c>
      <c r="K36" s="8">
        <v>32</v>
      </c>
      <c r="L36" s="8" t="s">
        <v>694</v>
      </c>
      <c r="M36" s="11" t="s">
        <v>697</v>
      </c>
      <c r="N36" s="11"/>
      <c r="O36" s="1"/>
      <c r="P36" s="8" t="s">
        <v>1055</v>
      </c>
      <c r="Q36" s="1">
        <v>6.4999999999999997E-3</v>
      </c>
      <c r="R36" s="14">
        <v>26</v>
      </c>
      <c r="S36" s="8" t="s">
        <v>552</v>
      </c>
      <c r="T36" s="1">
        <v>3.15E-3</v>
      </c>
      <c r="U36" s="1">
        <f t="shared" si="1"/>
        <v>12.6</v>
      </c>
      <c r="V36" s="1"/>
      <c r="W36" s="1"/>
      <c r="X36" s="1"/>
      <c r="Y36" s="1"/>
      <c r="Z36" s="1"/>
    </row>
    <row r="37" spans="1:26" x14ac:dyDescent="0.25">
      <c r="A37" s="8" t="s">
        <v>59</v>
      </c>
      <c r="B37" s="8" t="s">
        <v>732</v>
      </c>
      <c r="C37" s="8" t="s">
        <v>884</v>
      </c>
      <c r="D37" s="1" t="s">
        <v>1103</v>
      </c>
      <c r="E37" s="8" t="s">
        <v>889</v>
      </c>
      <c r="F37" s="8" t="s">
        <v>401</v>
      </c>
      <c r="G37" s="8">
        <v>4000</v>
      </c>
      <c r="H37" s="8" t="s">
        <v>172</v>
      </c>
      <c r="I37" s="8" t="s">
        <v>106</v>
      </c>
      <c r="J37" s="8">
        <v>3662</v>
      </c>
      <c r="K37" s="8">
        <v>31</v>
      </c>
      <c r="L37" s="8" t="s">
        <v>694</v>
      </c>
      <c r="M37" s="11" t="s">
        <v>697</v>
      </c>
      <c r="N37" s="11"/>
      <c r="O37" s="1"/>
      <c r="P37" s="8" t="s">
        <v>995</v>
      </c>
      <c r="Q37" s="1">
        <v>4.3999999999999997E-2</v>
      </c>
      <c r="R37" s="14">
        <v>176</v>
      </c>
      <c r="S37" s="8" t="s">
        <v>618</v>
      </c>
      <c r="T37" s="1">
        <v>1.38E-2</v>
      </c>
      <c r="U37" s="1">
        <f t="shared" si="1"/>
        <v>55.199999999999996</v>
      </c>
      <c r="V37" s="1"/>
      <c r="W37" s="1"/>
      <c r="X37" s="1"/>
      <c r="Y37" s="1"/>
      <c r="Z37" s="1"/>
    </row>
    <row r="38" spans="1:26" x14ac:dyDescent="0.25">
      <c r="A38" s="10" t="s">
        <v>360</v>
      </c>
      <c r="B38" s="8" t="s">
        <v>849</v>
      </c>
      <c r="C38" s="8" t="s">
        <v>884</v>
      </c>
      <c r="D38" s="1" t="s">
        <v>1105</v>
      </c>
      <c r="E38" s="8" t="s">
        <v>900</v>
      </c>
      <c r="F38" s="8" t="s">
        <v>361</v>
      </c>
      <c r="G38" s="8">
        <v>3000</v>
      </c>
      <c r="H38" s="8" t="s">
        <v>1203</v>
      </c>
      <c r="I38" s="8" t="s">
        <v>1163</v>
      </c>
      <c r="J38" s="8">
        <v>199</v>
      </c>
      <c r="K38" s="8">
        <v>29</v>
      </c>
      <c r="L38" s="8" t="s">
        <v>695</v>
      </c>
      <c r="M38" s="11" t="s">
        <v>1300</v>
      </c>
      <c r="N38" s="11">
        <v>1000</v>
      </c>
      <c r="O38" s="1"/>
      <c r="P38" s="8" t="s">
        <v>1041</v>
      </c>
      <c r="Q38" s="1">
        <v>1.728</v>
      </c>
      <c r="R38" s="14">
        <v>5184</v>
      </c>
      <c r="S38" s="8" t="s">
        <v>585</v>
      </c>
      <c r="T38" s="1">
        <v>1.7336999999999998</v>
      </c>
      <c r="U38" s="1">
        <f t="shared" si="1"/>
        <v>5201.0999999999995</v>
      </c>
      <c r="V38" s="1"/>
      <c r="W38" s="1"/>
      <c r="X38" s="1"/>
      <c r="Y38" s="1"/>
      <c r="Z38" s="1"/>
    </row>
    <row r="39" spans="1:26" x14ac:dyDescent="0.25">
      <c r="A39" s="10" t="s">
        <v>366</v>
      </c>
      <c r="B39" s="8" t="s">
        <v>795</v>
      </c>
      <c r="C39" s="8" t="s">
        <v>884</v>
      </c>
      <c r="D39" s="1" t="s">
        <v>1105</v>
      </c>
      <c r="E39" s="8" t="s">
        <v>892</v>
      </c>
      <c r="F39" s="8" t="s">
        <v>367</v>
      </c>
      <c r="G39" s="8">
        <v>4000</v>
      </c>
      <c r="H39" s="8" t="s">
        <v>1166</v>
      </c>
      <c r="I39" s="8" t="s">
        <v>209</v>
      </c>
      <c r="J39" s="8">
        <v>746</v>
      </c>
      <c r="K39" s="8">
        <v>29</v>
      </c>
      <c r="L39" s="8" t="s">
        <v>695</v>
      </c>
      <c r="M39" s="11" t="s">
        <v>1295</v>
      </c>
      <c r="N39" s="11"/>
      <c r="O39" s="1"/>
      <c r="P39" s="8" t="s">
        <v>1059</v>
      </c>
      <c r="Q39" s="1">
        <v>7.5600000000000001E-2</v>
      </c>
      <c r="R39" s="14">
        <v>302.39999999999998</v>
      </c>
      <c r="S39" s="8" t="s">
        <v>588</v>
      </c>
      <c r="T39" s="1">
        <v>0.19380000000000003</v>
      </c>
      <c r="U39" s="1">
        <f t="shared" si="1"/>
        <v>775.20000000000016</v>
      </c>
      <c r="V39" s="1" t="str">
        <f>IF(U39&lt;R39,"LCSC","Digikey")</f>
        <v>Digikey</v>
      </c>
      <c r="W39" s="1">
        <f>IF(V39="LCSC",U39,R39)</f>
        <v>302.39999999999998</v>
      </c>
      <c r="X39" s="1"/>
      <c r="Y39" s="1"/>
      <c r="Z39" s="1"/>
    </row>
    <row r="40" spans="1:26" x14ac:dyDescent="0.25">
      <c r="A40" s="8" t="s">
        <v>5</v>
      </c>
      <c r="B40" s="8" t="s">
        <v>711</v>
      </c>
      <c r="C40" s="8" t="s">
        <v>884</v>
      </c>
      <c r="D40" s="1" t="s">
        <v>1102</v>
      </c>
      <c r="E40" s="8" t="s">
        <v>894</v>
      </c>
      <c r="F40" s="8" t="s">
        <v>389</v>
      </c>
      <c r="G40" s="8">
        <v>5000</v>
      </c>
      <c r="H40" s="8" t="s">
        <v>112</v>
      </c>
      <c r="I40" s="8" t="s">
        <v>106</v>
      </c>
      <c r="J40" s="8">
        <v>10493</v>
      </c>
      <c r="K40" s="8">
        <v>29</v>
      </c>
      <c r="L40" s="8" t="s">
        <v>694</v>
      </c>
      <c r="M40" s="11" t="s">
        <v>697</v>
      </c>
      <c r="N40" s="11"/>
      <c r="O40" s="1"/>
      <c r="P40" s="8" t="s">
        <v>940</v>
      </c>
      <c r="Q40" s="1">
        <v>4.7000000000000002E-3</v>
      </c>
      <c r="R40" s="14">
        <v>23.5</v>
      </c>
      <c r="S40" s="8" t="s">
        <v>606</v>
      </c>
      <c r="T40" s="1">
        <v>8.9999999999999998E-4</v>
      </c>
      <c r="U40" s="1">
        <f t="shared" si="1"/>
        <v>4.5</v>
      </c>
      <c r="V40" s="1"/>
      <c r="W40" s="1"/>
      <c r="X40" s="1"/>
      <c r="Y40" s="1"/>
      <c r="Z40" s="1"/>
    </row>
    <row r="41" spans="1:26" x14ac:dyDescent="0.25">
      <c r="A41" s="10" t="s">
        <v>368</v>
      </c>
      <c r="B41" s="8" t="s">
        <v>796</v>
      </c>
      <c r="C41" s="8" t="s">
        <v>884</v>
      </c>
      <c r="D41" s="1" t="s">
        <v>1105</v>
      </c>
      <c r="E41" s="8" t="s">
        <v>886</v>
      </c>
      <c r="F41" s="8" t="s">
        <v>369</v>
      </c>
      <c r="G41" s="8">
        <v>3000</v>
      </c>
      <c r="H41" s="8" t="s">
        <v>1184</v>
      </c>
      <c r="I41" s="8" t="s">
        <v>209</v>
      </c>
      <c r="J41" s="8">
        <v>741</v>
      </c>
      <c r="K41" s="8">
        <v>28</v>
      </c>
      <c r="L41" s="8" t="s">
        <v>695</v>
      </c>
      <c r="M41" s="11" t="s">
        <v>1295</v>
      </c>
      <c r="N41" s="11"/>
      <c r="O41" s="1"/>
      <c r="P41" s="8" t="s">
        <v>1078</v>
      </c>
      <c r="Q41" s="1">
        <v>0.107</v>
      </c>
      <c r="R41" s="14">
        <v>321</v>
      </c>
      <c r="S41" s="8"/>
      <c r="T41" s="1"/>
      <c r="U41" s="1"/>
      <c r="V41" s="1" t="s">
        <v>511</v>
      </c>
      <c r="W41" s="1">
        <f>IF(V41="LCSC",U41,R41)</f>
        <v>321</v>
      </c>
      <c r="X41" s="1"/>
      <c r="Y41" s="1"/>
      <c r="Z41" s="1"/>
    </row>
    <row r="42" spans="1:26" x14ac:dyDescent="0.25">
      <c r="A42" s="10" t="s">
        <v>256</v>
      </c>
      <c r="B42" s="8" t="s">
        <v>781</v>
      </c>
      <c r="C42" s="8" t="s">
        <v>884</v>
      </c>
      <c r="D42" s="1" t="s">
        <v>1102</v>
      </c>
      <c r="E42" s="8" t="s">
        <v>892</v>
      </c>
      <c r="F42" s="8" t="s">
        <v>257</v>
      </c>
      <c r="G42" s="8">
        <v>4000</v>
      </c>
      <c r="H42" s="8" t="s">
        <v>1165</v>
      </c>
      <c r="I42" s="8" t="s">
        <v>194</v>
      </c>
      <c r="J42" s="8">
        <v>1073</v>
      </c>
      <c r="K42" s="8">
        <v>28</v>
      </c>
      <c r="L42" s="8" t="s">
        <v>695</v>
      </c>
      <c r="M42" s="11" t="s">
        <v>1295</v>
      </c>
      <c r="N42" s="11"/>
      <c r="O42" s="1"/>
      <c r="P42" s="8" t="s">
        <v>1058</v>
      </c>
      <c r="Q42" s="1">
        <v>2.1000000000000001E-2</v>
      </c>
      <c r="R42" s="14">
        <v>84</v>
      </c>
      <c r="S42" s="8" t="s">
        <v>518</v>
      </c>
      <c r="T42" s="1">
        <v>6.150000000000001E-3</v>
      </c>
      <c r="U42" s="1">
        <f t="shared" ref="U42:U73" si="2">T42*G42</f>
        <v>24.600000000000005</v>
      </c>
      <c r="V42" s="1" t="str">
        <f>IF(U42&lt;R42,"LCSC","Digikey")</f>
        <v>LCSC</v>
      </c>
      <c r="W42" s="1">
        <f>IF(V42="LCSC",U42,R42)</f>
        <v>24.600000000000005</v>
      </c>
      <c r="X42" s="1"/>
      <c r="Y42" s="1"/>
      <c r="Z42" s="1"/>
    </row>
    <row r="43" spans="1:26" x14ac:dyDescent="0.25">
      <c r="A43" s="8" t="s">
        <v>24</v>
      </c>
      <c r="B43" s="8" t="s">
        <v>776</v>
      </c>
      <c r="C43" s="8" t="s">
        <v>884</v>
      </c>
      <c r="D43" s="1" t="s">
        <v>1102</v>
      </c>
      <c r="E43" s="8" t="s">
        <v>894</v>
      </c>
      <c r="F43" s="8" t="s">
        <v>378</v>
      </c>
      <c r="G43" s="8">
        <v>5000</v>
      </c>
      <c r="H43" s="8" t="s">
        <v>135</v>
      </c>
      <c r="I43" s="8" t="s">
        <v>106</v>
      </c>
      <c r="J43" s="8">
        <v>1235</v>
      </c>
      <c r="K43" s="8">
        <v>27</v>
      </c>
      <c r="L43" s="8" t="s">
        <v>694</v>
      </c>
      <c r="M43" s="11" t="s">
        <v>697</v>
      </c>
      <c r="N43" s="11"/>
      <c r="O43" s="1"/>
      <c r="P43" s="8" t="s">
        <v>952</v>
      </c>
      <c r="Q43" s="1">
        <v>4.7000000000000002E-3</v>
      </c>
      <c r="R43" s="14">
        <v>23.5</v>
      </c>
      <c r="S43" s="8" t="s">
        <v>595</v>
      </c>
      <c r="T43" s="1">
        <v>1.0499999999999999E-3</v>
      </c>
      <c r="U43" s="1">
        <f t="shared" si="2"/>
        <v>5.25</v>
      </c>
      <c r="V43" s="1"/>
      <c r="W43" s="1"/>
      <c r="X43" s="1"/>
      <c r="Y43" s="1"/>
      <c r="Z43" s="1"/>
    </row>
    <row r="44" spans="1:26" x14ac:dyDescent="0.25">
      <c r="A44" s="8" t="s">
        <v>15</v>
      </c>
      <c r="B44" s="8" t="s">
        <v>780</v>
      </c>
      <c r="C44" s="8" t="s">
        <v>884</v>
      </c>
      <c r="D44" s="1" t="s">
        <v>1102</v>
      </c>
      <c r="E44" s="8" t="s">
        <v>894</v>
      </c>
      <c r="F44" s="8" t="s">
        <v>474</v>
      </c>
      <c r="G44" s="8">
        <v>5000</v>
      </c>
      <c r="H44" s="8" t="s">
        <v>125</v>
      </c>
      <c r="I44" s="8" t="s">
        <v>106</v>
      </c>
      <c r="J44" s="8">
        <v>1105</v>
      </c>
      <c r="K44" s="8">
        <v>27</v>
      </c>
      <c r="L44" s="8" t="s">
        <v>694</v>
      </c>
      <c r="M44" s="11" t="s">
        <v>697</v>
      </c>
      <c r="N44" s="11"/>
      <c r="O44" s="1"/>
      <c r="P44" s="8" t="s">
        <v>954</v>
      </c>
      <c r="Q44" s="1">
        <v>4.7000000000000002E-3</v>
      </c>
      <c r="R44" s="14">
        <v>23.5</v>
      </c>
      <c r="S44" s="8" t="s">
        <v>661</v>
      </c>
      <c r="T44" s="1">
        <v>1.9499999999999999E-3</v>
      </c>
      <c r="U44" s="1">
        <f t="shared" si="2"/>
        <v>9.75</v>
      </c>
      <c r="V44" s="1"/>
      <c r="W44" s="1"/>
      <c r="X44" s="1"/>
      <c r="Y44" s="1"/>
      <c r="Z44" s="1"/>
    </row>
    <row r="45" spans="1:26" x14ac:dyDescent="0.25">
      <c r="A45" s="8" t="s">
        <v>10</v>
      </c>
      <c r="B45" s="8" t="s">
        <v>717</v>
      </c>
      <c r="C45" s="8" t="s">
        <v>884</v>
      </c>
      <c r="D45" s="1" t="s">
        <v>1103</v>
      </c>
      <c r="E45" s="8" t="s">
        <v>897</v>
      </c>
      <c r="F45" s="8" t="s">
        <v>332</v>
      </c>
      <c r="G45" s="8">
        <v>7500</v>
      </c>
      <c r="H45" s="8" t="s">
        <v>121</v>
      </c>
      <c r="I45" s="8" t="s">
        <v>183</v>
      </c>
      <c r="J45" s="8">
        <v>8993</v>
      </c>
      <c r="K45" s="8">
        <v>26</v>
      </c>
      <c r="L45" s="8" t="s">
        <v>694</v>
      </c>
      <c r="M45" s="11" t="s">
        <v>1298</v>
      </c>
      <c r="N45" s="11">
        <v>5000</v>
      </c>
      <c r="O45" s="1"/>
      <c r="P45" s="8" t="s">
        <v>1010</v>
      </c>
      <c r="Q45" s="1">
        <v>6.0999999999999999E-2</v>
      </c>
      <c r="R45" s="14">
        <v>457.5</v>
      </c>
      <c r="S45" s="8" t="s">
        <v>565</v>
      </c>
      <c r="T45" s="1">
        <v>3.2099999999999997E-2</v>
      </c>
      <c r="U45" s="1">
        <f t="shared" si="2"/>
        <v>240.74999999999997</v>
      </c>
      <c r="V45" s="1"/>
      <c r="W45" s="1"/>
      <c r="X45" s="1"/>
      <c r="Y45" s="1"/>
      <c r="Z45" s="1"/>
    </row>
    <row r="46" spans="1:26" x14ac:dyDescent="0.25">
      <c r="A46" s="8" t="s">
        <v>44</v>
      </c>
      <c r="B46" s="8" t="s">
        <v>721</v>
      </c>
      <c r="C46" s="8" t="s">
        <v>884</v>
      </c>
      <c r="D46" s="1" t="s">
        <v>1102</v>
      </c>
      <c r="E46" s="8" t="s">
        <v>894</v>
      </c>
      <c r="F46" s="8" t="s">
        <v>392</v>
      </c>
      <c r="G46" s="8">
        <v>5000</v>
      </c>
      <c r="H46" s="8" t="s">
        <v>155</v>
      </c>
      <c r="I46" s="8" t="s">
        <v>106</v>
      </c>
      <c r="J46" s="8">
        <v>7120</v>
      </c>
      <c r="K46" s="8">
        <v>26</v>
      </c>
      <c r="L46" s="8" t="s">
        <v>694</v>
      </c>
      <c r="M46" s="11" t="s">
        <v>697</v>
      </c>
      <c r="N46" s="11"/>
      <c r="O46" s="1"/>
      <c r="P46" s="8" t="s">
        <v>942</v>
      </c>
      <c r="Q46" s="1">
        <v>3.0999999999999999E-3</v>
      </c>
      <c r="R46" s="14">
        <v>15.5</v>
      </c>
      <c r="S46" s="8" t="s">
        <v>609</v>
      </c>
      <c r="T46" s="1">
        <v>1.0499999999999999E-3</v>
      </c>
      <c r="U46" s="1">
        <f t="shared" si="2"/>
        <v>5.25</v>
      </c>
      <c r="V46" s="1"/>
      <c r="W46" s="1"/>
      <c r="X46" s="1"/>
      <c r="Y46" s="1"/>
      <c r="Z46" s="1"/>
    </row>
    <row r="47" spans="1:26" x14ac:dyDescent="0.25">
      <c r="A47" s="8" t="s">
        <v>39</v>
      </c>
      <c r="B47" s="8" t="s">
        <v>764</v>
      </c>
      <c r="C47" s="8" t="s">
        <v>884</v>
      </c>
      <c r="D47" s="1" t="s">
        <v>1102</v>
      </c>
      <c r="E47" s="8" t="s">
        <v>894</v>
      </c>
      <c r="F47" s="8" t="s">
        <v>387</v>
      </c>
      <c r="G47" s="8">
        <v>5000</v>
      </c>
      <c r="H47" s="8" t="s">
        <v>150</v>
      </c>
      <c r="I47" s="8" t="s">
        <v>106</v>
      </c>
      <c r="J47" s="8">
        <v>1513</v>
      </c>
      <c r="K47" s="8">
        <v>26</v>
      </c>
      <c r="L47" s="8" t="s">
        <v>694</v>
      </c>
      <c r="M47" s="11" t="s">
        <v>697</v>
      </c>
      <c r="N47" s="11"/>
      <c r="O47" s="1"/>
      <c r="P47" s="8" t="s">
        <v>948</v>
      </c>
      <c r="Q47" s="1">
        <v>4.7000000000000002E-3</v>
      </c>
      <c r="R47" s="14">
        <v>23.5</v>
      </c>
      <c r="S47" s="8" t="s">
        <v>604</v>
      </c>
      <c r="T47" s="1">
        <v>1.0499999999999999E-3</v>
      </c>
      <c r="U47" s="1">
        <f t="shared" si="2"/>
        <v>5.25</v>
      </c>
      <c r="V47" s="1"/>
      <c r="W47" s="1"/>
      <c r="X47" s="1"/>
      <c r="Y47" s="1"/>
      <c r="Z47" s="1"/>
    </row>
    <row r="48" spans="1:26" x14ac:dyDescent="0.25">
      <c r="A48" s="10" t="s">
        <v>370</v>
      </c>
      <c r="B48" s="8" t="s">
        <v>773</v>
      </c>
      <c r="C48" s="8" t="s">
        <v>884</v>
      </c>
      <c r="D48" s="1" t="s">
        <v>1105</v>
      </c>
      <c r="E48" s="8" t="s">
        <v>894</v>
      </c>
      <c r="F48" s="8" t="s">
        <v>371</v>
      </c>
      <c r="G48" s="8">
        <v>4000</v>
      </c>
      <c r="H48" s="8" t="s">
        <v>1164</v>
      </c>
      <c r="I48" s="8" t="s">
        <v>114</v>
      </c>
      <c r="J48" s="8">
        <v>1323</v>
      </c>
      <c r="K48" s="8">
        <v>26</v>
      </c>
      <c r="L48" s="8" t="s">
        <v>695</v>
      </c>
      <c r="M48" s="18" t="s">
        <v>1296</v>
      </c>
      <c r="N48" s="11">
        <v>4000</v>
      </c>
      <c r="O48" s="1"/>
      <c r="P48" s="8" t="s">
        <v>1042</v>
      </c>
      <c r="Q48" s="1">
        <v>3.4000000000000002E-2</v>
      </c>
      <c r="R48" s="14">
        <v>136</v>
      </c>
      <c r="S48" s="8" t="s">
        <v>589</v>
      </c>
      <c r="T48" s="1">
        <v>6.45E-3</v>
      </c>
      <c r="U48" s="1">
        <f t="shared" si="2"/>
        <v>25.8</v>
      </c>
      <c r="V48" s="1" t="str">
        <f>IF(U48&lt;R48,"LCSC","Digikey")</f>
        <v>LCSC</v>
      </c>
      <c r="W48" s="1">
        <f>IF(V48="LCSC",U48,R48)</f>
        <v>25.8</v>
      </c>
      <c r="X48" s="1"/>
      <c r="Y48" s="1"/>
      <c r="Z48" s="1"/>
    </row>
    <row r="49" spans="1:26" x14ac:dyDescent="0.25">
      <c r="A49" s="10" t="s">
        <v>258</v>
      </c>
      <c r="B49" s="8" t="s">
        <v>748</v>
      </c>
      <c r="C49" s="8" t="s">
        <v>884</v>
      </c>
      <c r="D49" s="1" t="s">
        <v>1102</v>
      </c>
      <c r="E49" s="8" t="s">
        <v>892</v>
      </c>
      <c r="F49" s="8" t="s">
        <v>259</v>
      </c>
      <c r="G49" s="8">
        <v>4000</v>
      </c>
      <c r="H49" s="8" t="s">
        <v>1205</v>
      </c>
      <c r="I49" s="8" t="s">
        <v>106</v>
      </c>
      <c r="J49" s="8">
        <v>2092</v>
      </c>
      <c r="K49" s="8">
        <v>25</v>
      </c>
      <c r="L49" s="8" t="s">
        <v>695</v>
      </c>
      <c r="M49" s="11" t="s">
        <v>1298</v>
      </c>
      <c r="N49" s="11">
        <v>4000</v>
      </c>
      <c r="O49" s="1"/>
      <c r="P49" s="8" t="s">
        <v>1056</v>
      </c>
      <c r="Q49" s="1">
        <v>2.1999999999999999E-2</v>
      </c>
      <c r="R49" s="14">
        <v>88</v>
      </c>
      <c r="S49" s="8" t="s">
        <v>519</v>
      </c>
      <c r="T49" s="1">
        <v>6.7499999999999991E-3</v>
      </c>
      <c r="U49" s="1">
        <f t="shared" si="2"/>
        <v>26.999999999999996</v>
      </c>
      <c r="V49" s="1"/>
      <c r="W49" s="1"/>
      <c r="X49" s="1"/>
      <c r="Y49" s="1"/>
      <c r="Z49" s="1"/>
    </row>
    <row r="50" spans="1:26" x14ac:dyDescent="0.25">
      <c r="A50" s="10" t="s">
        <v>260</v>
      </c>
      <c r="B50" s="8" t="s">
        <v>736</v>
      </c>
      <c r="C50" s="8" t="s">
        <v>884</v>
      </c>
      <c r="D50" s="1" t="s">
        <v>1105</v>
      </c>
      <c r="E50" s="8" t="s">
        <v>886</v>
      </c>
      <c r="F50" s="8" t="s">
        <v>261</v>
      </c>
      <c r="G50" s="8">
        <v>2500</v>
      </c>
      <c r="H50" s="8" t="s">
        <v>1208</v>
      </c>
      <c r="I50" s="8" t="s">
        <v>194</v>
      </c>
      <c r="J50" s="8">
        <v>2625</v>
      </c>
      <c r="K50" s="8">
        <v>25</v>
      </c>
      <c r="L50" s="8" t="s">
        <v>695</v>
      </c>
      <c r="M50" s="11" t="s">
        <v>1298</v>
      </c>
      <c r="N50" s="11">
        <v>2000</v>
      </c>
      <c r="O50" s="1"/>
      <c r="P50" s="8" t="s">
        <v>1076</v>
      </c>
      <c r="Q50" s="1">
        <v>0.33500000000000002</v>
      </c>
      <c r="R50" s="14">
        <v>837.5</v>
      </c>
      <c r="S50" s="8" t="s">
        <v>520</v>
      </c>
      <c r="T50" s="1">
        <v>2.3700000000000002E-2</v>
      </c>
      <c r="U50" s="1">
        <f t="shared" si="2"/>
        <v>59.250000000000007</v>
      </c>
      <c r="V50" s="1"/>
      <c r="W50" s="1"/>
      <c r="X50" s="1"/>
      <c r="Y50" s="1"/>
      <c r="Z50" s="1"/>
    </row>
    <row r="51" spans="1:26" x14ac:dyDescent="0.25">
      <c r="A51" s="8" t="s">
        <v>84</v>
      </c>
      <c r="B51" s="8" t="s">
        <v>840</v>
      </c>
      <c r="C51" s="8" t="s">
        <v>884</v>
      </c>
      <c r="D51" s="1" t="s">
        <v>1105</v>
      </c>
      <c r="E51" s="8" t="s">
        <v>887</v>
      </c>
      <c r="F51" s="8" t="s">
        <v>319</v>
      </c>
      <c r="G51" s="8">
        <v>3000</v>
      </c>
      <c r="H51" s="8" t="s">
        <v>201</v>
      </c>
      <c r="I51" s="8" t="s">
        <v>119</v>
      </c>
      <c r="J51" s="8">
        <v>277</v>
      </c>
      <c r="K51" s="8">
        <v>25</v>
      </c>
      <c r="L51" s="8" t="s">
        <v>694</v>
      </c>
      <c r="M51" s="11" t="s">
        <v>697</v>
      </c>
      <c r="N51" s="11"/>
      <c r="O51" s="1"/>
      <c r="P51" s="8" t="s">
        <v>1024</v>
      </c>
      <c r="Q51" s="1">
        <v>6.0999999999999999E-2</v>
      </c>
      <c r="R51" s="14">
        <v>183</v>
      </c>
      <c r="S51" s="8" t="s">
        <v>557</v>
      </c>
      <c r="T51" s="1">
        <v>2.085E-2</v>
      </c>
      <c r="U51" s="1">
        <f t="shared" si="2"/>
        <v>62.550000000000004</v>
      </c>
      <c r="V51" s="1"/>
      <c r="W51" s="1"/>
      <c r="X51" s="1"/>
      <c r="Y51" s="1"/>
      <c r="Z51" s="1"/>
    </row>
    <row r="52" spans="1:26" x14ac:dyDescent="0.25">
      <c r="A52" s="10" t="s">
        <v>262</v>
      </c>
      <c r="B52" s="8" t="s">
        <v>866</v>
      </c>
      <c r="C52" s="8" t="s">
        <v>884</v>
      </c>
      <c r="D52" s="1" t="s">
        <v>1105</v>
      </c>
      <c r="E52" s="8" t="s">
        <v>893</v>
      </c>
      <c r="F52" s="8" t="s">
        <v>263</v>
      </c>
      <c r="G52" s="8">
        <v>2000</v>
      </c>
      <c r="H52" s="8" t="s">
        <v>1193</v>
      </c>
      <c r="I52" s="8" t="s">
        <v>190</v>
      </c>
      <c r="J52" s="8">
        <v>90</v>
      </c>
      <c r="K52" s="8">
        <v>25</v>
      </c>
      <c r="L52" s="8" t="s">
        <v>695</v>
      </c>
      <c r="M52" s="11" t="s">
        <v>1295</v>
      </c>
      <c r="N52" s="11"/>
      <c r="O52" s="1"/>
      <c r="P52" s="8" t="s">
        <v>1085</v>
      </c>
      <c r="Q52" s="1">
        <v>0.20699999999999999</v>
      </c>
      <c r="R52" s="14">
        <v>414</v>
      </c>
      <c r="S52" s="8" t="s">
        <v>521</v>
      </c>
      <c r="T52" s="1">
        <v>0.11580000000000001</v>
      </c>
      <c r="U52" s="1">
        <f t="shared" si="2"/>
        <v>231.60000000000002</v>
      </c>
      <c r="V52" s="1" t="str">
        <f>IF(U52&lt;R52,"LCSC","Digikey")</f>
        <v>LCSC</v>
      </c>
      <c r="W52" s="1">
        <f>IF(V52="LCSC",U52,R52)</f>
        <v>231.60000000000002</v>
      </c>
      <c r="X52" s="1"/>
      <c r="Y52" s="1"/>
      <c r="Z52" s="1"/>
    </row>
    <row r="53" spans="1:26" x14ac:dyDescent="0.25">
      <c r="A53" s="8" t="s">
        <v>92</v>
      </c>
      <c r="B53" s="8" t="s">
        <v>769</v>
      </c>
      <c r="C53" s="8" t="s">
        <v>884</v>
      </c>
      <c r="D53" s="1" t="s">
        <v>1102</v>
      </c>
      <c r="E53" s="8" t="s">
        <v>894</v>
      </c>
      <c r="F53" s="8" t="s">
        <v>403</v>
      </c>
      <c r="G53" s="8">
        <v>10000</v>
      </c>
      <c r="H53" s="8" t="s">
        <v>213</v>
      </c>
      <c r="I53" s="8" t="s">
        <v>106</v>
      </c>
      <c r="J53" s="8">
        <v>1408</v>
      </c>
      <c r="K53" s="8">
        <v>24</v>
      </c>
      <c r="L53" s="8" t="s">
        <v>694</v>
      </c>
      <c r="M53" s="11" t="s">
        <v>697</v>
      </c>
      <c r="N53" s="11"/>
      <c r="O53" s="1"/>
      <c r="P53" s="8" t="s">
        <v>950</v>
      </c>
      <c r="Q53" s="1">
        <v>3.0999999999999999E-3</v>
      </c>
      <c r="R53" s="14">
        <v>31</v>
      </c>
      <c r="S53" s="8" t="s">
        <v>620</v>
      </c>
      <c r="T53" s="1">
        <v>1.0499999999999999E-3</v>
      </c>
      <c r="U53" s="1">
        <f t="shared" si="2"/>
        <v>10.5</v>
      </c>
      <c r="V53" s="1"/>
      <c r="W53" s="1"/>
      <c r="X53" s="1"/>
      <c r="Y53" s="1"/>
      <c r="Z53" s="1"/>
    </row>
    <row r="54" spans="1:26" x14ac:dyDescent="0.25">
      <c r="A54" s="8" t="s">
        <v>32</v>
      </c>
      <c r="B54" s="8" t="s">
        <v>830</v>
      </c>
      <c r="C54" s="8" t="s">
        <v>884</v>
      </c>
      <c r="D54" s="1" t="s">
        <v>1102</v>
      </c>
      <c r="E54" s="8" t="s">
        <v>894</v>
      </c>
      <c r="F54" s="8" t="s">
        <v>384</v>
      </c>
      <c r="G54" s="8">
        <v>5000</v>
      </c>
      <c r="H54" s="8" t="s">
        <v>143</v>
      </c>
      <c r="I54" s="8" t="s">
        <v>106</v>
      </c>
      <c r="J54" s="8">
        <v>355</v>
      </c>
      <c r="K54" s="8">
        <v>24</v>
      </c>
      <c r="L54" s="8" t="s">
        <v>694</v>
      </c>
      <c r="M54" s="11" t="s">
        <v>697</v>
      </c>
      <c r="N54" s="11"/>
      <c r="O54" s="1"/>
      <c r="P54" s="8" t="s">
        <v>963</v>
      </c>
      <c r="Q54" s="1">
        <v>4.7000000000000002E-3</v>
      </c>
      <c r="R54" s="14">
        <v>23.5</v>
      </c>
      <c r="S54" s="8" t="s">
        <v>601</v>
      </c>
      <c r="T54" s="1">
        <v>1.3500000000000001E-3</v>
      </c>
      <c r="U54" s="1">
        <f t="shared" si="2"/>
        <v>6.75</v>
      </c>
      <c r="V54" s="1"/>
      <c r="W54" s="1"/>
      <c r="X54" s="1"/>
      <c r="Y54" s="1"/>
      <c r="Z54" s="1"/>
    </row>
    <row r="55" spans="1:26" x14ac:dyDescent="0.25">
      <c r="A55" s="10" t="s">
        <v>326</v>
      </c>
      <c r="B55" s="8" t="s">
        <v>786</v>
      </c>
      <c r="C55" s="8" t="s">
        <v>884</v>
      </c>
      <c r="D55" s="1" t="s">
        <v>1105</v>
      </c>
      <c r="E55" s="8" t="s">
        <v>896</v>
      </c>
      <c r="F55" s="8" t="s">
        <v>327</v>
      </c>
      <c r="G55" s="8">
        <v>3000</v>
      </c>
      <c r="H55" s="8" t="s">
        <v>1160</v>
      </c>
      <c r="I55" s="8" t="s">
        <v>1161</v>
      </c>
      <c r="J55" s="8">
        <v>907</v>
      </c>
      <c r="K55" s="8">
        <v>24</v>
      </c>
      <c r="L55" s="8" t="s">
        <v>695</v>
      </c>
      <c r="M55" s="11" t="s">
        <v>1295</v>
      </c>
      <c r="N55" s="11"/>
      <c r="O55" s="1"/>
      <c r="P55" s="8" t="s">
        <v>1036</v>
      </c>
      <c r="Q55" s="1">
        <v>0.69199999999999995</v>
      </c>
      <c r="R55" s="14">
        <v>2076</v>
      </c>
      <c r="S55" s="8" t="s">
        <v>562</v>
      </c>
      <c r="T55" s="1">
        <v>0.38775000000000004</v>
      </c>
      <c r="U55" s="1">
        <f t="shared" si="2"/>
        <v>1163.2500000000002</v>
      </c>
      <c r="V55" s="1" t="str">
        <f>IF(U55&lt;R55,"LCSC","Digikey")</f>
        <v>LCSC</v>
      </c>
      <c r="W55" s="1">
        <f>IF(V55="LCSC",U55,R55)</f>
        <v>1163.2500000000002</v>
      </c>
      <c r="X55" s="1"/>
      <c r="Y55" s="1"/>
      <c r="Z55" s="1"/>
    </row>
    <row r="56" spans="1:26" x14ac:dyDescent="0.25">
      <c r="A56" s="8" t="s">
        <v>52</v>
      </c>
      <c r="B56" s="8" t="s">
        <v>802</v>
      </c>
      <c r="C56" s="8" t="s">
        <v>884</v>
      </c>
      <c r="D56" s="1" t="s">
        <v>1102</v>
      </c>
      <c r="E56" s="8" t="s">
        <v>892</v>
      </c>
      <c r="F56" s="8" t="s">
        <v>397</v>
      </c>
      <c r="G56" s="8">
        <v>5000</v>
      </c>
      <c r="H56" s="8" t="s">
        <v>1212</v>
      </c>
      <c r="I56" s="8" t="s">
        <v>159</v>
      </c>
      <c r="J56" s="8">
        <v>642</v>
      </c>
      <c r="K56" s="8">
        <v>24</v>
      </c>
      <c r="L56" s="8" t="s">
        <v>694</v>
      </c>
      <c r="M56" s="11" t="s">
        <v>697</v>
      </c>
      <c r="N56" s="11"/>
      <c r="O56" s="1"/>
      <c r="P56" s="8" t="s">
        <v>978</v>
      </c>
      <c r="Q56" s="1">
        <v>1.2E-2</v>
      </c>
      <c r="R56" s="14">
        <v>60</v>
      </c>
      <c r="S56" s="8" t="s">
        <v>614</v>
      </c>
      <c r="T56" s="1">
        <v>1.8E-3</v>
      </c>
      <c r="U56" s="1">
        <f t="shared" si="2"/>
        <v>9</v>
      </c>
      <c r="V56" s="1"/>
      <c r="W56" s="1"/>
      <c r="X56" s="1"/>
      <c r="Y56" s="1"/>
      <c r="Z56" s="1"/>
    </row>
    <row r="57" spans="1:26" x14ac:dyDescent="0.25">
      <c r="A57" s="10" t="s">
        <v>416</v>
      </c>
      <c r="B57" s="8" t="s">
        <v>749</v>
      </c>
      <c r="C57" s="8" t="s">
        <v>884</v>
      </c>
      <c r="D57" s="1" t="s">
        <v>1104</v>
      </c>
      <c r="E57" s="8" t="s">
        <v>888</v>
      </c>
      <c r="F57" s="8" t="s">
        <v>417</v>
      </c>
      <c r="G57" s="8">
        <v>4000</v>
      </c>
      <c r="H57" s="8" t="s">
        <v>1179</v>
      </c>
      <c r="I57" s="8" t="s">
        <v>106</v>
      </c>
      <c r="J57" s="8">
        <v>2036</v>
      </c>
      <c r="K57" s="8">
        <v>23</v>
      </c>
      <c r="L57" s="8" t="s">
        <v>695</v>
      </c>
      <c r="M57" s="11" t="s">
        <v>1298</v>
      </c>
      <c r="N57" s="11">
        <v>4000</v>
      </c>
      <c r="O57" s="1"/>
      <c r="P57" s="8" t="s">
        <v>997</v>
      </c>
      <c r="Q57" s="1">
        <v>6.8000000000000005E-2</v>
      </c>
      <c r="R57" s="14">
        <v>272</v>
      </c>
      <c r="S57" s="8" t="s">
        <v>631</v>
      </c>
      <c r="T57" s="1">
        <v>2.4899999999999999E-2</v>
      </c>
      <c r="U57" s="1">
        <f t="shared" si="2"/>
        <v>99.6</v>
      </c>
      <c r="V57" s="1"/>
      <c r="W57" s="1"/>
      <c r="X57" s="1"/>
      <c r="Y57" s="1"/>
      <c r="Z57" s="1"/>
    </row>
    <row r="58" spans="1:26" x14ac:dyDescent="0.25">
      <c r="A58" s="8" t="s">
        <v>104</v>
      </c>
      <c r="B58" s="8" t="s">
        <v>807</v>
      </c>
      <c r="C58" s="8" t="s">
        <v>884</v>
      </c>
      <c r="D58" s="1" t="s">
        <v>1104</v>
      </c>
      <c r="E58" s="8" t="s">
        <v>888</v>
      </c>
      <c r="F58" s="8" t="s">
        <v>410</v>
      </c>
      <c r="G58" s="8">
        <v>4000</v>
      </c>
      <c r="H58" s="8" t="s">
        <v>225</v>
      </c>
      <c r="I58" s="8" t="s">
        <v>106</v>
      </c>
      <c r="J58" s="8">
        <v>516</v>
      </c>
      <c r="K58" s="8">
        <v>23</v>
      </c>
      <c r="L58" s="8" t="s">
        <v>694</v>
      </c>
      <c r="M58" s="11" t="s">
        <v>697</v>
      </c>
      <c r="N58" s="11"/>
      <c r="O58" s="1"/>
      <c r="P58" s="8" t="s">
        <v>1003</v>
      </c>
      <c r="Q58" s="1">
        <v>4.8000000000000001E-2</v>
      </c>
      <c r="R58" s="14">
        <v>192</v>
      </c>
      <c r="S58" s="8" t="s">
        <v>627</v>
      </c>
      <c r="T58" s="1">
        <v>2.6849999999999999E-2</v>
      </c>
      <c r="U58" s="1">
        <f t="shared" si="2"/>
        <v>107.39999999999999</v>
      </c>
      <c r="V58" s="1"/>
      <c r="W58" s="1"/>
      <c r="X58" s="1"/>
      <c r="Y58" s="1"/>
      <c r="Z58" s="1"/>
    </row>
    <row r="59" spans="1:26" x14ac:dyDescent="0.25">
      <c r="A59" s="10" t="s">
        <v>264</v>
      </c>
      <c r="B59" s="8" t="s">
        <v>810</v>
      </c>
      <c r="C59" s="8" t="s">
        <v>884</v>
      </c>
      <c r="D59" s="1" t="s">
        <v>1102</v>
      </c>
      <c r="E59" s="8" t="s">
        <v>892</v>
      </c>
      <c r="F59" s="8" t="s">
        <v>265</v>
      </c>
      <c r="G59" s="8">
        <v>4000</v>
      </c>
      <c r="H59" s="8" t="s">
        <v>1171</v>
      </c>
      <c r="I59" s="8" t="s">
        <v>194</v>
      </c>
      <c r="J59" s="8">
        <v>502</v>
      </c>
      <c r="K59" s="8">
        <v>23</v>
      </c>
      <c r="L59" s="8" t="s">
        <v>695</v>
      </c>
      <c r="M59" s="11" t="s">
        <v>1295</v>
      </c>
      <c r="N59" s="11"/>
      <c r="O59" s="1"/>
      <c r="P59" s="8" t="s">
        <v>1061</v>
      </c>
      <c r="Q59" s="1">
        <v>0.02</v>
      </c>
      <c r="R59" s="14">
        <v>80</v>
      </c>
      <c r="S59" s="8" t="s">
        <v>522</v>
      </c>
      <c r="T59" s="1">
        <v>4.5000000000000005E-3</v>
      </c>
      <c r="U59" s="1">
        <f t="shared" si="2"/>
        <v>18.000000000000004</v>
      </c>
      <c r="V59" s="1" t="str">
        <f>IF(U59&lt;R59,"LCSC","Digikey")</f>
        <v>LCSC</v>
      </c>
      <c r="W59" s="1">
        <f>IF(V59="LCSC",U59,R59)</f>
        <v>18.000000000000004</v>
      </c>
      <c r="X59" s="1"/>
      <c r="Y59" s="1"/>
      <c r="Z59" s="1"/>
    </row>
    <row r="60" spans="1:26" x14ac:dyDescent="0.25">
      <c r="A60" s="8" t="s">
        <v>64</v>
      </c>
      <c r="B60" s="8" t="s">
        <v>771</v>
      </c>
      <c r="C60" s="8" t="s">
        <v>884</v>
      </c>
      <c r="D60" s="1" t="s">
        <v>1105</v>
      </c>
      <c r="E60" s="8" t="s">
        <v>891</v>
      </c>
      <c r="F60" s="8" t="s">
        <v>356</v>
      </c>
      <c r="G60" s="8">
        <v>3000</v>
      </c>
      <c r="H60" s="8" t="s">
        <v>181</v>
      </c>
      <c r="I60" s="8" t="s">
        <v>173</v>
      </c>
      <c r="J60" s="8">
        <v>1368</v>
      </c>
      <c r="K60" s="8">
        <v>23</v>
      </c>
      <c r="L60" s="8" t="s">
        <v>694</v>
      </c>
      <c r="M60" s="11" t="s">
        <v>697</v>
      </c>
      <c r="N60" s="11"/>
      <c r="O60" s="1"/>
      <c r="P60" s="8" t="s">
        <v>1034</v>
      </c>
      <c r="Q60" s="1">
        <v>2.1999999999999999E-2</v>
      </c>
      <c r="R60" s="14">
        <v>66</v>
      </c>
      <c r="S60" s="8" t="s">
        <v>581</v>
      </c>
      <c r="T60" s="1">
        <v>2.145E-2</v>
      </c>
      <c r="U60" s="1">
        <f t="shared" si="2"/>
        <v>64.349999999999994</v>
      </c>
      <c r="V60" s="1"/>
      <c r="W60" s="1"/>
      <c r="X60" s="1"/>
      <c r="Y60" s="1"/>
      <c r="Z60" s="1"/>
    </row>
    <row r="61" spans="1:26" x14ac:dyDescent="0.25">
      <c r="A61" s="10" t="s">
        <v>418</v>
      </c>
      <c r="B61" s="8" t="s">
        <v>818</v>
      </c>
      <c r="C61" s="8" t="s">
        <v>884</v>
      </c>
      <c r="D61" s="1" t="s">
        <v>1104</v>
      </c>
      <c r="E61" s="8" t="s">
        <v>888</v>
      </c>
      <c r="F61" s="8" t="s">
        <v>419</v>
      </c>
      <c r="G61" s="8">
        <v>2000</v>
      </c>
      <c r="H61" s="8" t="s">
        <v>1181</v>
      </c>
      <c r="I61" s="8" t="s">
        <v>132</v>
      </c>
      <c r="J61" s="8">
        <v>458</v>
      </c>
      <c r="K61" s="8">
        <v>22</v>
      </c>
      <c r="L61" s="8" t="s">
        <v>695</v>
      </c>
      <c r="M61" s="11" t="s">
        <v>1298</v>
      </c>
      <c r="N61" s="11">
        <v>4000</v>
      </c>
      <c r="O61" s="1"/>
      <c r="P61" s="8" t="s">
        <v>999</v>
      </c>
      <c r="Q61" s="1">
        <v>5.8000000000000003E-2</v>
      </c>
      <c r="R61" s="14">
        <v>116</v>
      </c>
      <c r="S61" s="8" t="s">
        <v>632</v>
      </c>
      <c r="T61" s="1">
        <v>4.0499999999999998E-3</v>
      </c>
      <c r="U61" s="1">
        <f t="shared" si="2"/>
        <v>8.1</v>
      </c>
      <c r="V61" s="1"/>
      <c r="W61" s="1"/>
      <c r="X61" s="1"/>
      <c r="Y61" s="1"/>
      <c r="Z61" s="1"/>
    </row>
    <row r="62" spans="1:26" x14ac:dyDescent="0.25">
      <c r="A62" s="10" t="s">
        <v>362</v>
      </c>
      <c r="B62" s="8" t="s">
        <v>817</v>
      </c>
      <c r="C62" s="8" t="s">
        <v>884</v>
      </c>
      <c r="D62" s="1" t="s">
        <v>1105</v>
      </c>
      <c r="E62" s="8" t="s">
        <v>896</v>
      </c>
      <c r="F62" s="8" t="s">
        <v>363</v>
      </c>
      <c r="G62" s="8">
        <v>3000</v>
      </c>
      <c r="H62" s="8" t="s">
        <v>1200</v>
      </c>
      <c r="I62" s="8" t="s">
        <v>1163</v>
      </c>
      <c r="J62" s="8">
        <v>465</v>
      </c>
      <c r="K62" s="8">
        <v>22</v>
      </c>
      <c r="L62" s="8" t="s">
        <v>695</v>
      </c>
      <c r="M62" s="11" t="s">
        <v>1298</v>
      </c>
      <c r="N62" s="11">
        <v>3000</v>
      </c>
      <c r="O62" s="1"/>
      <c r="P62" s="8" t="s">
        <v>1038</v>
      </c>
      <c r="Q62" s="1">
        <v>5.1999999999999998E-2</v>
      </c>
      <c r="R62" s="14">
        <v>156</v>
      </c>
      <c r="S62" s="8" t="s">
        <v>586</v>
      </c>
      <c r="T62" s="1">
        <v>4.4700000000000004E-2</v>
      </c>
      <c r="U62" s="1">
        <f t="shared" si="2"/>
        <v>134.10000000000002</v>
      </c>
      <c r="V62" s="1"/>
      <c r="W62" s="1"/>
      <c r="X62" s="1"/>
      <c r="Y62" s="1"/>
      <c r="Z62" s="1"/>
    </row>
    <row r="63" spans="1:26" x14ac:dyDescent="0.25">
      <c r="A63" s="10" t="s">
        <v>328</v>
      </c>
      <c r="B63" s="8" t="s">
        <v>801</v>
      </c>
      <c r="C63" s="8" t="s">
        <v>884</v>
      </c>
      <c r="D63" s="1" t="s">
        <v>1103</v>
      </c>
      <c r="E63" s="8" t="s">
        <v>897</v>
      </c>
      <c r="F63" s="8" t="s">
        <v>329</v>
      </c>
      <c r="G63" s="8">
        <v>5000</v>
      </c>
      <c r="H63" s="8" t="s">
        <v>1192</v>
      </c>
      <c r="I63" s="8" t="s">
        <v>175</v>
      </c>
      <c r="J63" s="8">
        <v>644</v>
      </c>
      <c r="K63" s="8">
        <v>22</v>
      </c>
      <c r="L63" s="8" t="s">
        <v>695</v>
      </c>
      <c r="M63" s="11" t="s">
        <v>1299</v>
      </c>
      <c r="N63" s="11">
        <v>4000</v>
      </c>
      <c r="O63" s="1"/>
      <c r="P63" s="8" t="s">
        <v>1014</v>
      </c>
      <c r="Q63" s="1">
        <v>0.191</v>
      </c>
      <c r="R63" s="14">
        <v>955</v>
      </c>
      <c r="S63" s="8" t="s">
        <v>563</v>
      </c>
      <c r="T63" s="1">
        <v>6.5250000000000002E-2</v>
      </c>
      <c r="U63" s="1">
        <f t="shared" si="2"/>
        <v>326.25</v>
      </c>
      <c r="V63" s="1"/>
      <c r="W63" s="1"/>
      <c r="X63" s="1"/>
      <c r="Y63" s="1"/>
      <c r="Z63" s="1"/>
    </row>
    <row r="64" spans="1:26" x14ac:dyDescent="0.25">
      <c r="A64" s="8" t="s">
        <v>267</v>
      </c>
      <c r="B64" s="8" t="s">
        <v>784</v>
      </c>
      <c r="C64" s="8" t="s">
        <v>884</v>
      </c>
      <c r="D64" s="1" t="s">
        <v>1105</v>
      </c>
      <c r="E64" s="8" t="s">
        <v>895</v>
      </c>
      <c r="F64" s="8" t="s">
        <v>268</v>
      </c>
      <c r="G64" s="8">
        <v>2000</v>
      </c>
      <c r="H64" s="8" t="s">
        <v>1210</v>
      </c>
      <c r="I64" s="8" t="s">
        <v>190</v>
      </c>
      <c r="J64" s="8">
        <v>925</v>
      </c>
      <c r="K64" s="8">
        <v>22</v>
      </c>
      <c r="L64" s="8" t="s">
        <v>695</v>
      </c>
      <c r="M64" s="11" t="s">
        <v>1301</v>
      </c>
      <c r="N64" s="11">
        <v>2000</v>
      </c>
      <c r="O64" s="1"/>
      <c r="P64" s="8" t="s">
        <v>1087</v>
      </c>
      <c r="Q64" s="1">
        <v>0.307</v>
      </c>
      <c r="R64" s="14">
        <v>614</v>
      </c>
      <c r="S64" s="8" t="s">
        <v>524</v>
      </c>
      <c r="T64" s="1">
        <v>0.13289999999999999</v>
      </c>
      <c r="U64" s="1">
        <f t="shared" si="2"/>
        <v>265.79999999999995</v>
      </c>
      <c r="V64" s="1"/>
      <c r="W64" s="1"/>
      <c r="X64" s="1"/>
      <c r="Y64" s="1"/>
      <c r="Z64" s="1"/>
    </row>
    <row r="65" spans="1:26" x14ac:dyDescent="0.25">
      <c r="A65" s="8" t="s">
        <v>46</v>
      </c>
      <c r="B65" s="8" t="s">
        <v>812</v>
      </c>
      <c r="C65" s="8" t="s">
        <v>884</v>
      </c>
      <c r="D65" s="1" t="s">
        <v>1102</v>
      </c>
      <c r="E65" s="8" t="s">
        <v>894</v>
      </c>
      <c r="F65" s="8" t="s">
        <v>394</v>
      </c>
      <c r="G65" s="8">
        <v>5000</v>
      </c>
      <c r="H65" s="8" t="s">
        <v>157</v>
      </c>
      <c r="I65" s="8" t="s">
        <v>106</v>
      </c>
      <c r="J65" s="8">
        <v>492</v>
      </c>
      <c r="K65" s="8">
        <v>22</v>
      </c>
      <c r="L65" s="8" t="s">
        <v>694</v>
      </c>
      <c r="M65" s="11" t="s">
        <v>697</v>
      </c>
      <c r="N65" s="11"/>
      <c r="O65" s="1"/>
      <c r="P65" s="8" t="s">
        <v>958</v>
      </c>
      <c r="Q65" s="1">
        <v>3.0999999999999999E-3</v>
      </c>
      <c r="R65" s="14">
        <v>15.5</v>
      </c>
      <c r="S65" s="8" t="s">
        <v>611</v>
      </c>
      <c r="T65" s="1">
        <v>1.2000000000000001E-3</v>
      </c>
      <c r="U65" s="1">
        <f t="shared" si="2"/>
        <v>6.0000000000000009</v>
      </c>
      <c r="V65" s="1"/>
      <c r="W65" s="1"/>
      <c r="X65" s="1"/>
      <c r="Y65" s="1"/>
      <c r="Z65" s="1"/>
    </row>
    <row r="66" spans="1:26" x14ac:dyDescent="0.25">
      <c r="A66" s="10" t="s">
        <v>424</v>
      </c>
      <c r="B66" s="8" t="s">
        <v>790</v>
      </c>
      <c r="C66" s="8" t="s">
        <v>884</v>
      </c>
      <c r="D66" s="1" t="s">
        <v>1102</v>
      </c>
      <c r="E66" s="8" t="s">
        <v>894</v>
      </c>
      <c r="F66" s="8" t="s">
        <v>425</v>
      </c>
      <c r="G66" s="8">
        <v>5000</v>
      </c>
      <c r="H66" s="8" t="s">
        <v>1126</v>
      </c>
      <c r="I66" s="8" t="s">
        <v>106</v>
      </c>
      <c r="J66" s="8">
        <v>844</v>
      </c>
      <c r="K66" s="8">
        <v>21</v>
      </c>
      <c r="L66" s="8" t="s">
        <v>695</v>
      </c>
      <c r="M66" s="11" t="s">
        <v>1298</v>
      </c>
      <c r="N66" s="11">
        <v>5000</v>
      </c>
      <c r="O66" s="1"/>
      <c r="P66" s="8" t="s">
        <v>907</v>
      </c>
      <c r="Q66" s="1">
        <v>7.7999999999999996E-3</v>
      </c>
      <c r="R66" s="14">
        <v>39</v>
      </c>
      <c r="S66" s="8" t="s">
        <v>635</v>
      </c>
      <c r="T66" s="1">
        <v>1.0499999999999999E-3</v>
      </c>
      <c r="U66" s="1">
        <f t="shared" si="2"/>
        <v>5.25</v>
      </c>
      <c r="V66" s="1"/>
      <c r="W66" s="1"/>
      <c r="X66" s="1"/>
      <c r="Y66" s="1"/>
      <c r="Z66" s="1"/>
    </row>
    <row r="67" spans="1:26" x14ac:dyDescent="0.25">
      <c r="A67" s="10" t="s">
        <v>273</v>
      </c>
      <c r="B67" s="8" t="s">
        <v>850</v>
      </c>
      <c r="C67" s="8" t="s">
        <v>884</v>
      </c>
      <c r="D67" s="1" t="s">
        <v>1102</v>
      </c>
      <c r="E67" s="8" t="s">
        <v>894</v>
      </c>
      <c r="F67" s="8" t="s">
        <v>274</v>
      </c>
      <c r="G67" s="8">
        <v>4000</v>
      </c>
      <c r="H67" s="8" t="s">
        <v>1204</v>
      </c>
      <c r="I67" s="8" t="s">
        <v>114</v>
      </c>
      <c r="J67" s="8">
        <v>193</v>
      </c>
      <c r="K67" s="8">
        <v>21</v>
      </c>
      <c r="L67" s="8" t="s">
        <v>695</v>
      </c>
      <c r="M67" s="11" t="s">
        <v>1298</v>
      </c>
      <c r="N67" s="11">
        <v>4000</v>
      </c>
      <c r="O67" s="1"/>
      <c r="P67" s="8" t="s">
        <v>1043</v>
      </c>
      <c r="Q67" s="1">
        <v>2.4E-2</v>
      </c>
      <c r="R67" s="14">
        <v>96</v>
      </c>
      <c r="S67" s="8" t="s">
        <v>527</v>
      </c>
      <c r="T67" s="1">
        <v>7.9500000000000005E-3</v>
      </c>
      <c r="U67" s="1">
        <f t="shared" si="2"/>
        <v>31.8</v>
      </c>
      <c r="V67" s="1"/>
      <c r="W67" s="1"/>
      <c r="X67" s="1"/>
      <c r="Y67" s="1"/>
      <c r="Z67" s="1"/>
    </row>
    <row r="68" spans="1:26" x14ac:dyDescent="0.25">
      <c r="A68" s="10" t="s">
        <v>420</v>
      </c>
      <c r="B68" s="8" t="s">
        <v>739</v>
      </c>
      <c r="C68" s="8" t="s">
        <v>884</v>
      </c>
      <c r="D68" s="1" t="s">
        <v>1103</v>
      </c>
      <c r="E68" s="8" t="s">
        <v>889</v>
      </c>
      <c r="F68" s="8" t="s">
        <v>421</v>
      </c>
      <c r="G68" s="8">
        <v>4000</v>
      </c>
      <c r="H68" s="8" t="s">
        <v>1168</v>
      </c>
      <c r="I68" s="8" t="s">
        <v>222</v>
      </c>
      <c r="J68" s="8">
        <v>2561</v>
      </c>
      <c r="K68" s="8">
        <v>21</v>
      </c>
      <c r="L68" s="8" t="s">
        <v>695</v>
      </c>
      <c r="M68" s="11" t="s">
        <v>1299</v>
      </c>
      <c r="N68" s="11">
        <v>5000</v>
      </c>
      <c r="O68" s="1"/>
      <c r="P68" s="8" t="s">
        <v>986</v>
      </c>
      <c r="Q68" s="1">
        <v>6.5000000000000002E-2</v>
      </c>
      <c r="R68" s="14">
        <v>260</v>
      </c>
      <c r="S68" s="8" t="s">
        <v>633</v>
      </c>
      <c r="T68" s="1">
        <v>2.7150000000000001E-2</v>
      </c>
      <c r="U68" s="1">
        <f t="shared" si="2"/>
        <v>108.60000000000001</v>
      </c>
      <c r="V68" s="1"/>
      <c r="W68" s="1"/>
      <c r="X68" s="1"/>
      <c r="Y68" s="1"/>
      <c r="Z68" s="1"/>
    </row>
    <row r="69" spans="1:26" x14ac:dyDescent="0.25">
      <c r="A69" s="8" t="s">
        <v>61</v>
      </c>
      <c r="B69" s="8" t="s">
        <v>719</v>
      </c>
      <c r="C69" s="8" t="s">
        <v>884</v>
      </c>
      <c r="D69" s="1" t="s">
        <v>1105</v>
      </c>
      <c r="E69" s="8" t="s">
        <v>887</v>
      </c>
      <c r="F69" s="8" t="s">
        <v>353</v>
      </c>
      <c r="G69" s="8">
        <v>3000</v>
      </c>
      <c r="H69" s="8" t="s">
        <v>176</v>
      </c>
      <c r="I69" s="8" t="s">
        <v>175</v>
      </c>
      <c r="J69" s="8">
        <v>8562</v>
      </c>
      <c r="K69" s="8">
        <v>21</v>
      </c>
      <c r="L69" s="8" t="s">
        <v>694</v>
      </c>
      <c r="M69" s="11" t="s">
        <v>697</v>
      </c>
      <c r="N69" s="11"/>
      <c r="O69" s="8" t="s">
        <v>1097</v>
      </c>
      <c r="P69" s="8" t="s">
        <v>1022</v>
      </c>
      <c r="Q69" s="1">
        <v>0.03</v>
      </c>
      <c r="R69" s="14">
        <v>90</v>
      </c>
      <c r="S69" s="8" t="s">
        <v>578</v>
      </c>
      <c r="T69" s="1">
        <v>2.3549999999999998E-2</v>
      </c>
      <c r="U69" s="1">
        <f t="shared" si="2"/>
        <v>70.649999999999991</v>
      </c>
      <c r="V69" s="1" t="s">
        <v>1120</v>
      </c>
      <c r="W69" s="1"/>
      <c r="X69" s="1">
        <v>97.99</v>
      </c>
      <c r="Y69" s="1" t="s">
        <v>1120</v>
      </c>
      <c r="Z69" s="1">
        <v>6000</v>
      </c>
    </row>
    <row r="70" spans="1:26" x14ac:dyDescent="0.25">
      <c r="A70" s="8" t="s">
        <v>4</v>
      </c>
      <c r="B70" s="8" t="s">
        <v>723</v>
      </c>
      <c r="C70" s="8" t="s">
        <v>884</v>
      </c>
      <c r="D70" s="1" t="s">
        <v>1102</v>
      </c>
      <c r="E70" s="8" t="s">
        <v>894</v>
      </c>
      <c r="F70" s="8" t="s">
        <v>377</v>
      </c>
      <c r="G70" s="8">
        <v>5000</v>
      </c>
      <c r="H70" s="8" t="s">
        <v>111</v>
      </c>
      <c r="I70" s="8" t="s">
        <v>106</v>
      </c>
      <c r="J70" s="8">
        <v>6750</v>
      </c>
      <c r="K70" s="8">
        <v>21</v>
      </c>
      <c r="L70" s="8" t="s">
        <v>694</v>
      </c>
      <c r="M70" s="11" t="s">
        <v>697</v>
      </c>
      <c r="N70" s="11"/>
      <c r="O70" s="1"/>
      <c r="P70" s="8" t="s">
        <v>943</v>
      </c>
      <c r="Q70" s="1">
        <v>6.3E-3</v>
      </c>
      <c r="R70" s="14">
        <v>31.5</v>
      </c>
      <c r="S70" s="8" t="s">
        <v>594</v>
      </c>
      <c r="T70" s="1">
        <v>1.2000000000000001E-3</v>
      </c>
      <c r="U70" s="1">
        <f t="shared" si="2"/>
        <v>6.0000000000000009</v>
      </c>
      <c r="V70" s="1"/>
      <c r="W70" s="1"/>
      <c r="X70" s="1"/>
      <c r="Y70" s="1"/>
      <c r="Z70" s="1"/>
    </row>
    <row r="71" spans="1:26" x14ac:dyDescent="0.25">
      <c r="A71" s="8" t="s">
        <v>45</v>
      </c>
      <c r="B71" s="8" t="s">
        <v>820</v>
      </c>
      <c r="C71" s="8" t="s">
        <v>884</v>
      </c>
      <c r="D71" s="1" t="s">
        <v>1102</v>
      </c>
      <c r="E71" s="8" t="s">
        <v>894</v>
      </c>
      <c r="F71" s="8" t="s">
        <v>393</v>
      </c>
      <c r="G71" s="8">
        <v>5000</v>
      </c>
      <c r="H71" s="8" t="s">
        <v>156</v>
      </c>
      <c r="I71" s="8" t="s">
        <v>106</v>
      </c>
      <c r="J71" s="8">
        <v>438</v>
      </c>
      <c r="K71" s="8">
        <v>21</v>
      </c>
      <c r="L71" s="8" t="s">
        <v>694</v>
      </c>
      <c r="M71" s="11" t="s">
        <v>697</v>
      </c>
      <c r="N71" s="11"/>
      <c r="O71" s="1"/>
      <c r="P71" s="8" t="s">
        <v>960</v>
      </c>
      <c r="Q71" s="1">
        <v>4.7000000000000002E-3</v>
      </c>
      <c r="R71" s="14">
        <v>23.5</v>
      </c>
      <c r="S71" s="8" t="s">
        <v>610</v>
      </c>
      <c r="T71" s="1">
        <v>8.9999999999999998E-4</v>
      </c>
      <c r="U71" s="1">
        <f t="shared" si="2"/>
        <v>4.5</v>
      </c>
      <c r="V71" s="1"/>
      <c r="W71" s="1"/>
      <c r="X71" s="1"/>
      <c r="Y71" s="1"/>
      <c r="Z71" s="1"/>
    </row>
    <row r="72" spans="1:26" x14ac:dyDescent="0.25">
      <c r="A72" s="8" t="s">
        <v>79</v>
      </c>
      <c r="B72" s="8" t="s">
        <v>716</v>
      </c>
      <c r="C72" s="8" t="s">
        <v>884</v>
      </c>
      <c r="D72" s="1" t="s">
        <v>1105</v>
      </c>
      <c r="E72" s="8" t="s">
        <v>891</v>
      </c>
      <c r="F72" s="8" t="s">
        <v>358</v>
      </c>
      <c r="G72" s="8">
        <v>3000</v>
      </c>
      <c r="H72" s="8" t="s">
        <v>196</v>
      </c>
      <c r="I72" s="8" t="s">
        <v>175</v>
      </c>
      <c r="J72" s="8">
        <v>244</v>
      </c>
      <c r="K72" s="8">
        <v>21</v>
      </c>
      <c r="L72" s="8" t="s">
        <v>694</v>
      </c>
      <c r="M72" s="11" t="s">
        <v>697</v>
      </c>
      <c r="N72" s="11"/>
      <c r="O72" s="1"/>
      <c r="P72" s="8" t="s">
        <v>1030</v>
      </c>
      <c r="Q72" s="1">
        <v>3.5000000000000003E-2</v>
      </c>
      <c r="R72" s="14">
        <v>105</v>
      </c>
      <c r="S72" s="8" t="s">
        <v>583</v>
      </c>
      <c r="T72" s="1">
        <v>2.0549999999999999E-2</v>
      </c>
      <c r="U72" s="1">
        <f t="shared" si="2"/>
        <v>61.65</v>
      </c>
      <c r="V72" s="1"/>
      <c r="W72" s="1"/>
      <c r="X72" s="1"/>
      <c r="Y72" s="1"/>
      <c r="Z72" s="1"/>
    </row>
    <row r="73" spans="1:26" x14ac:dyDescent="0.25">
      <c r="A73" s="8" t="s">
        <v>58</v>
      </c>
      <c r="B73" s="8" t="s">
        <v>724</v>
      </c>
      <c r="C73" s="8" t="s">
        <v>884</v>
      </c>
      <c r="D73" s="1" t="s">
        <v>1102</v>
      </c>
      <c r="E73" s="8" t="s">
        <v>894</v>
      </c>
      <c r="F73" s="8" t="s">
        <v>315</v>
      </c>
      <c r="G73" s="8">
        <v>4000</v>
      </c>
      <c r="H73" s="8" t="s">
        <v>171</v>
      </c>
      <c r="I73" s="8" t="s">
        <v>170</v>
      </c>
      <c r="J73" s="8">
        <v>6649</v>
      </c>
      <c r="K73" s="8">
        <v>21</v>
      </c>
      <c r="L73" s="8" t="s">
        <v>694</v>
      </c>
      <c r="M73" s="11" t="s">
        <v>697</v>
      </c>
      <c r="N73" s="11"/>
      <c r="O73" s="1"/>
      <c r="P73" s="8" t="s">
        <v>1050</v>
      </c>
      <c r="Q73" s="1">
        <v>3.1E-2</v>
      </c>
      <c r="R73" s="14">
        <v>124</v>
      </c>
      <c r="S73" s="8" t="s">
        <v>553</v>
      </c>
      <c r="T73" s="1">
        <v>7.0500000000000007E-3</v>
      </c>
      <c r="U73" s="1">
        <f t="shared" si="2"/>
        <v>28.200000000000003</v>
      </c>
      <c r="V73" s="1"/>
      <c r="W73" s="1"/>
      <c r="X73" s="1"/>
      <c r="Y73" s="1"/>
      <c r="Z73" s="1"/>
    </row>
    <row r="74" spans="1:26" x14ac:dyDescent="0.25">
      <c r="A74" s="10" t="s">
        <v>269</v>
      </c>
      <c r="B74" s="8" t="s">
        <v>845</v>
      </c>
      <c r="C74" s="8" t="s">
        <v>884</v>
      </c>
      <c r="D74" s="1" t="s">
        <v>1105</v>
      </c>
      <c r="E74" s="8" t="s">
        <v>901</v>
      </c>
      <c r="F74" s="8" t="s">
        <v>270</v>
      </c>
      <c r="G74" s="8">
        <v>2000</v>
      </c>
      <c r="H74" s="8" t="s">
        <v>1194</v>
      </c>
      <c r="I74" s="8" t="s">
        <v>194</v>
      </c>
      <c r="J74" s="8">
        <v>246</v>
      </c>
      <c r="K74" s="8">
        <v>21</v>
      </c>
      <c r="L74" s="8" t="s">
        <v>695</v>
      </c>
      <c r="M74" s="11" t="s">
        <v>1295</v>
      </c>
      <c r="N74" s="11"/>
      <c r="O74" s="1"/>
      <c r="P74" s="8" t="s">
        <v>1086</v>
      </c>
      <c r="Q74" s="1">
        <v>0.24299999999999999</v>
      </c>
      <c r="R74" s="14">
        <v>486</v>
      </c>
      <c r="S74" s="8" t="s">
        <v>525</v>
      </c>
      <c r="T74" s="1">
        <v>8.8650000000000007E-2</v>
      </c>
      <c r="U74" s="1">
        <f t="shared" ref="U74:U105" si="3">T74*G74</f>
        <v>177.3</v>
      </c>
      <c r="V74" s="1" t="str">
        <f>IF(U74&lt;R74,"LCSC","Digikey")</f>
        <v>LCSC</v>
      </c>
      <c r="W74" s="1">
        <f>IF(V74="LCSC",U74,R74)</f>
        <v>177.3</v>
      </c>
      <c r="X74" s="1"/>
      <c r="Y74" s="1"/>
      <c r="Z74" s="1"/>
    </row>
    <row r="75" spans="1:26" x14ac:dyDescent="0.25">
      <c r="A75" s="10" t="s">
        <v>271</v>
      </c>
      <c r="B75" s="8" t="s">
        <v>841</v>
      </c>
      <c r="C75" s="8" t="s">
        <v>884</v>
      </c>
      <c r="D75" s="1" t="s">
        <v>1102</v>
      </c>
      <c r="E75" s="8" t="s">
        <v>892</v>
      </c>
      <c r="F75" s="8" t="s">
        <v>272</v>
      </c>
      <c r="G75" s="8">
        <v>3000</v>
      </c>
      <c r="H75" s="8" t="s">
        <v>1174</v>
      </c>
      <c r="I75" s="8" t="s">
        <v>106</v>
      </c>
      <c r="J75" s="8">
        <v>273</v>
      </c>
      <c r="K75" s="8">
        <v>21</v>
      </c>
      <c r="L75" s="8" t="s">
        <v>695</v>
      </c>
      <c r="M75" s="11" t="s">
        <v>1295</v>
      </c>
      <c r="N75" s="11"/>
      <c r="O75" s="1"/>
      <c r="P75" s="8" t="s">
        <v>1064</v>
      </c>
      <c r="Q75" s="1">
        <v>3.4000000000000002E-2</v>
      </c>
      <c r="R75" s="14">
        <v>102</v>
      </c>
      <c r="S75" s="8" t="s">
        <v>526</v>
      </c>
      <c r="T75" s="1">
        <v>9.75E-3</v>
      </c>
      <c r="U75" s="1">
        <f t="shared" si="3"/>
        <v>29.25</v>
      </c>
      <c r="V75" s="1" t="str">
        <f>IF(U75&lt;R75,"LCSC","Digikey")</f>
        <v>LCSC</v>
      </c>
      <c r="W75" s="1">
        <f>IF(V75="LCSC",U75,R75)</f>
        <v>29.25</v>
      </c>
      <c r="X75" s="1"/>
      <c r="Y75" s="1"/>
      <c r="Z75" s="1"/>
    </row>
    <row r="76" spans="1:26" x14ac:dyDescent="0.25">
      <c r="A76" s="10" t="s">
        <v>422</v>
      </c>
      <c r="B76" s="8" t="s">
        <v>743</v>
      </c>
      <c r="C76" s="8" t="s">
        <v>884</v>
      </c>
      <c r="D76" s="1" t="s">
        <v>1102</v>
      </c>
      <c r="E76" s="8" t="s">
        <v>892</v>
      </c>
      <c r="F76" s="8" t="s">
        <v>423</v>
      </c>
      <c r="G76" s="8">
        <v>5000</v>
      </c>
      <c r="H76" s="8" t="s">
        <v>1136</v>
      </c>
      <c r="I76" s="8" t="s">
        <v>106</v>
      </c>
      <c r="J76" s="8">
        <v>2331</v>
      </c>
      <c r="K76" s="8">
        <v>21</v>
      </c>
      <c r="L76" s="8" t="s">
        <v>695</v>
      </c>
      <c r="M76" s="11" t="s">
        <v>1295</v>
      </c>
      <c r="N76" s="11"/>
      <c r="O76" s="1"/>
      <c r="P76" s="8" t="s">
        <v>964</v>
      </c>
      <c r="Q76" s="1">
        <v>6.3E-3</v>
      </c>
      <c r="R76" s="14">
        <v>31.5</v>
      </c>
      <c r="S76" s="8" t="s">
        <v>634</v>
      </c>
      <c r="T76" s="1">
        <v>1.9499999999999999E-3</v>
      </c>
      <c r="U76" s="1">
        <f t="shared" si="3"/>
        <v>9.75</v>
      </c>
      <c r="V76" s="1" t="str">
        <f>IF(U76&lt;R76,"LCSC","Digikey")</f>
        <v>LCSC</v>
      </c>
      <c r="W76" s="1">
        <f>IF(V76="LCSC",U76,R76)</f>
        <v>9.75</v>
      </c>
      <c r="X76" s="1"/>
      <c r="Y76" s="1"/>
      <c r="Z76" s="1"/>
    </row>
    <row r="77" spans="1:26" x14ac:dyDescent="0.25">
      <c r="A77" s="8" t="s">
        <v>98</v>
      </c>
      <c r="B77" s="8" t="s">
        <v>823</v>
      </c>
      <c r="C77" s="8" t="s">
        <v>884</v>
      </c>
      <c r="D77" s="1" t="s">
        <v>1102</v>
      </c>
      <c r="E77" s="8" t="s">
        <v>892</v>
      </c>
      <c r="F77" s="8" t="s">
        <v>408</v>
      </c>
      <c r="G77" s="8">
        <v>5000</v>
      </c>
      <c r="H77" s="8" t="s">
        <v>218</v>
      </c>
      <c r="I77" s="8" t="s">
        <v>106</v>
      </c>
      <c r="J77" s="8">
        <v>422</v>
      </c>
      <c r="K77" s="8">
        <v>21</v>
      </c>
      <c r="L77" s="8" t="s">
        <v>694</v>
      </c>
      <c r="M77" s="11" t="s">
        <v>697</v>
      </c>
      <c r="N77" s="11"/>
      <c r="O77" s="1"/>
      <c r="P77" s="8" t="s">
        <v>979</v>
      </c>
      <c r="Q77" s="1">
        <v>6.3E-3</v>
      </c>
      <c r="R77" s="14">
        <v>31.5</v>
      </c>
      <c r="S77" s="8" t="s">
        <v>625</v>
      </c>
      <c r="T77" s="1">
        <v>1.9499999999999999E-3</v>
      </c>
      <c r="U77" s="1">
        <f t="shared" si="3"/>
        <v>9.75</v>
      </c>
      <c r="V77" s="1"/>
      <c r="W77" s="1"/>
      <c r="X77" s="1"/>
      <c r="Y77" s="1"/>
      <c r="Z77" s="1"/>
    </row>
    <row r="78" spans="1:26" x14ac:dyDescent="0.25">
      <c r="A78" s="10" t="s">
        <v>426</v>
      </c>
      <c r="B78" s="8" t="s">
        <v>831</v>
      </c>
      <c r="C78" s="8" t="s">
        <v>884</v>
      </c>
      <c r="D78" s="1" t="s">
        <v>1102</v>
      </c>
      <c r="E78" s="8" t="s">
        <v>894</v>
      </c>
      <c r="F78" s="8" t="s">
        <v>427</v>
      </c>
      <c r="G78" s="8">
        <v>5000</v>
      </c>
      <c r="H78" s="8" t="s">
        <v>1129</v>
      </c>
      <c r="I78" s="8" t="s">
        <v>159</v>
      </c>
      <c r="J78" s="8">
        <v>338</v>
      </c>
      <c r="K78" s="8">
        <v>20</v>
      </c>
      <c r="L78" s="8" t="s">
        <v>695</v>
      </c>
      <c r="M78" s="11" t="s">
        <v>1298</v>
      </c>
      <c r="N78" s="11">
        <v>5000</v>
      </c>
      <c r="O78" s="1"/>
      <c r="P78" s="8" t="s">
        <v>910</v>
      </c>
      <c r="Q78" s="1">
        <v>5.6000000000000001E-2</v>
      </c>
      <c r="R78" s="14">
        <v>280</v>
      </c>
      <c r="S78" s="8" t="s">
        <v>636</v>
      </c>
      <c r="T78" s="1">
        <v>2.2800000000000001E-2</v>
      </c>
      <c r="U78" s="1">
        <f t="shared" si="3"/>
        <v>114</v>
      </c>
      <c r="V78" s="1"/>
      <c r="W78" s="1"/>
      <c r="X78" s="1"/>
      <c r="Y78" s="1"/>
      <c r="Z78" s="1"/>
    </row>
    <row r="79" spans="1:26" x14ac:dyDescent="0.25">
      <c r="A79" s="10" t="s">
        <v>428</v>
      </c>
      <c r="B79" s="8" t="s">
        <v>720</v>
      </c>
      <c r="C79" s="8" t="s">
        <v>884</v>
      </c>
      <c r="D79" s="1" t="s">
        <v>1104</v>
      </c>
      <c r="E79" s="8" t="s">
        <v>888</v>
      </c>
      <c r="F79" s="8" t="s">
        <v>429</v>
      </c>
      <c r="G79" s="8">
        <v>4000</v>
      </c>
      <c r="H79" s="8" t="s">
        <v>1178</v>
      </c>
      <c r="I79" s="8" t="s">
        <v>106</v>
      </c>
      <c r="J79" s="8">
        <v>7402</v>
      </c>
      <c r="K79" s="8">
        <v>20</v>
      </c>
      <c r="L79" s="8" t="s">
        <v>695</v>
      </c>
      <c r="M79" s="11" t="s">
        <v>1298</v>
      </c>
      <c r="N79" s="11">
        <v>4000</v>
      </c>
      <c r="O79" s="1"/>
      <c r="P79" s="8" t="s">
        <v>996</v>
      </c>
      <c r="Q79" s="1">
        <v>6.0999999999999999E-2</v>
      </c>
      <c r="R79" s="14">
        <v>244</v>
      </c>
      <c r="S79" s="8" t="s">
        <v>637</v>
      </c>
      <c r="T79" s="1">
        <v>5.3100000000000001E-2</v>
      </c>
      <c r="U79" s="1">
        <f t="shared" si="3"/>
        <v>212.4</v>
      </c>
      <c r="V79" s="1"/>
      <c r="W79" s="1"/>
      <c r="X79" s="1"/>
      <c r="Y79" s="1"/>
      <c r="Z79" s="1"/>
    </row>
    <row r="80" spans="1:26" x14ac:dyDescent="0.25">
      <c r="A80" s="10" t="s">
        <v>277</v>
      </c>
      <c r="B80" s="8" t="s">
        <v>778</v>
      </c>
      <c r="C80" s="8" t="s">
        <v>884</v>
      </c>
      <c r="D80" s="1" t="s">
        <v>1102</v>
      </c>
      <c r="E80" s="8" t="s">
        <v>892</v>
      </c>
      <c r="F80" s="8" t="s">
        <v>278</v>
      </c>
      <c r="G80" s="8">
        <v>4000</v>
      </c>
      <c r="H80" s="8" t="s">
        <v>1206</v>
      </c>
      <c r="I80" s="8" t="s">
        <v>194</v>
      </c>
      <c r="J80" s="8">
        <v>1204</v>
      </c>
      <c r="K80" s="8">
        <v>20</v>
      </c>
      <c r="L80" s="8" t="s">
        <v>695</v>
      </c>
      <c r="M80" s="11" t="s">
        <v>1298</v>
      </c>
      <c r="N80" s="11">
        <v>4000</v>
      </c>
      <c r="O80" s="1"/>
      <c r="P80" s="8" t="s">
        <v>1057</v>
      </c>
      <c r="Q80" s="1">
        <v>5.6000000000000001E-2</v>
      </c>
      <c r="R80" s="14">
        <v>224</v>
      </c>
      <c r="S80" s="8" t="s">
        <v>529</v>
      </c>
      <c r="T80" s="1">
        <v>8.2500000000000004E-3</v>
      </c>
      <c r="U80" s="1">
        <f t="shared" si="3"/>
        <v>33</v>
      </c>
      <c r="V80" s="1"/>
      <c r="W80" s="1"/>
      <c r="X80" s="1"/>
      <c r="Y80" s="1"/>
      <c r="Z80" s="1"/>
    </row>
    <row r="81" spans="1:26" x14ac:dyDescent="0.25">
      <c r="A81" s="10" t="s">
        <v>279</v>
      </c>
      <c r="B81" s="8" t="s">
        <v>834</v>
      </c>
      <c r="C81" s="8" t="s">
        <v>884</v>
      </c>
      <c r="D81" s="1" t="s">
        <v>1102</v>
      </c>
      <c r="E81" s="8" t="s">
        <v>892</v>
      </c>
      <c r="F81" s="8" t="s">
        <v>280</v>
      </c>
      <c r="G81" s="8">
        <v>3000</v>
      </c>
      <c r="H81" s="8" t="s">
        <v>1173</v>
      </c>
      <c r="I81" s="8" t="s">
        <v>106</v>
      </c>
      <c r="J81" s="8">
        <v>320</v>
      </c>
      <c r="K81" s="8">
        <v>20</v>
      </c>
      <c r="L81" s="8" t="s">
        <v>695</v>
      </c>
      <c r="M81" s="11" t="s">
        <v>1295</v>
      </c>
      <c r="N81" s="11"/>
      <c r="O81" s="1"/>
      <c r="P81" s="8" t="s">
        <v>1063</v>
      </c>
      <c r="Q81" s="1">
        <v>5.6000000000000001E-2</v>
      </c>
      <c r="R81" s="14">
        <v>168</v>
      </c>
      <c r="S81" s="8" t="s">
        <v>530</v>
      </c>
      <c r="T81" s="1">
        <v>3.705E-2</v>
      </c>
      <c r="U81" s="1">
        <f t="shared" si="3"/>
        <v>111.15</v>
      </c>
      <c r="V81" s="1" t="str">
        <f>IF(U81&lt;R81,"LCSC","Digikey")</f>
        <v>LCSC</v>
      </c>
      <c r="W81" s="1">
        <f>IF(V81="LCSC",U81,R81)</f>
        <v>111.15</v>
      </c>
      <c r="X81" s="1"/>
      <c r="Y81" s="1"/>
      <c r="Z81" s="1"/>
    </row>
    <row r="82" spans="1:26" x14ac:dyDescent="0.25">
      <c r="A82" s="10" t="s">
        <v>275</v>
      </c>
      <c r="B82" s="8" t="s">
        <v>815</v>
      </c>
      <c r="C82" s="8" t="s">
        <v>884</v>
      </c>
      <c r="D82" s="1" t="s">
        <v>1105</v>
      </c>
      <c r="E82" s="8" t="s">
        <v>886</v>
      </c>
      <c r="F82" s="8" t="s">
        <v>276</v>
      </c>
      <c r="G82" s="8">
        <v>4000</v>
      </c>
      <c r="H82" s="8" t="s">
        <v>1185</v>
      </c>
      <c r="I82" s="8" t="s">
        <v>106</v>
      </c>
      <c r="J82" s="8">
        <v>470</v>
      </c>
      <c r="K82" s="8">
        <v>20</v>
      </c>
      <c r="L82" s="8" t="s">
        <v>695</v>
      </c>
      <c r="M82" s="11" t="s">
        <v>1295</v>
      </c>
      <c r="N82" s="11"/>
      <c r="O82" s="1"/>
      <c r="P82" s="8" t="s">
        <v>1079</v>
      </c>
      <c r="Q82" s="1">
        <v>8.4000000000000005E-2</v>
      </c>
      <c r="R82" s="14">
        <v>336</v>
      </c>
      <c r="S82" s="8" t="s">
        <v>528</v>
      </c>
      <c r="T82" s="1">
        <v>2.6849999999999999E-2</v>
      </c>
      <c r="U82" s="1">
        <f t="shared" si="3"/>
        <v>107.39999999999999</v>
      </c>
      <c r="V82" s="1" t="str">
        <f>IF(U82&lt;R82,"LCSC","Digikey")</f>
        <v>LCSC</v>
      </c>
      <c r="W82" s="1">
        <f>IF(V82="LCSC",U82,R82)</f>
        <v>107.39999999999999</v>
      </c>
      <c r="X82" s="1"/>
      <c r="Y82" s="1"/>
      <c r="Z82" s="1"/>
    </row>
    <row r="83" spans="1:26" x14ac:dyDescent="0.25">
      <c r="A83" s="10" t="s">
        <v>330</v>
      </c>
      <c r="B83" s="8" t="s">
        <v>719</v>
      </c>
      <c r="C83" s="8" t="s">
        <v>884</v>
      </c>
      <c r="D83" s="1" t="s">
        <v>1105</v>
      </c>
      <c r="E83" s="8" t="s">
        <v>887</v>
      </c>
      <c r="F83" s="8" t="s">
        <v>331</v>
      </c>
      <c r="G83" s="8">
        <v>3000</v>
      </c>
      <c r="H83" s="8" t="s">
        <v>1157</v>
      </c>
      <c r="I83" s="8" t="s">
        <v>175</v>
      </c>
      <c r="J83" s="8">
        <v>5336</v>
      </c>
      <c r="K83" s="8">
        <v>20</v>
      </c>
      <c r="L83" s="8" t="s">
        <v>695</v>
      </c>
      <c r="M83" s="18" t="s">
        <v>1296</v>
      </c>
      <c r="N83" s="11">
        <v>3000</v>
      </c>
      <c r="O83" s="1"/>
      <c r="P83" s="8" t="s">
        <v>1018</v>
      </c>
      <c r="Q83" s="1">
        <v>3.5000000000000003E-2</v>
      </c>
      <c r="R83" s="14">
        <v>105</v>
      </c>
      <c r="S83" s="8" t="s">
        <v>564</v>
      </c>
      <c r="T83" s="1">
        <v>2.6849999999999999E-2</v>
      </c>
      <c r="U83" s="1">
        <f t="shared" si="3"/>
        <v>80.55</v>
      </c>
      <c r="V83" s="1" t="str">
        <f>IF(U83&lt;R83,"LCSC","Digikey")</f>
        <v>LCSC</v>
      </c>
      <c r="W83" s="1">
        <f>IF(V83="LCSC",U83,R83)</f>
        <v>80.55</v>
      </c>
      <c r="X83" s="1"/>
      <c r="Y83" s="1"/>
      <c r="Z83" s="1"/>
    </row>
    <row r="84" spans="1:26" x14ac:dyDescent="0.25">
      <c r="A84" s="8" t="s">
        <v>99</v>
      </c>
      <c r="B84" s="8" t="s">
        <v>843</v>
      </c>
      <c r="C84" s="8" t="s">
        <v>884</v>
      </c>
      <c r="D84" s="1" t="s">
        <v>1102</v>
      </c>
      <c r="E84" s="8" t="s">
        <v>892</v>
      </c>
      <c r="F84" s="8" t="s">
        <v>409</v>
      </c>
      <c r="G84" s="8">
        <v>5000</v>
      </c>
      <c r="H84" s="8" t="s">
        <v>219</v>
      </c>
      <c r="I84" s="8" t="s">
        <v>106</v>
      </c>
      <c r="J84" s="8">
        <v>251</v>
      </c>
      <c r="K84" s="8">
        <v>20</v>
      </c>
      <c r="L84" s="8" t="s">
        <v>694</v>
      </c>
      <c r="M84" s="11" t="s">
        <v>697</v>
      </c>
      <c r="N84" s="11"/>
      <c r="O84" s="1"/>
      <c r="P84" s="8" t="s">
        <v>980</v>
      </c>
      <c r="Q84" s="1">
        <v>6.6E-3</v>
      </c>
      <c r="R84" s="14">
        <v>33</v>
      </c>
      <c r="S84" s="8" t="s">
        <v>626</v>
      </c>
      <c r="T84" s="1">
        <v>1.9499999999999999E-3</v>
      </c>
      <c r="U84" s="1">
        <f t="shared" si="3"/>
        <v>9.75</v>
      </c>
      <c r="V84" s="1"/>
      <c r="W84" s="1"/>
      <c r="X84" s="1"/>
      <c r="Y84" s="1"/>
      <c r="Z84" s="1"/>
    </row>
    <row r="85" spans="1:26" x14ac:dyDescent="0.25">
      <c r="A85" s="8" t="s">
        <v>67</v>
      </c>
      <c r="B85" s="8" t="s">
        <v>791</v>
      </c>
      <c r="C85" s="8" t="s">
        <v>884</v>
      </c>
      <c r="D85" s="1" t="s">
        <v>1105</v>
      </c>
      <c r="E85" s="8" t="s">
        <v>891</v>
      </c>
      <c r="F85" s="8" t="s">
        <v>373</v>
      </c>
      <c r="G85" s="8">
        <v>3000</v>
      </c>
      <c r="H85" s="8" t="s">
        <v>184</v>
      </c>
      <c r="I85" s="8" t="s">
        <v>173</v>
      </c>
      <c r="J85" s="8">
        <v>816</v>
      </c>
      <c r="K85" s="8">
        <v>20</v>
      </c>
      <c r="L85" s="8" t="s">
        <v>694</v>
      </c>
      <c r="M85" s="11" t="s">
        <v>697</v>
      </c>
      <c r="N85" s="11"/>
      <c r="O85" s="1"/>
      <c r="P85" s="8" t="s">
        <v>1035</v>
      </c>
      <c r="Q85" s="1">
        <v>4.2999999999999997E-2</v>
      </c>
      <c r="R85" s="14">
        <v>129</v>
      </c>
      <c r="S85" s="8" t="s">
        <v>590</v>
      </c>
      <c r="T85" s="1">
        <v>1.6799999999999999E-2</v>
      </c>
      <c r="U85" s="1">
        <f t="shared" si="3"/>
        <v>50.4</v>
      </c>
      <c r="V85" s="1"/>
      <c r="W85" s="1"/>
      <c r="X85" s="1"/>
      <c r="Y85" s="1"/>
      <c r="Z85" s="1"/>
    </row>
    <row r="86" spans="1:26" x14ac:dyDescent="0.25">
      <c r="A86" s="8" t="s">
        <v>96</v>
      </c>
      <c r="B86" s="8" t="s">
        <v>770</v>
      </c>
      <c r="C86" s="8" t="s">
        <v>884</v>
      </c>
      <c r="D86" s="1" t="s">
        <v>1102</v>
      </c>
      <c r="E86" s="8" t="s">
        <v>894</v>
      </c>
      <c r="F86" s="8" t="s">
        <v>406</v>
      </c>
      <c r="G86" s="8">
        <v>5000</v>
      </c>
      <c r="H86" s="8" t="s">
        <v>216</v>
      </c>
      <c r="I86" s="8" t="s">
        <v>106</v>
      </c>
      <c r="J86" s="8">
        <v>1371</v>
      </c>
      <c r="K86" s="8">
        <v>19</v>
      </c>
      <c r="L86" s="8" t="s">
        <v>694</v>
      </c>
      <c r="M86" s="11" t="s">
        <v>697</v>
      </c>
      <c r="N86" s="11"/>
      <c r="O86" s="1"/>
      <c r="P86" s="8" t="s">
        <v>951</v>
      </c>
      <c r="Q86" s="1">
        <v>4.7000000000000002E-3</v>
      </c>
      <c r="R86" s="14">
        <v>23.5</v>
      </c>
      <c r="S86" s="8" t="s">
        <v>623</v>
      </c>
      <c r="T86" s="1">
        <v>1.2000000000000001E-3</v>
      </c>
      <c r="U86" s="1">
        <f t="shared" si="3"/>
        <v>6.0000000000000009</v>
      </c>
      <c r="V86" s="1"/>
      <c r="W86" s="1"/>
      <c r="X86" s="1"/>
      <c r="Y86" s="1"/>
      <c r="Z86" s="1"/>
    </row>
    <row r="87" spans="1:26" x14ac:dyDescent="0.25">
      <c r="A87" s="8" t="s">
        <v>95</v>
      </c>
      <c r="B87" s="8" t="s">
        <v>787</v>
      </c>
      <c r="C87" s="8" t="s">
        <v>884</v>
      </c>
      <c r="D87" s="1" t="s">
        <v>1102</v>
      </c>
      <c r="E87" s="8" t="s">
        <v>894</v>
      </c>
      <c r="F87" s="8" t="s">
        <v>405</v>
      </c>
      <c r="G87" s="8">
        <v>5000</v>
      </c>
      <c r="H87" s="8" t="s">
        <v>215</v>
      </c>
      <c r="I87" s="8" t="s">
        <v>106</v>
      </c>
      <c r="J87" s="8">
        <v>894</v>
      </c>
      <c r="K87" s="8">
        <v>19</v>
      </c>
      <c r="L87" s="8" t="s">
        <v>694</v>
      </c>
      <c r="M87" s="11" t="s">
        <v>697</v>
      </c>
      <c r="N87" s="11"/>
      <c r="O87" s="1"/>
      <c r="P87" s="8" t="s">
        <v>955</v>
      </c>
      <c r="Q87" s="1">
        <v>3.0999999999999999E-3</v>
      </c>
      <c r="R87" s="14">
        <v>15.5</v>
      </c>
      <c r="S87" s="8" t="s">
        <v>622</v>
      </c>
      <c r="T87" s="1">
        <v>1.0499999999999999E-3</v>
      </c>
      <c r="U87" s="1">
        <f t="shared" si="3"/>
        <v>5.25</v>
      </c>
      <c r="V87" s="1"/>
      <c r="W87" s="1"/>
      <c r="X87" s="1"/>
      <c r="Y87" s="1"/>
      <c r="Z87" s="1"/>
    </row>
    <row r="88" spans="1:26" x14ac:dyDescent="0.25">
      <c r="A88" s="8" t="s">
        <v>3</v>
      </c>
      <c r="B88" s="8" t="s">
        <v>709</v>
      </c>
      <c r="C88" s="8" t="s">
        <v>884</v>
      </c>
      <c r="D88" s="1" t="s">
        <v>1102</v>
      </c>
      <c r="E88" s="8" t="s">
        <v>894</v>
      </c>
      <c r="F88" s="8" t="s">
        <v>287</v>
      </c>
      <c r="G88" s="8">
        <v>15000</v>
      </c>
      <c r="H88" s="8" t="s">
        <v>110</v>
      </c>
      <c r="I88" s="8" t="s">
        <v>108</v>
      </c>
      <c r="J88" s="8">
        <v>10825</v>
      </c>
      <c r="K88" s="8">
        <v>19</v>
      </c>
      <c r="L88" s="8" t="s">
        <v>694</v>
      </c>
      <c r="M88" s="11" t="s">
        <v>697</v>
      </c>
      <c r="N88" s="11"/>
      <c r="O88" s="1"/>
      <c r="P88" s="8" t="s">
        <v>1048</v>
      </c>
      <c r="Q88" s="1">
        <v>9.2999999999999992E-3</v>
      </c>
      <c r="R88" s="14">
        <v>139.5</v>
      </c>
      <c r="S88" s="8" t="s">
        <v>534</v>
      </c>
      <c r="T88" s="1">
        <v>2.5049999999999999E-2</v>
      </c>
      <c r="U88" s="1">
        <f t="shared" si="3"/>
        <v>375.75</v>
      </c>
      <c r="V88" s="1"/>
      <c r="W88" s="1"/>
      <c r="X88" s="1"/>
      <c r="Y88" s="1"/>
      <c r="Z88" s="1"/>
    </row>
    <row r="89" spans="1:26" x14ac:dyDescent="0.25">
      <c r="A89" s="8" t="s">
        <v>75</v>
      </c>
      <c r="B89" s="8" t="s">
        <v>827</v>
      </c>
      <c r="C89" s="8" t="s">
        <v>884</v>
      </c>
      <c r="D89" s="1" t="s">
        <v>1102</v>
      </c>
      <c r="E89" s="8" t="s">
        <v>892</v>
      </c>
      <c r="F89" s="8" t="s">
        <v>251</v>
      </c>
      <c r="G89" s="8">
        <v>4000</v>
      </c>
      <c r="H89" s="8" t="s">
        <v>192</v>
      </c>
      <c r="I89" s="8" t="s">
        <v>190</v>
      </c>
      <c r="J89" s="8">
        <v>402</v>
      </c>
      <c r="K89" s="8">
        <v>19</v>
      </c>
      <c r="L89" s="8" t="s">
        <v>694</v>
      </c>
      <c r="M89" s="11" t="s">
        <v>697</v>
      </c>
      <c r="N89" s="11"/>
      <c r="O89" s="1"/>
      <c r="P89" s="8" t="s">
        <v>1073</v>
      </c>
      <c r="Q89" s="1">
        <v>0.105</v>
      </c>
      <c r="R89" s="14">
        <v>420</v>
      </c>
      <c r="S89" s="8" t="s">
        <v>513</v>
      </c>
      <c r="T89" s="1">
        <v>8.2500000000000004E-3</v>
      </c>
      <c r="U89" s="1">
        <f t="shared" si="3"/>
        <v>33</v>
      </c>
      <c r="V89" s="1"/>
      <c r="W89" s="1"/>
      <c r="X89" s="1"/>
      <c r="Y89" s="1"/>
      <c r="Z89" s="1"/>
    </row>
    <row r="90" spans="1:26" x14ac:dyDescent="0.25">
      <c r="A90" s="10" t="s">
        <v>281</v>
      </c>
      <c r="B90" s="8" t="s">
        <v>808</v>
      </c>
      <c r="C90" s="8" t="s">
        <v>884</v>
      </c>
      <c r="D90" s="1" t="s">
        <v>1102</v>
      </c>
      <c r="E90" s="8" t="s">
        <v>892</v>
      </c>
      <c r="F90" s="8" t="s">
        <v>282</v>
      </c>
      <c r="G90" s="8">
        <v>10000</v>
      </c>
      <c r="H90" s="8" t="s">
        <v>1170</v>
      </c>
      <c r="I90" s="8" t="s">
        <v>114</v>
      </c>
      <c r="J90" s="8">
        <v>514</v>
      </c>
      <c r="K90" s="8">
        <v>19</v>
      </c>
      <c r="L90" s="8" t="s">
        <v>695</v>
      </c>
      <c r="M90" s="18" t="s">
        <v>1296</v>
      </c>
      <c r="N90" s="11">
        <v>3000</v>
      </c>
      <c r="O90" s="1"/>
      <c r="P90" s="8" t="s">
        <v>1060</v>
      </c>
      <c r="Q90" s="1">
        <v>0.04</v>
      </c>
      <c r="R90" s="14">
        <v>400</v>
      </c>
      <c r="S90" s="8" t="s">
        <v>531</v>
      </c>
      <c r="T90" s="1">
        <v>2.325E-2</v>
      </c>
      <c r="U90" s="1">
        <f t="shared" si="3"/>
        <v>232.5</v>
      </c>
      <c r="V90" s="1" t="str">
        <f>IF(U90&lt;R90,"LCSC","Digikey")</f>
        <v>LCSC</v>
      </c>
      <c r="W90" s="1">
        <f>IF(V90="LCSC",U90,R90)</f>
        <v>232.5</v>
      </c>
      <c r="X90" s="1"/>
      <c r="Y90" s="1"/>
      <c r="Z90" s="1"/>
    </row>
    <row r="91" spans="1:26" x14ac:dyDescent="0.25">
      <c r="A91" s="10" t="s">
        <v>430</v>
      </c>
      <c r="B91" s="8" t="s">
        <v>872</v>
      </c>
      <c r="C91" s="8" t="s">
        <v>884</v>
      </c>
      <c r="D91" s="1" t="s">
        <v>1102</v>
      </c>
      <c r="E91" s="8" t="s">
        <v>893</v>
      </c>
      <c r="F91" s="8" t="s">
        <v>431</v>
      </c>
      <c r="G91" s="8">
        <v>5000</v>
      </c>
      <c r="H91" s="8" t="s">
        <v>1143</v>
      </c>
      <c r="I91" s="8" t="s">
        <v>106</v>
      </c>
      <c r="J91" s="8">
        <v>50</v>
      </c>
      <c r="K91" s="8">
        <v>19</v>
      </c>
      <c r="L91" s="8" t="s">
        <v>695</v>
      </c>
      <c r="M91" s="11" t="s">
        <v>1295</v>
      </c>
      <c r="N91" s="11"/>
      <c r="O91" s="1"/>
      <c r="P91" s="8" t="s">
        <v>982</v>
      </c>
      <c r="Q91" s="1">
        <v>0.03</v>
      </c>
      <c r="R91" s="14">
        <v>150</v>
      </c>
      <c r="S91" s="8" t="s">
        <v>638</v>
      </c>
      <c r="T91" s="1">
        <v>1.2149999999999999E-2</v>
      </c>
      <c r="U91" s="1">
        <f t="shared" si="3"/>
        <v>60.75</v>
      </c>
      <c r="V91" s="1" t="str">
        <f>IF(U91&lt;R91,"LCSC","Digikey")</f>
        <v>LCSC</v>
      </c>
      <c r="W91" s="1">
        <f>IF(V91="LCSC",U91,R91)</f>
        <v>60.75</v>
      </c>
      <c r="X91" s="1"/>
      <c r="Y91" s="1"/>
      <c r="Z91" s="1"/>
    </row>
    <row r="92" spans="1:26" x14ac:dyDescent="0.25">
      <c r="A92" s="10" t="s">
        <v>333</v>
      </c>
      <c r="B92" s="8" t="s">
        <v>783</v>
      </c>
      <c r="C92" s="8" t="s">
        <v>884</v>
      </c>
      <c r="D92" s="1" t="s">
        <v>1105</v>
      </c>
      <c r="E92" s="8" t="s">
        <v>891</v>
      </c>
      <c r="F92" s="8" t="s">
        <v>334</v>
      </c>
      <c r="G92" s="8">
        <v>3000</v>
      </c>
      <c r="H92" s="8" t="s">
        <v>1159</v>
      </c>
      <c r="I92" s="8" t="s">
        <v>175</v>
      </c>
      <c r="J92" s="8">
        <v>955</v>
      </c>
      <c r="K92" s="8">
        <v>19</v>
      </c>
      <c r="L92" s="8" t="s">
        <v>695</v>
      </c>
      <c r="M92" s="11" t="s">
        <v>1295</v>
      </c>
      <c r="N92" s="11"/>
      <c r="O92" s="1"/>
      <c r="P92" s="8" t="s">
        <v>1028</v>
      </c>
      <c r="Q92" s="1">
        <v>2.8000000000000001E-2</v>
      </c>
      <c r="R92" s="14">
        <v>84</v>
      </c>
      <c r="S92" s="8" t="s">
        <v>566</v>
      </c>
      <c r="T92" s="1">
        <v>1.5599999999999999E-2</v>
      </c>
      <c r="U92" s="1">
        <f t="shared" si="3"/>
        <v>46.8</v>
      </c>
      <c r="V92" s="1" t="str">
        <f>IF(U92&lt;R92,"LCSC","Digikey")</f>
        <v>LCSC</v>
      </c>
      <c r="W92" s="1">
        <f>IF(V92="LCSC",U92,R92)</f>
        <v>46.8</v>
      </c>
      <c r="X92" s="1"/>
      <c r="Y92" s="1"/>
      <c r="Z92" s="1"/>
    </row>
    <row r="93" spans="1:26" x14ac:dyDescent="0.25">
      <c r="A93" s="10" t="s">
        <v>435</v>
      </c>
      <c r="B93" s="8" t="s">
        <v>775</v>
      </c>
      <c r="C93" s="8" t="s">
        <v>884</v>
      </c>
      <c r="D93" s="1" t="s">
        <v>1103</v>
      </c>
      <c r="E93" s="8" t="s">
        <v>889</v>
      </c>
      <c r="F93" s="8" t="s">
        <v>436</v>
      </c>
      <c r="G93" s="8">
        <v>4000</v>
      </c>
      <c r="H93" s="8" t="s">
        <v>1145</v>
      </c>
      <c r="I93" s="8" t="s">
        <v>1135</v>
      </c>
      <c r="J93" s="8">
        <v>1265</v>
      </c>
      <c r="K93" s="8">
        <v>19</v>
      </c>
      <c r="L93" s="8" t="s">
        <v>695</v>
      </c>
      <c r="M93" s="11" t="s">
        <v>1295</v>
      </c>
      <c r="N93" s="11"/>
      <c r="O93" s="1"/>
      <c r="P93" s="8" t="s">
        <v>989</v>
      </c>
      <c r="Q93" s="1">
        <v>4.3999999999999997E-2</v>
      </c>
      <c r="R93" s="14">
        <v>176</v>
      </c>
      <c r="S93" s="8" t="s">
        <v>641</v>
      </c>
      <c r="T93" s="1">
        <v>8.0999999999999996E-3</v>
      </c>
      <c r="U93" s="1">
        <f t="shared" si="3"/>
        <v>32.4</v>
      </c>
      <c r="V93" s="1" t="str">
        <f>IF(U93&lt;R93,"LCSC","Digikey")</f>
        <v>LCSC</v>
      </c>
      <c r="W93" s="1">
        <f>IF(V93="LCSC",U93,R93)</f>
        <v>32.4</v>
      </c>
      <c r="X93" s="1"/>
      <c r="Y93" s="1"/>
      <c r="Z93" s="1"/>
    </row>
    <row r="94" spans="1:26" x14ac:dyDescent="0.25">
      <c r="A94" s="10" t="s">
        <v>433</v>
      </c>
      <c r="B94" s="8" t="s">
        <v>865</v>
      </c>
      <c r="C94" s="8" t="s">
        <v>884</v>
      </c>
      <c r="D94" s="1" t="s">
        <v>1102</v>
      </c>
      <c r="E94" s="8" t="s">
        <v>892</v>
      </c>
      <c r="F94" s="8" t="s">
        <v>434</v>
      </c>
      <c r="G94" s="8">
        <v>5000</v>
      </c>
      <c r="H94" s="8" t="s">
        <v>1141</v>
      </c>
      <c r="I94" s="8" t="s">
        <v>106</v>
      </c>
      <c r="J94" s="8">
        <v>116</v>
      </c>
      <c r="K94" s="8">
        <v>19</v>
      </c>
      <c r="L94" s="8" t="s">
        <v>695</v>
      </c>
      <c r="M94" s="11" t="s">
        <v>1295</v>
      </c>
      <c r="N94" s="11"/>
      <c r="O94" s="1"/>
      <c r="P94" s="8" t="s">
        <v>969</v>
      </c>
      <c r="Q94" s="1">
        <v>6.3E-3</v>
      </c>
      <c r="R94" s="14">
        <v>31.5</v>
      </c>
      <c r="S94" s="8" t="s">
        <v>640</v>
      </c>
      <c r="T94" s="1">
        <v>1.8E-3</v>
      </c>
      <c r="U94" s="1">
        <f t="shared" si="3"/>
        <v>9</v>
      </c>
      <c r="V94" s="1" t="str">
        <f>IF(U94&lt;R94,"LCSC","Digikey")</f>
        <v>LCSC</v>
      </c>
      <c r="W94" s="1">
        <f>IF(V94="LCSC",U94,R94)</f>
        <v>9</v>
      </c>
      <c r="X94" s="1"/>
      <c r="Y94" s="1"/>
      <c r="Z94" s="1"/>
    </row>
    <row r="95" spans="1:26" x14ac:dyDescent="0.25">
      <c r="A95" s="8" t="s">
        <v>48</v>
      </c>
      <c r="B95" s="8" t="s">
        <v>755</v>
      </c>
      <c r="C95" s="8" t="s">
        <v>884</v>
      </c>
      <c r="D95" s="1" t="s">
        <v>1102</v>
      </c>
      <c r="E95" s="8" t="s">
        <v>892</v>
      </c>
      <c r="F95" s="8" t="s">
        <v>396</v>
      </c>
      <c r="G95" s="8">
        <v>5000</v>
      </c>
      <c r="H95" s="8" t="s">
        <v>160</v>
      </c>
      <c r="I95" s="8" t="s">
        <v>159</v>
      </c>
      <c r="J95" s="8">
        <v>1768</v>
      </c>
      <c r="K95" s="8">
        <v>19</v>
      </c>
      <c r="L95" s="8" t="s">
        <v>694</v>
      </c>
      <c r="M95" s="11" t="s">
        <v>697</v>
      </c>
      <c r="N95" s="11"/>
      <c r="O95" s="1"/>
      <c r="P95" s="8" t="s">
        <v>976</v>
      </c>
      <c r="Q95" s="1">
        <v>1.7999999999999999E-2</v>
      </c>
      <c r="R95" s="14">
        <v>90</v>
      </c>
      <c r="S95" s="8" t="s">
        <v>613</v>
      </c>
      <c r="T95" s="1">
        <v>6.3E-3</v>
      </c>
      <c r="U95" s="1">
        <f t="shared" si="3"/>
        <v>31.5</v>
      </c>
      <c r="V95" s="1"/>
      <c r="W95" s="1"/>
      <c r="X95" s="1"/>
      <c r="Y95" s="1"/>
      <c r="Z95" s="1"/>
    </row>
    <row r="96" spans="1:26" x14ac:dyDescent="0.25">
      <c r="A96" s="8" t="s">
        <v>97</v>
      </c>
      <c r="B96" s="8" t="s">
        <v>793</v>
      </c>
      <c r="C96" s="8" t="s">
        <v>884</v>
      </c>
      <c r="D96" s="1" t="s">
        <v>1102</v>
      </c>
      <c r="E96" s="8" t="s">
        <v>892</v>
      </c>
      <c r="F96" s="8" t="s">
        <v>407</v>
      </c>
      <c r="G96" s="8">
        <v>5000</v>
      </c>
      <c r="H96" s="8" t="s">
        <v>217</v>
      </c>
      <c r="I96" s="8" t="s">
        <v>106</v>
      </c>
      <c r="J96" s="8">
        <v>789</v>
      </c>
      <c r="K96" s="8">
        <v>19</v>
      </c>
      <c r="L96" s="8" t="s">
        <v>694</v>
      </c>
      <c r="M96" s="11" t="s">
        <v>697</v>
      </c>
      <c r="N96" s="11"/>
      <c r="O96" s="1"/>
      <c r="P96" s="8" t="s">
        <v>977</v>
      </c>
      <c r="Q96" s="1">
        <v>6.3E-3</v>
      </c>
      <c r="R96" s="14">
        <v>31.5</v>
      </c>
      <c r="S96" s="8" t="s">
        <v>624</v>
      </c>
      <c r="T96" s="1">
        <v>1.8E-3</v>
      </c>
      <c r="U96" s="1">
        <f t="shared" si="3"/>
        <v>9</v>
      </c>
      <c r="V96" s="1"/>
      <c r="W96" s="1"/>
      <c r="X96" s="1"/>
      <c r="Y96" s="1"/>
      <c r="Z96" s="1"/>
    </row>
    <row r="97" spans="1:26" x14ac:dyDescent="0.25">
      <c r="A97" s="10" t="s">
        <v>335</v>
      </c>
      <c r="B97" s="8" t="s">
        <v>844</v>
      </c>
      <c r="C97" s="8" t="s">
        <v>884</v>
      </c>
      <c r="D97" s="1" t="s">
        <v>1105</v>
      </c>
      <c r="E97" s="8" t="s">
        <v>900</v>
      </c>
      <c r="F97" s="8" t="s">
        <v>336</v>
      </c>
      <c r="G97" s="8">
        <v>3000</v>
      </c>
      <c r="H97" s="8" t="s">
        <v>1201</v>
      </c>
      <c r="I97" s="8" t="s">
        <v>1202</v>
      </c>
      <c r="J97" s="8">
        <v>250</v>
      </c>
      <c r="K97" s="8">
        <v>18</v>
      </c>
      <c r="L97" s="8" t="s">
        <v>695</v>
      </c>
      <c r="M97" s="11" t="s">
        <v>1297</v>
      </c>
      <c r="N97" s="11">
        <v>73</v>
      </c>
      <c r="O97" s="1"/>
      <c r="P97" s="8" t="s">
        <v>1040</v>
      </c>
      <c r="Q97" s="1">
        <v>0.112</v>
      </c>
      <c r="R97" s="14">
        <v>336</v>
      </c>
      <c r="S97" s="8" t="s">
        <v>567</v>
      </c>
      <c r="T97" s="1">
        <v>0.10200000000000001</v>
      </c>
      <c r="U97" s="1">
        <f t="shared" si="3"/>
        <v>306</v>
      </c>
      <c r="V97" s="1"/>
      <c r="W97" s="1"/>
      <c r="X97" s="1"/>
      <c r="Y97" s="1"/>
      <c r="Z97" s="1"/>
    </row>
    <row r="98" spans="1:26" x14ac:dyDescent="0.25">
      <c r="A98" s="10" t="s">
        <v>283</v>
      </c>
      <c r="B98" s="8" t="s">
        <v>816</v>
      </c>
      <c r="C98" s="8" t="s">
        <v>884</v>
      </c>
      <c r="D98" s="1" t="s">
        <v>1102</v>
      </c>
      <c r="E98" s="8" t="s">
        <v>892</v>
      </c>
      <c r="F98" s="8" t="s">
        <v>284</v>
      </c>
      <c r="G98" s="8">
        <v>4000</v>
      </c>
      <c r="H98" s="8" t="s">
        <v>1207</v>
      </c>
      <c r="I98" s="8" t="s">
        <v>108</v>
      </c>
      <c r="J98" s="8">
        <v>468</v>
      </c>
      <c r="K98" s="8">
        <v>18</v>
      </c>
      <c r="L98" s="8" t="s">
        <v>695</v>
      </c>
      <c r="M98" s="11" t="s">
        <v>1298</v>
      </c>
      <c r="N98" s="11">
        <v>4000</v>
      </c>
      <c r="O98" s="1"/>
      <c r="P98" s="8" t="s">
        <v>1062</v>
      </c>
      <c r="Q98" s="1">
        <v>1.6E-2</v>
      </c>
      <c r="R98" s="14">
        <v>64</v>
      </c>
      <c r="S98" s="8" t="s">
        <v>532</v>
      </c>
      <c r="T98" s="1">
        <v>6.3E-3</v>
      </c>
      <c r="U98" s="1">
        <f t="shared" si="3"/>
        <v>25.2</v>
      </c>
      <c r="V98" s="1"/>
      <c r="W98" s="1"/>
      <c r="X98" s="1"/>
      <c r="Y98" s="1"/>
      <c r="Z98" s="1"/>
    </row>
    <row r="99" spans="1:26" x14ac:dyDescent="0.25">
      <c r="A99" s="8" t="s">
        <v>40</v>
      </c>
      <c r="B99" s="8" t="s">
        <v>799</v>
      </c>
      <c r="C99" s="8" t="s">
        <v>884</v>
      </c>
      <c r="D99" s="1" t="s">
        <v>1102</v>
      </c>
      <c r="E99" s="8" t="s">
        <v>894</v>
      </c>
      <c r="F99" s="8" t="s">
        <v>388</v>
      </c>
      <c r="G99" s="8">
        <v>5000</v>
      </c>
      <c r="H99" s="8" t="s">
        <v>151</v>
      </c>
      <c r="I99" s="8" t="s">
        <v>106</v>
      </c>
      <c r="J99" s="8">
        <v>688</v>
      </c>
      <c r="K99" s="8">
        <v>18</v>
      </c>
      <c r="L99" s="8" t="s">
        <v>694</v>
      </c>
      <c r="M99" s="11" t="s">
        <v>697</v>
      </c>
      <c r="N99" s="11"/>
      <c r="O99" s="1"/>
      <c r="P99" s="8" t="s">
        <v>957</v>
      </c>
      <c r="Q99" s="1">
        <v>3.0999999999999999E-3</v>
      </c>
      <c r="R99" s="14">
        <v>15.5</v>
      </c>
      <c r="S99" s="8" t="s">
        <v>605</v>
      </c>
      <c r="T99" s="1">
        <v>1.2000000000000001E-3</v>
      </c>
      <c r="U99" s="1">
        <f t="shared" si="3"/>
        <v>6.0000000000000009</v>
      </c>
      <c r="V99" s="1"/>
      <c r="W99" s="1"/>
      <c r="X99" s="1"/>
      <c r="Y99" s="1"/>
      <c r="Z99" s="1"/>
    </row>
    <row r="100" spans="1:26" x14ac:dyDescent="0.25">
      <c r="A100" s="10" t="s">
        <v>437</v>
      </c>
      <c r="B100" s="8" t="s">
        <v>825</v>
      </c>
      <c r="C100" s="8" t="s">
        <v>884</v>
      </c>
      <c r="D100" s="1" t="s">
        <v>1103</v>
      </c>
      <c r="E100" s="8" t="s">
        <v>889</v>
      </c>
      <c r="F100" s="8" t="s">
        <v>438</v>
      </c>
      <c r="G100" s="8">
        <v>4000</v>
      </c>
      <c r="H100" s="8" t="s">
        <v>1146</v>
      </c>
      <c r="I100" s="8" t="s">
        <v>106</v>
      </c>
      <c r="J100" s="8">
        <v>417</v>
      </c>
      <c r="K100" s="8">
        <v>18</v>
      </c>
      <c r="L100" s="8" t="s">
        <v>695</v>
      </c>
      <c r="M100" s="11" t="s">
        <v>1295</v>
      </c>
      <c r="N100" s="11"/>
      <c r="O100" s="1"/>
      <c r="P100" s="8" t="s">
        <v>991</v>
      </c>
      <c r="Q100" s="1">
        <v>3.1E-2</v>
      </c>
      <c r="R100" s="14">
        <v>124</v>
      </c>
      <c r="S100" s="8" t="s">
        <v>642</v>
      </c>
      <c r="T100" s="1">
        <v>3.2250000000000001E-2</v>
      </c>
      <c r="U100" s="1">
        <f t="shared" si="3"/>
        <v>129</v>
      </c>
      <c r="V100" s="1" t="str">
        <f>IF(U100&lt;R100,"LCSC","Digikey")</f>
        <v>Digikey</v>
      </c>
      <c r="W100" s="1">
        <f>IF(V100="LCSC",U100,R100)</f>
        <v>124</v>
      </c>
      <c r="X100" s="1"/>
      <c r="Y100" s="1"/>
      <c r="Z100" s="1"/>
    </row>
    <row r="101" spans="1:26" x14ac:dyDescent="0.25">
      <c r="A101" s="10" t="s">
        <v>441</v>
      </c>
      <c r="B101" s="8" t="s">
        <v>756</v>
      </c>
      <c r="C101" s="8" t="s">
        <v>884</v>
      </c>
      <c r="D101" s="1" t="s">
        <v>1103</v>
      </c>
      <c r="E101" s="8" t="s">
        <v>889</v>
      </c>
      <c r="F101" s="8" t="s">
        <v>442</v>
      </c>
      <c r="G101" s="8">
        <v>4000</v>
      </c>
      <c r="H101" s="8" t="s">
        <v>1169</v>
      </c>
      <c r="I101" s="8" t="s">
        <v>106</v>
      </c>
      <c r="J101" s="8">
        <v>1726</v>
      </c>
      <c r="K101" s="8">
        <v>17</v>
      </c>
      <c r="L101" s="8" t="s">
        <v>695</v>
      </c>
      <c r="M101" s="11" t="s">
        <v>1298</v>
      </c>
      <c r="N101" s="11">
        <v>4000</v>
      </c>
      <c r="O101" s="1"/>
      <c r="P101" s="8" t="s">
        <v>987</v>
      </c>
      <c r="Q101" s="1">
        <v>2.9000000000000001E-2</v>
      </c>
      <c r="R101" s="14">
        <v>116</v>
      </c>
      <c r="S101" s="8" t="s">
        <v>644</v>
      </c>
      <c r="T101" s="1">
        <v>1.575E-2</v>
      </c>
      <c r="U101" s="1">
        <f t="shared" si="3"/>
        <v>63</v>
      </c>
      <c r="V101" s="1"/>
      <c r="W101" s="1"/>
      <c r="X101" s="1"/>
      <c r="Y101" s="1"/>
      <c r="Z101" s="1"/>
    </row>
    <row r="102" spans="1:26" x14ac:dyDescent="0.25">
      <c r="A102" s="10" t="s">
        <v>337</v>
      </c>
      <c r="B102" s="8" t="s">
        <v>794</v>
      </c>
      <c r="C102" s="8" t="s">
        <v>884</v>
      </c>
      <c r="D102" s="1" t="s">
        <v>1103</v>
      </c>
      <c r="E102" s="8" t="s">
        <v>897</v>
      </c>
      <c r="F102" s="8" t="s">
        <v>338</v>
      </c>
      <c r="G102" s="8">
        <v>5000</v>
      </c>
      <c r="H102" s="8" t="s">
        <v>1155</v>
      </c>
      <c r="I102" s="8" t="s">
        <v>175</v>
      </c>
      <c r="J102" s="8">
        <v>758</v>
      </c>
      <c r="K102" s="8">
        <v>17</v>
      </c>
      <c r="L102" s="8" t="s">
        <v>695</v>
      </c>
      <c r="M102" s="11" t="s">
        <v>1295</v>
      </c>
      <c r="N102" s="11"/>
      <c r="O102" s="1"/>
      <c r="P102" s="8" t="s">
        <v>1013</v>
      </c>
      <c r="Q102" s="1">
        <v>0.104</v>
      </c>
      <c r="R102" s="14">
        <v>520</v>
      </c>
      <c r="S102" s="8" t="s">
        <v>568</v>
      </c>
      <c r="T102" s="1">
        <v>5.5650000000000005E-2</v>
      </c>
      <c r="U102" s="1">
        <f t="shared" si="3"/>
        <v>278.25</v>
      </c>
      <c r="V102" s="1" t="str">
        <f>IF(U102&lt;R102,"LCSC","Digikey")</f>
        <v>LCSC</v>
      </c>
      <c r="W102" s="1">
        <f>IF(V102="LCSC",U102,R102)</f>
        <v>278.25</v>
      </c>
      <c r="X102" s="1"/>
      <c r="Y102" s="1"/>
      <c r="Z102" s="1"/>
    </row>
    <row r="103" spans="1:26" x14ac:dyDescent="0.25">
      <c r="A103" s="10" t="s">
        <v>364</v>
      </c>
      <c r="B103" s="8" t="s">
        <v>839</v>
      </c>
      <c r="C103" s="8" t="s">
        <v>884</v>
      </c>
      <c r="D103" s="1" t="s">
        <v>1105</v>
      </c>
      <c r="E103" s="8" t="s">
        <v>896</v>
      </c>
      <c r="F103" s="8" t="s">
        <v>365</v>
      </c>
      <c r="G103" s="8">
        <v>3000</v>
      </c>
      <c r="H103" s="8" t="s">
        <v>1162</v>
      </c>
      <c r="I103" s="8" t="s">
        <v>1163</v>
      </c>
      <c r="J103" s="8">
        <v>287</v>
      </c>
      <c r="K103" s="8">
        <v>17</v>
      </c>
      <c r="L103" s="8" t="s">
        <v>695</v>
      </c>
      <c r="M103" s="11" t="s">
        <v>1295</v>
      </c>
      <c r="N103" s="11"/>
      <c r="O103" s="1"/>
      <c r="P103" s="8" t="s">
        <v>1039</v>
      </c>
      <c r="Q103" s="1">
        <v>5.1999999999999998E-2</v>
      </c>
      <c r="R103" s="14">
        <v>156</v>
      </c>
      <c r="S103" s="8" t="s">
        <v>587</v>
      </c>
      <c r="T103" s="1">
        <v>5.4150000000000004E-2</v>
      </c>
      <c r="U103" s="1">
        <f t="shared" si="3"/>
        <v>162.45000000000002</v>
      </c>
      <c r="V103" s="1" t="str">
        <f>IF(U103&lt;R103,"LCSC","Digikey")</f>
        <v>Digikey</v>
      </c>
      <c r="W103" s="1">
        <f>IF(V103="LCSC",U103,R103)</f>
        <v>156</v>
      </c>
      <c r="X103" s="1"/>
      <c r="Y103" s="1"/>
      <c r="Z103" s="1"/>
    </row>
    <row r="104" spans="1:26" x14ac:dyDescent="0.25">
      <c r="A104" s="10" t="s">
        <v>439</v>
      </c>
      <c r="B104" s="8" t="s">
        <v>870</v>
      </c>
      <c r="C104" s="8" t="s">
        <v>884</v>
      </c>
      <c r="D104" s="1" t="s">
        <v>1102</v>
      </c>
      <c r="E104" s="8" t="s">
        <v>894</v>
      </c>
      <c r="F104" s="8" t="s">
        <v>440</v>
      </c>
      <c r="G104" s="8">
        <v>5000</v>
      </c>
      <c r="H104" s="8" t="s">
        <v>1132</v>
      </c>
      <c r="I104" s="8" t="s">
        <v>106</v>
      </c>
      <c r="J104" s="8">
        <v>57</v>
      </c>
      <c r="K104" s="8">
        <v>17</v>
      </c>
      <c r="L104" s="8" t="s">
        <v>695</v>
      </c>
      <c r="M104" s="11" t="s">
        <v>1295</v>
      </c>
      <c r="N104" s="11"/>
      <c r="O104" s="1"/>
      <c r="P104" s="8" t="s">
        <v>913</v>
      </c>
      <c r="Q104" s="1">
        <v>3.0999999999999999E-3</v>
      </c>
      <c r="R104" s="14">
        <v>15.5</v>
      </c>
      <c r="S104" s="8" t="s">
        <v>643</v>
      </c>
      <c r="T104" s="1">
        <v>1.2000000000000001E-3</v>
      </c>
      <c r="U104" s="1">
        <f t="shared" si="3"/>
        <v>6.0000000000000009</v>
      </c>
      <c r="V104" s="1" t="str">
        <f>IF(U104&lt;R104,"LCSC","Digikey")</f>
        <v>LCSC</v>
      </c>
      <c r="W104" s="1">
        <f>IF(V104="LCSC",U104,R104)</f>
        <v>6.0000000000000009</v>
      </c>
      <c r="X104" s="1"/>
      <c r="Y104" s="1"/>
      <c r="Z104" s="1"/>
    </row>
    <row r="105" spans="1:26" x14ac:dyDescent="0.25">
      <c r="A105" s="8" t="s">
        <v>78</v>
      </c>
      <c r="B105" s="8" t="s">
        <v>822</v>
      </c>
      <c r="C105" s="8" t="s">
        <v>884</v>
      </c>
      <c r="D105" s="1" t="s">
        <v>1102</v>
      </c>
      <c r="E105" s="8" t="s">
        <v>892</v>
      </c>
      <c r="F105" s="8" t="s">
        <v>254</v>
      </c>
      <c r="G105" s="8">
        <v>2500</v>
      </c>
      <c r="H105" s="8" t="s">
        <v>195</v>
      </c>
      <c r="I105" s="8" t="s">
        <v>194</v>
      </c>
      <c r="J105" s="8">
        <v>428</v>
      </c>
      <c r="K105" s="8">
        <v>17</v>
      </c>
      <c r="L105" s="8" t="s">
        <v>694</v>
      </c>
      <c r="M105" s="11" t="s">
        <v>697</v>
      </c>
      <c r="N105" s="11"/>
      <c r="O105" s="1"/>
      <c r="P105" s="8" t="s">
        <v>1072</v>
      </c>
      <c r="Q105" s="1">
        <v>3.1E-2</v>
      </c>
      <c r="R105" s="14">
        <v>77.5</v>
      </c>
      <c r="S105" s="8" t="s">
        <v>516</v>
      </c>
      <c r="T105" s="1">
        <v>7.1999999999999998E-3</v>
      </c>
      <c r="U105" s="1">
        <f t="shared" si="3"/>
        <v>18</v>
      </c>
      <c r="V105" s="1"/>
      <c r="W105" s="1"/>
      <c r="X105" s="1"/>
      <c r="Y105" s="1"/>
      <c r="Z105" s="1"/>
    </row>
    <row r="106" spans="1:26" x14ac:dyDescent="0.25">
      <c r="A106" s="10" t="s">
        <v>447</v>
      </c>
      <c r="B106" s="8" t="s">
        <v>857</v>
      </c>
      <c r="C106" s="8" t="s">
        <v>884</v>
      </c>
      <c r="D106" s="1" t="s">
        <v>1103</v>
      </c>
      <c r="E106" s="8" t="s">
        <v>889</v>
      </c>
      <c r="F106" s="8" t="s">
        <v>448</v>
      </c>
      <c r="G106" s="8">
        <v>5000</v>
      </c>
      <c r="H106" s="8" t="s">
        <v>1175</v>
      </c>
      <c r="I106" s="8" t="s">
        <v>1176</v>
      </c>
      <c r="J106" s="8">
        <v>154</v>
      </c>
      <c r="K106" s="8">
        <v>16</v>
      </c>
      <c r="L106" s="8" t="s">
        <v>695</v>
      </c>
      <c r="M106" s="11" t="s">
        <v>1298</v>
      </c>
      <c r="N106" s="11">
        <v>4000</v>
      </c>
      <c r="O106" s="1"/>
      <c r="P106" s="8" t="s">
        <v>993</v>
      </c>
      <c r="Q106" s="1">
        <v>0.13500000000000001</v>
      </c>
      <c r="R106" s="14">
        <v>675</v>
      </c>
      <c r="S106" s="8" t="s">
        <v>647</v>
      </c>
      <c r="T106" s="1">
        <v>2.58E-2</v>
      </c>
      <c r="U106" s="1">
        <f t="shared" ref="U106:U137" si="4">T106*G106</f>
        <v>129</v>
      </c>
      <c r="V106" s="1"/>
      <c r="W106" s="1"/>
      <c r="X106" s="1"/>
      <c r="Y106" s="1"/>
      <c r="Z106" s="1"/>
    </row>
    <row r="107" spans="1:26" x14ac:dyDescent="0.25">
      <c r="A107" s="10" t="s">
        <v>339</v>
      </c>
      <c r="B107" s="8" t="s">
        <v>797</v>
      </c>
      <c r="C107" s="8" t="s">
        <v>884</v>
      </c>
      <c r="D107" s="1" t="s">
        <v>1105</v>
      </c>
      <c r="E107" s="8" t="s">
        <v>898</v>
      </c>
      <c r="F107" s="8" t="s">
        <v>340</v>
      </c>
      <c r="G107" s="8">
        <v>3000</v>
      </c>
      <c r="H107" s="8" t="s">
        <v>1154</v>
      </c>
      <c r="I107" s="8" t="s">
        <v>175</v>
      </c>
      <c r="J107" s="8">
        <v>707</v>
      </c>
      <c r="K107" s="8">
        <v>16</v>
      </c>
      <c r="L107" s="8" t="s">
        <v>695</v>
      </c>
      <c r="M107" s="11" t="s">
        <v>1295</v>
      </c>
      <c r="N107" s="11"/>
      <c r="O107" s="1"/>
      <c r="P107" s="8" t="s">
        <v>1012</v>
      </c>
      <c r="Q107" s="1">
        <v>0.159</v>
      </c>
      <c r="R107" s="14">
        <v>477</v>
      </c>
      <c r="S107" s="8" t="s">
        <v>569</v>
      </c>
      <c r="T107" s="1">
        <v>0.12165000000000001</v>
      </c>
      <c r="U107" s="1">
        <f t="shared" si="4"/>
        <v>364.95000000000005</v>
      </c>
      <c r="V107" s="1" t="str">
        <f t="shared" ref="V107:V113" si="5">IF(U107&lt;R107,"LCSC","Digikey")</f>
        <v>LCSC</v>
      </c>
      <c r="W107" s="1">
        <f t="shared" ref="W107:W113" si="6">IF(V107="LCSC",U107,R107)</f>
        <v>364.95000000000005</v>
      </c>
      <c r="X107" s="1"/>
      <c r="Y107" s="1"/>
      <c r="Z107" s="1"/>
    </row>
    <row r="108" spans="1:26" x14ac:dyDescent="0.25">
      <c r="A108" s="10" t="s">
        <v>454</v>
      </c>
      <c r="B108" s="8" t="s">
        <v>838</v>
      </c>
      <c r="C108" s="8" t="s">
        <v>884</v>
      </c>
      <c r="D108" s="1" t="s">
        <v>1104</v>
      </c>
      <c r="E108" s="8" t="s">
        <v>888</v>
      </c>
      <c r="F108" s="8" t="s">
        <v>455</v>
      </c>
      <c r="G108" s="8">
        <v>4000</v>
      </c>
      <c r="H108" s="8" t="s">
        <v>1150</v>
      </c>
      <c r="I108" s="8" t="s">
        <v>106</v>
      </c>
      <c r="J108" s="8">
        <v>288</v>
      </c>
      <c r="K108" s="8">
        <v>16</v>
      </c>
      <c r="L108" s="8" t="s">
        <v>695</v>
      </c>
      <c r="M108" s="11" t="s">
        <v>1295</v>
      </c>
      <c r="N108" s="11"/>
      <c r="O108" s="1"/>
      <c r="P108" s="8" t="s">
        <v>1000</v>
      </c>
      <c r="Q108" s="1">
        <v>5.2999999999999999E-2</v>
      </c>
      <c r="R108" s="14">
        <v>212</v>
      </c>
      <c r="S108" s="8" t="s">
        <v>651</v>
      </c>
      <c r="T108" s="1">
        <v>6.2850000000000003E-2</v>
      </c>
      <c r="U108" s="1">
        <f t="shared" si="4"/>
        <v>251.4</v>
      </c>
      <c r="V108" s="1" t="str">
        <f t="shared" si="5"/>
        <v>Digikey</v>
      </c>
      <c r="W108" s="1">
        <f t="shared" si="6"/>
        <v>212</v>
      </c>
      <c r="X108" s="1"/>
      <c r="Y108" s="1"/>
      <c r="Z108" s="1"/>
    </row>
    <row r="109" spans="1:26" x14ac:dyDescent="0.25">
      <c r="A109" s="10" t="s">
        <v>443</v>
      </c>
      <c r="B109" s="8" t="s">
        <v>859</v>
      </c>
      <c r="C109" s="8" t="s">
        <v>884</v>
      </c>
      <c r="D109" s="1" t="s">
        <v>1103</v>
      </c>
      <c r="E109" s="8" t="s">
        <v>889</v>
      </c>
      <c r="F109" s="8" t="s">
        <v>444</v>
      </c>
      <c r="G109" s="8">
        <v>4000</v>
      </c>
      <c r="H109" s="8" t="s">
        <v>1148</v>
      </c>
      <c r="I109" s="8" t="s">
        <v>106</v>
      </c>
      <c r="J109" s="8">
        <v>153</v>
      </c>
      <c r="K109" s="8">
        <v>16</v>
      </c>
      <c r="L109" s="8" t="s">
        <v>695</v>
      </c>
      <c r="M109" s="11" t="s">
        <v>1295</v>
      </c>
      <c r="N109" s="11"/>
      <c r="O109" s="1"/>
      <c r="P109" s="8" t="s">
        <v>994</v>
      </c>
      <c r="Q109" s="1">
        <v>2.9000000000000001E-2</v>
      </c>
      <c r="R109" s="14">
        <v>116</v>
      </c>
      <c r="S109" s="8" t="s">
        <v>645</v>
      </c>
      <c r="T109" s="1">
        <v>1.5599999999999999E-2</v>
      </c>
      <c r="U109" s="1">
        <f t="shared" si="4"/>
        <v>62.4</v>
      </c>
      <c r="V109" s="1" t="str">
        <f t="shared" si="5"/>
        <v>LCSC</v>
      </c>
      <c r="W109" s="1">
        <f t="shared" si="6"/>
        <v>62.4</v>
      </c>
      <c r="X109" s="1"/>
      <c r="Y109" s="1"/>
      <c r="Z109" s="1"/>
    </row>
    <row r="110" spans="1:26" x14ac:dyDescent="0.25">
      <c r="A110" s="10" t="s">
        <v>285</v>
      </c>
      <c r="B110" s="8" t="s">
        <v>861</v>
      </c>
      <c r="C110" s="8" t="s">
        <v>884</v>
      </c>
      <c r="D110" s="1" t="s">
        <v>1102</v>
      </c>
      <c r="E110" s="8" t="s">
        <v>892</v>
      </c>
      <c r="F110" s="8" t="s">
        <v>286</v>
      </c>
      <c r="G110" s="8">
        <v>4000</v>
      </c>
      <c r="H110" s="8" t="s">
        <v>1177</v>
      </c>
      <c r="I110" s="8" t="s">
        <v>106</v>
      </c>
      <c r="J110" s="8">
        <v>142</v>
      </c>
      <c r="K110" s="8">
        <v>16</v>
      </c>
      <c r="L110" s="8" t="s">
        <v>695</v>
      </c>
      <c r="M110" s="11" t="s">
        <v>1295</v>
      </c>
      <c r="N110" s="11"/>
      <c r="O110" s="1"/>
      <c r="P110" s="8" t="s">
        <v>1065</v>
      </c>
      <c r="Q110" s="1">
        <v>0.03</v>
      </c>
      <c r="R110" s="14">
        <v>120</v>
      </c>
      <c r="S110" s="8" t="s">
        <v>533</v>
      </c>
      <c r="T110" s="1">
        <v>8.8500000000000002E-3</v>
      </c>
      <c r="U110" s="1">
        <f t="shared" si="4"/>
        <v>35.4</v>
      </c>
      <c r="V110" s="1" t="str">
        <f t="shared" si="5"/>
        <v>LCSC</v>
      </c>
      <c r="W110" s="1">
        <f t="shared" si="6"/>
        <v>35.4</v>
      </c>
      <c r="X110" s="1"/>
      <c r="Y110" s="1"/>
      <c r="Z110" s="1"/>
    </row>
    <row r="111" spans="1:26" x14ac:dyDescent="0.25">
      <c r="A111" s="10" t="s">
        <v>451</v>
      </c>
      <c r="B111" s="8" t="s">
        <v>842</v>
      </c>
      <c r="C111" s="8" t="s">
        <v>884</v>
      </c>
      <c r="D111" s="1" t="s">
        <v>1102</v>
      </c>
      <c r="E111" s="8" t="s">
        <v>892</v>
      </c>
      <c r="F111" s="8" t="s">
        <v>452</v>
      </c>
      <c r="G111" s="8">
        <v>5000</v>
      </c>
      <c r="H111" s="8" t="s">
        <v>1139</v>
      </c>
      <c r="I111" s="8" t="s">
        <v>106</v>
      </c>
      <c r="J111" s="8">
        <v>264</v>
      </c>
      <c r="K111" s="8">
        <v>16</v>
      </c>
      <c r="L111" s="8" t="s">
        <v>695</v>
      </c>
      <c r="M111" s="11" t="s">
        <v>1295</v>
      </c>
      <c r="N111" s="11"/>
      <c r="O111" s="1"/>
      <c r="P111" s="8" t="s">
        <v>967</v>
      </c>
      <c r="Q111" s="1">
        <v>6.3E-3</v>
      </c>
      <c r="R111" s="14">
        <v>31.5</v>
      </c>
      <c r="S111" s="8" t="s">
        <v>649</v>
      </c>
      <c r="T111" s="1">
        <v>1.7250000000000001E-2</v>
      </c>
      <c r="U111" s="1">
        <f t="shared" si="4"/>
        <v>86.250000000000014</v>
      </c>
      <c r="V111" s="1" t="str">
        <f t="shared" si="5"/>
        <v>Digikey</v>
      </c>
      <c r="W111" s="1">
        <f t="shared" si="6"/>
        <v>31.5</v>
      </c>
      <c r="X111" s="1"/>
      <c r="Y111" s="1"/>
      <c r="Z111" s="1"/>
    </row>
    <row r="112" spans="1:26" x14ac:dyDescent="0.25">
      <c r="A112" s="10" t="s">
        <v>449</v>
      </c>
      <c r="B112" s="8" t="s">
        <v>803</v>
      </c>
      <c r="C112" s="8" t="s">
        <v>884</v>
      </c>
      <c r="D112" s="1" t="s">
        <v>1102</v>
      </c>
      <c r="E112" s="8" t="s">
        <v>892</v>
      </c>
      <c r="F112" s="8" t="s">
        <v>450</v>
      </c>
      <c r="G112" s="8">
        <v>5000</v>
      </c>
      <c r="H112" s="8" t="s">
        <v>1137</v>
      </c>
      <c r="I112" s="8" t="s">
        <v>106</v>
      </c>
      <c r="J112" s="8">
        <v>636</v>
      </c>
      <c r="K112" s="8">
        <v>16</v>
      </c>
      <c r="L112" s="8" t="s">
        <v>695</v>
      </c>
      <c r="M112" s="11" t="s">
        <v>1295</v>
      </c>
      <c r="N112" s="11"/>
      <c r="O112" s="1"/>
      <c r="P112" s="8" t="s">
        <v>965</v>
      </c>
      <c r="Q112" s="1">
        <v>7.7999999999999996E-3</v>
      </c>
      <c r="R112" s="14">
        <v>39</v>
      </c>
      <c r="S112" s="8" t="s">
        <v>648</v>
      </c>
      <c r="T112" s="1">
        <v>1.9499999999999999E-3</v>
      </c>
      <c r="U112" s="1">
        <f t="shared" si="4"/>
        <v>9.75</v>
      </c>
      <c r="V112" s="1" t="str">
        <f t="shared" si="5"/>
        <v>LCSC</v>
      </c>
      <c r="W112" s="1">
        <f t="shared" si="6"/>
        <v>9.75</v>
      </c>
      <c r="X112" s="1"/>
      <c r="Y112" s="1"/>
      <c r="Z112" s="1"/>
    </row>
    <row r="113" spans="1:26" x14ac:dyDescent="0.25">
      <c r="A113" s="10" t="s">
        <v>445</v>
      </c>
      <c r="B113" s="8" t="s">
        <v>829</v>
      </c>
      <c r="C113" s="8" t="s">
        <v>884</v>
      </c>
      <c r="D113" s="1" t="s">
        <v>1102</v>
      </c>
      <c r="E113" s="8" t="s">
        <v>894</v>
      </c>
      <c r="F113" s="8" t="s">
        <v>446</v>
      </c>
      <c r="G113" s="8">
        <v>5000</v>
      </c>
      <c r="H113" s="8" t="s">
        <v>1128</v>
      </c>
      <c r="I113" s="8" t="s">
        <v>106</v>
      </c>
      <c r="J113" s="8">
        <v>362</v>
      </c>
      <c r="K113" s="8">
        <v>16</v>
      </c>
      <c r="L113" s="8" t="s">
        <v>695</v>
      </c>
      <c r="M113" s="18" t="s">
        <v>1296</v>
      </c>
      <c r="N113" s="11">
        <v>5000</v>
      </c>
      <c r="O113" s="1"/>
      <c r="P113" s="8" t="s">
        <v>909</v>
      </c>
      <c r="Q113" s="1">
        <v>3.0999999999999999E-3</v>
      </c>
      <c r="R113" s="14">
        <v>15.5</v>
      </c>
      <c r="S113" s="8" t="s">
        <v>646</v>
      </c>
      <c r="T113" s="1">
        <v>1.2000000000000001E-3</v>
      </c>
      <c r="U113" s="1">
        <f t="shared" si="4"/>
        <v>6.0000000000000009</v>
      </c>
      <c r="V113" s="1" t="str">
        <f t="shared" si="5"/>
        <v>LCSC</v>
      </c>
      <c r="W113" s="1">
        <f t="shared" si="6"/>
        <v>6.0000000000000009</v>
      </c>
      <c r="X113" s="1"/>
      <c r="Y113" s="1"/>
      <c r="Z113" s="1"/>
    </row>
    <row r="114" spans="1:26" x14ac:dyDescent="0.25">
      <c r="A114" s="8" t="s">
        <v>13</v>
      </c>
      <c r="B114" s="8" t="s">
        <v>777</v>
      </c>
      <c r="C114" s="8" t="s">
        <v>884</v>
      </c>
      <c r="D114" s="1" t="s">
        <v>1102</v>
      </c>
      <c r="E114" s="8" t="s">
        <v>894</v>
      </c>
      <c r="F114" s="8" t="s">
        <v>453</v>
      </c>
      <c r="G114" s="8">
        <v>5000</v>
      </c>
      <c r="H114" s="8" t="s">
        <v>123</v>
      </c>
      <c r="I114" s="8" t="s">
        <v>106</v>
      </c>
      <c r="J114" s="8">
        <v>1226</v>
      </c>
      <c r="K114" s="8">
        <v>16</v>
      </c>
      <c r="L114" s="8" t="s">
        <v>694</v>
      </c>
      <c r="M114" s="11" t="s">
        <v>697</v>
      </c>
      <c r="N114" s="11"/>
      <c r="O114" s="1"/>
      <c r="P114" s="8" t="s">
        <v>953</v>
      </c>
      <c r="Q114" s="1">
        <v>4.7000000000000002E-3</v>
      </c>
      <c r="R114" s="14">
        <v>23.5</v>
      </c>
      <c r="S114" s="8" t="s">
        <v>650</v>
      </c>
      <c r="T114" s="1">
        <v>1.3500000000000001E-3</v>
      </c>
      <c r="U114" s="1">
        <f t="shared" si="4"/>
        <v>6.75</v>
      </c>
      <c r="V114" s="1"/>
      <c r="W114" s="1"/>
      <c r="X114" s="1"/>
      <c r="Y114" s="1"/>
      <c r="Z114" s="1"/>
    </row>
    <row r="115" spans="1:26" x14ac:dyDescent="0.25">
      <c r="A115" s="8" t="s">
        <v>28</v>
      </c>
      <c r="B115" s="8" t="s">
        <v>813</v>
      </c>
      <c r="C115" s="8" t="s">
        <v>884</v>
      </c>
      <c r="D115" s="1" t="s">
        <v>1102</v>
      </c>
      <c r="E115" s="8" t="s">
        <v>894</v>
      </c>
      <c r="F115" s="8" t="s">
        <v>382</v>
      </c>
      <c r="G115" s="8">
        <v>5000</v>
      </c>
      <c r="H115" s="8" t="s">
        <v>139</v>
      </c>
      <c r="I115" s="8" t="s">
        <v>106</v>
      </c>
      <c r="J115" s="8">
        <v>483</v>
      </c>
      <c r="K115" s="8">
        <v>16</v>
      </c>
      <c r="L115" s="8" t="s">
        <v>694</v>
      </c>
      <c r="M115" s="11" t="s">
        <v>697</v>
      </c>
      <c r="N115" s="11"/>
      <c r="O115" s="1"/>
      <c r="P115" s="8" t="s">
        <v>959</v>
      </c>
      <c r="Q115" s="1">
        <v>4.7000000000000002E-3</v>
      </c>
      <c r="R115" s="14">
        <v>23.5</v>
      </c>
      <c r="S115" s="8" t="s">
        <v>599</v>
      </c>
      <c r="T115" s="1">
        <v>1.2000000000000001E-3</v>
      </c>
      <c r="U115" s="1">
        <f t="shared" si="4"/>
        <v>6.0000000000000009</v>
      </c>
      <c r="V115" s="1"/>
      <c r="W115" s="1"/>
      <c r="X115" s="1"/>
      <c r="Y115" s="1"/>
      <c r="Z115" s="1"/>
    </row>
    <row r="116" spans="1:26" x14ac:dyDescent="0.25">
      <c r="A116" s="10" t="s">
        <v>456</v>
      </c>
      <c r="B116" s="8" t="s">
        <v>729</v>
      </c>
      <c r="C116" s="8" t="s">
        <v>884</v>
      </c>
      <c r="D116" s="1" t="s">
        <v>1103</v>
      </c>
      <c r="E116" s="8" t="s">
        <v>889</v>
      </c>
      <c r="F116" s="8" t="s">
        <v>457</v>
      </c>
      <c r="G116" s="8">
        <v>4000</v>
      </c>
      <c r="H116" s="8" t="s">
        <v>1167</v>
      </c>
      <c r="I116" s="8" t="s">
        <v>106</v>
      </c>
      <c r="J116" s="8">
        <v>4277</v>
      </c>
      <c r="K116" s="8">
        <v>15</v>
      </c>
      <c r="L116" s="8" t="s">
        <v>695</v>
      </c>
      <c r="M116" s="11" t="s">
        <v>1298</v>
      </c>
      <c r="N116" s="11">
        <v>4000</v>
      </c>
      <c r="O116" s="1"/>
      <c r="P116" s="8" t="s">
        <v>985</v>
      </c>
      <c r="Q116" s="1">
        <v>3.1E-2</v>
      </c>
      <c r="R116" s="14">
        <v>124</v>
      </c>
      <c r="S116" s="8" t="s">
        <v>652</v>
      </c>
      <c r="T116" s="1">
        <v>1.455E-2</v>
      </c>
      <c r="U116" s="1">
        <f t="shared" si="4"/>
        <v>58.2</v>
      </c>
      <c r="V116" s="1"/>
      <c r="W116" s="1"/>
      <c r="X116" s="1"/>
      <c r="Y116" s="1"/>
      <c r="Z116" s="1"/>
    </row>
    <row r="117" spans="1:26" x14ac:dyDescent="0.25">
      <c r="A117" s="8" t="s">
        <v>29</v>
      </c>
      <c r="B117" s="8" t="s">
        <v>765</v>
      </c>
      <c r="C117" s="8" t="s">
        <v>884</v>
      </c>
      <c r="D117" s="1" t="s">
        <v>1102</v>
      </c>
      <c r="E117" s="8" t="s">
        <v>894</v>
      </c>
      <c r="F117" s="8" t="s">
        <v>383</v>
      </c>
      <c r="G117" s="8">
        <v>5000</v>
      </c>
      <c r="H117" s="8" t="s">
        <v>140</v>
      </c>
      <c r="I117" s="8" t="s">
        <v>106</v>
      </c>
      <c r="J117" s="8">
        <v>1494</v>
      </c>
      <c r="K117" s="8">
        <v>15</v>
      </c>
      <c r="L117" s="8" t="s">
        <v>694</v>
      </c>
      <c r="M117" s="11" t="s">
        <v>697</v>
      </c>
      <c r="N117" s="11"/>
      <c r="O117" s="1"/>
      <c r="P117" s="8" t="s">
        <v>949</v>
      </c>
      <c r="Q117" s="1">
        <v>4.7000000000000002E-3</v>
      </c>
      <c r="R117" s="14">
        <v>23.5</v>
      </c>
      <c r="S117" s="8" t="s">
        <v>600</v>
      </c>
      <c r="T117" s="1">
        <v>1.3500000000000001E-3</v>
      </c>
      <c r="U117" s="1">
        <f t="shared" si="4"/>
        <v>6.75</v>
      </c>
      <c r="V117" s="1"/>
      <c r="W117" s="1"/>
      <c r="X117" s="1"/>
      <c r="Y117" s="1"/>
      <c r="Z117" s="1"/>
    </row>
    <row r="118" spans="1:26" x14ac:dyDescent="0.25">
      <c r="A118" s="10" t="s">
        <v>290</v>
      </c>
      <c r="B118" s="8" t="s">
        <v>862</v>
      </c>
      <c r="C118" s="8" t="s">
        <v>884</v>
      </c>
      <c r="D118" s="1" t="s">
        <v>1102</v>
      </c>
      <c r="E118" s="8" t="s">
        <v>892</v>
      </c>
      <c r="F118" s="8" t="s">
        <v>291</v>
      </c>
      <c r="G118" s="8">
        <v>3000</v>
      </c>
      <c r="H118" s="8" t="s">
        <v>1180</v>
      </c>
      <c r="I118" s="8" t="s">
        <v>190</v>
      </c>
      <c r="J118" s="8">
        <v>142</v>
      </c>
      <c r="K118" s="8">
        <v>15</v>
      </c>
      <c r="L118" s="8" t="s">
        <v>695</v>
      </c>
      <c r="M118" s="11" t="s">
        <v>1295</v>
      </c>
      <c r="N118" s="11"/>
      <c r="O118" s="1"/>
      <c r="P118" s="8" t="s">
        <v>1066</v>
      </c>
      <c r="Q118" s="1">
        <v>7.6999999999999999E-2</v>
      </c>
      <c r="R118" s="14">
        <v>231</v>
      </c>
      <c r="S118" s="8" t="s">
        <v>536</v>
      </c>
      <c r="T118" s="1">
        <v>2.52E-2</v>
      </c>
      <c r="U118" s="1">
        <f t="shared" si="4"/>
        <v>75.599999999999994</v>
      </c>
      <c r="V118" s="1" t="str">
        <f>IF(U118&lt;R118,"LCSC","Digikey")</f>
        <v>LCSC</v>
      </c>
      <c r="W118" s="1">
        <f>IF(V118="LCSC",U118,R118)</f>
        <v>75.599999999999994</v>
      </c>
      <c r="X118" s="1"/>
      <c r="Y118" s="1"/>
      <c r="Z118" s="1"/>
    </row>
    <row r="119" spans="1:26" x14ac:dyDescent="0.25">
      <c r="A119" s="10" t="s">
        <v>294</v>
      </c>
      <c r="B119" s="8" t="s">
        <v>835</v>
      </c>
      <c r="C119" s="8" t="s">
        <v>884</v>
      </c>
      <c r="D119" s="1" t="s">
        <v>1105</v>
      </c>
      <c r="E119" s="8" t="s">
        <v>886</v>
      </c>
      <c r="F119" s="8" t="s">
        <v>295</v>
      </c>
      <c r="G119" s="8">
        <v>3000</v>
      </c>
      <c r="H119" s="8" t="s">
        <v>1189</v>
      </c>
      <c r="I119" s="8" t="s">
        <v>106</v>
      </c>
      <c r="J119" s="8">
        <v>317</v>
      </c>
      <c r="K119" s="8">
        <v>15</v>
      </c>
      <c r="L119" s="8" t="s">
        <v>695</v>
      </c>
      <c r="M119" s="11" t="s">
        <v>1295</v>
      </c>
      <c r="N119" s="11"/>
      <c r="O119" s="1"/>
      <c r="P119" s="8" t="s">
        <v>1081</v>
      </c>
      <c r="Q119" s="1">
        <v>0.06</v>
      </c>
      <c r="R119" s="14">
        <v>180</v>
      </c>
      <c r="S119" s="8" t="s">
        <v>538</v>
      </c>
      <c r="T119" s="1">
        <v>2.4899999999999999E-2</v>
      </c>
      <c r="U119" s="1">
        <f t="shared" si="4"/>
        <v>74.699999999999989</v>
      </c>
      <c r="V119" s="1" t="str">
        <f>IF(U119&lt;R119,"LCSC","Digikey")</f>
        <v>LCSC</v>
      </c>
      <c r="W119" s="1">
        <f>IF(V119="LCSC",U119,R119)</f>
        <v>74.699999999999989</v>
      </c>
      <c r="X119" s="1"/>
      <c r="Y119" s="1"/>
      <c r="Z119" s="1"/>
    </row>
    <row r="120" spans="1:26" x14ac:dyDescent="0.25">
      <c r="A120" s="10" t="s">
        <v>458</v>
      </c>
      <c r="B120" s="8" t="s">
        <v>754</v>
      </c>
      <c r="C120" s="8" t="s">
        <v>884</v>
      </c>
      <c r="D120" s="1" t="s">
        <v>1102</v>
      </c>
      <c r="E120" s="8" t="s">
        <v>893</v>
      </c>
      <c r="F120" s="8" t="s">
        <v>459</v>
      </c>
      <c r="G120" s="8">
        <v>5000</v>
      </c>
      <c r="H120" s="8" t="s">
        <v>1142</v>
      </c>
      <c r="I120" s="8" t="s">
        <v>106</v>
      </c>
      <c r="J120" s="8">
        <v>1787</v>
      </c>
      <c r="K120" s="8">
        <v>15</v>
      </c>
      <c r="L120" s="8" t="s">
        <v>695</v>
      </c>
      <c r="M120" s="11" t="s">
        <v>1295</v>
      </c>
      <c r="N120" s="11"/>
      <c r="O120" s="1"/>
      <c r="P120" s="8" t="s">
        <v>981</v>
      </c>
      <c r="Q120" s="1">
        <v>6.3E-2</v>
      </c>
      <c r="R120" s="14">
        <v>315</v>
      </c>
      <c r="S120" s="8" t="s">
        <v>653</v>
      </c>
      <c r="T120" s="1">
        <v>1.4850000000000002E-2</v>
      </c>
      <c r="U120" s="1">
        <f t="shared" si="4"/>
        <v>74.250000000000014</v>
      </c>
      <c r="V120" s="1" t="str">
        <f>IF(U120&lt;R120,"LCSC","Digikey")</f>
        <v>LCSC</v>
      </c>
      <c r="W120" s="1">
        <f>IF(V120="LCSC",U120,R120)</f>
        <v>74.250000000000014</v>
      </c>
      <c r="X120" s="1"/>
      <c r="Y120" s="1"/>
      <c r="Z120" s="1"/>
    </row>
    <row r="121" spans="1:26" x14ac:dyDescent="0.25">
      <c r="A121" s="10" t="s">
        <v>288</v>
      </c>
      <c r="B121" s="8" t="s">
        <v>867</v>
      </c>
      <c r="C121" s="8" t="s">
        <v>884</v>
      </c>
      <c r="D121" s="1" t="s">
        <v>1102</v>
      </c>
      <c r="E121" s="8" t="s">
        <v>892</v>
      </c>
      <c r="F121" s="8" t="s">
        <v>289</v>
      </c>
      <c r="G121" s="8">
        <v>4000</v>
      </c>
      <c r="H121" s="8" t="s">
        <v>1182</v>
      </c>
      <c r="I121" s="8" t="s">
        <v>106</v>
      </c>
      <c r="J121" s="8">
        <v>90</v>
      </c>
      <c r="K121" s="8">
        <v>15</v>
      </c>
      <c r="L121" s="8" t="s">
        <v>695</v>
      </c>
      <c r="M121" s="11" t="s">
        <v>1295</v>
      </c>
      <c r="N121" s="11"/>
      <c r="O121" s="1"/>
      <c r="P121" s="8" t="s">
        <v>1067</v>
      </c>
      <c r="Q121" s="1">
        <v>5.1999999999999998E-2</v>
      </c>
      <c r="R121" s="14">
        <v>208</v>
      </c>
      <c r="S121" s="8" t="s">
        <v>535</v>
      </c>
      <c r="T121" s="1">
        <v>1.14E-2</v>
      </c>
      <c r="U121" s="1">
        <f t="shared" si="4"/>
        <v>45.6</v>
      </c>
      <c r="V121" s="1" t="str">
        <f>IF(U121&lt;R121,"LCSC","Digikey")</f>
        <v>LCSC</v>
      </c>
      <c r="W121" s="1">
        <f>IF(V121="LCSC",U121,R121)</f>
        <v>45.6</v>
      </c>
      <c r="X121" s="1"/>
      <c r="Y121" s="1"/>
      <c r="Z121" s="1"/>
    </row>
    <row r="122" spans="1:26" x14ac:dyDescent="0.25">
      <c r="A122" s="10" t="s">
        <v>292</v>
      </c>
      <c r="B122" s="8" t="s">
        <v>735</v>
      </c>
      <c r="C122" s="8" t="s">
        <v>884</v>
      </c>
      <c r="D122" s="1" t="s">
        <v>1105</v>
      </c>
      <c r="E122" s="8" t="s">
        <v>886</v>
      </c>
      <c r="F122" s="8" t="s">
        <v>293</v>
      </c>
      <c r="G122" s="8">
        <v>2000</v>
      </c>
      <c r="H122" s="8" t="s">
        <v>1183</v>
      </c>
      <c r="I122" s="8" t="s">
        <v>108</v>
      </c>
      <c r="J122" s="8">
        <v>2670</v>
      </c>
      <c r="K122" s="8">
        <v>15</v>
      </c>
      <c r="L122" s="8" t="s">
        <v>695</v>
      </c>
      <c r="M122" s="11" t="s">
        <v>1295</v>
      </c>
      <c r="N122" s="11"/>
      <c r="O122" s="1"/>
      <c r="P122" s="8" t="s">
        <v>1075</v>
      </c>
      <c r="Q122" s="1">
        <v>6.0999999999999999E-2</v>
      </c>
      <c r="R122" s="14">
        <v>122</v>
      </c>
      <c r="S122" s="8" t="s">
        <v>537</v>
      </c>
      <c r="T122" s="1">
        <v>2.145E-2</v>
      </c>
      <c r="U122" s="1">
        <f t="shared" si="4"/>
        <v>42.9</v>
      </c>
      <c r="V122" s="1" t="str">
        <f>IF(U122&lt;R122,"LCSC","Digikey")</f>
        <v>LCSC</v>
      </c>
      <c r="W122" s="1">
        <f>IF(V122="LCSC",U122,R122)</f>
        <v>42.9</v>
      </c>
      <c r="X122" s="1"/>
      <c r="Y122" s="1"/>
      <c r="Z122" s="1"/>
    </row>
    <row r="123" spans="1:26" x14ac:dyDescent="0.25">
      <c r="A123" s="8" t="s">
        <v>18</v>
      </c>
      <c r="B123" s="8" t="s">
        <v>726</v>
      </c>
      <c r="C123" s="8" t="s">
        <v>884</v>
      </c>
      <c r="D123" s="1" t="s">
        <v>1102</v>
      </c>
      <c r="E123" s="8" t="s">
        <v>894</v>
      </c>
      <c r="F123" s="8" t="s">
        <v>487</v>
      </c>
      <c r="G123" s="8">
        <v>5000</v>
      </c>
      <c r="H123" s="8" t="s">
        <v>128</v>
      </c>
      <c r="I123" s="8" t="s">
        <v>106</v>
      </c>
      <c r="J123" s="8">
        <v>4967</v>
      </c>
      <c r="K123" s="8">
        <v>15</v>
      </c>
      <c r="L123" s="8" t="s">
        <v>694</v>
      </c>
      <c r="M123" s="11" t="s">
        <v>697</v>
      </c>
      <c r="N123" s="11"/>
      <c r="O123" s="1"/>
      <c r="P123" s="8" t="s">
        <v>944</v>
      </c>
      <c r="Q123" s="1">
        <v>6.3E-3</v>
      </c>
      <c r="R123" s="14">
        <v>31.5</v>
      </c>
      <c r="S123" s="8" t="s">
        <v>670</v>
      </c>
      <c r="T123" s="1">
        <v>1.2000000000000001E-3</v>
      </c>
      <c r="U123" s="1">
        <f t="shared" si="4"/>
        <v>6.0000000000000009</v>
      </c>
      <c r="V123" s="1"/>
      <c r="W123" s="1"/>
      <c r="X123" s="1"/>
      <c r="Y123" s="1"/>
      <c r="Z123" s="1"/>
    </row>
    <row r="124" spans="1:26" x14ac:dyDescent="0.25">
      <c r="A124" s="8" t="s">
        <v>71</v>
      </c>
      <c r="B124" s="8" t="s">
        <v>871</v>
      </c>
      <c r="C124" s="8" t="s">
        <v>884</v>
      </c>
      <c r="D124" s="1" t="s">
        <v>1105</v>
      </c>
      <c r="E124" s="8" t="s">
        <v>892</v>
      </c>
      <c r="F124" s="8" t="s">
        <v>376</v>
      </c>
      <c r="G124" s="8">
        <v>4000</v>
      </c>
      <c r="H124" s="8" t="s">
        <v>187</v>
      </c>
      <c r="I124" s="8" t="s">
        <v>114</v>
      </c>
      <c r="J124" s="8">
        <v>54</v>
      </c>
      <c r="K124" s="8">
        <v>15</v>
      </c>
      <c r="L124" s="8" t="s">
        <v>694</v>
      </c>
      <c r="M124" s="11" t="s">
        <v>697</v>
      </c>
      <c r="N124" s="11"/>
      <c r="O124" s="1"/>
      <c r="P124" s="8" t="s">
        <v>1074</v>
      </c>
      <c r="Q124" s="1">
        <v>0.122</v>
      </c>
      <c r="R124" s="14">
        <v>488</v>
      </c>
      <c r="S124" s="8" t="s">
        <v>593</v>
      </c>
      <c r="T124" s="1">
        <v>0.10289999999999999</v>
      </c>
      <c r="U124" s="1">
        <f t="shared" si="4"/>
        <v>411.59999999999997</v>
      </c>
      <c r="V124" s="1"/>
      <c r="W124" s="1"/>
      <c r="X124" s="1"/>
      <c r="Y124" s="1"/>
      <c r="Z124" s="1"/>
    </row>
    <row r="125" spans="1:26" x14ac:dyDescent="0.25">
      <c r="A125" s="10" t="s">
        <v>462</v>
      </c>
      <c r="B125" s="8" t="s">
        <v>788</v>
      </c>
      <c r="C125" s="8" t="s">
        <v>884</v>
      </c>
      <c r="D125" s="1" t="s">
        <v>1103</v>
      </c>
      <c r="E125" s="8" t="s">
        <v>889</v>
      </c>
      <c r="F125" s="8" t="s">
        <v>463</v>
      </c>
      <c r="G125" s="8">
        <v>4000</v>
      </c>
      <c r="H125" s="8" t="s">
        <v>1172</v>
      </c>
      <c r="I125" s="8" t="s">
        <v>106</v>
      </c>
      <c r="J125" s="8">
        <v>892</v>
      </c>
      <c r="K125" s="8">
        <v>14</v>
      </c>
      <c r="L125" s="8" t="s">
        <v>695</v>
      </c>
      <c r="M125" s="11" t="s">
        <v>1298</v>
      </c>
      <c r="N125" s="11">
        <v>4000</v>
      </c>
      <c r="O125" s="1"/>
      <c r="P125" s="8" t="s">
        <v>990</v>
      </c>
      <c r="Q125" s="1">
        <v>4.2999999999999997E-2</v>
      </c>
      <c r="R125" s="14">
        <v>172</v>
      </c>
      <c r="S125" s="8" t="s">
        <v>655</v>
      </c>
      <c r="T125" s="1">
        <v>1.38E-2</v>
      </c>
      <c r="U125" s="1">
        <f t="shared" si="4"/>
        <v>55.199999999999996</v>
      </c>
      <c r="V125" s="1"/>
      <c r="W125" s="1"/>
      <c r="X125" s="1"/>
      <c r="Y125" s="1"/>
      <c r="Z125" s="1"/>
    </row>
    <row r="126" spans="1:26" x14ac:dyDescent="0.25">
      <c r="A126" s="10" t="s">
        <v>296</v>
      </c>
      <c r="B126" s="8" t="s">
        <v>751</v>
      </c>
      <c r="C126" s="8" t="s">
        <v>884</v>
      </c>
      <c r="D126" s="1" t="s">
        <v>1105</v>
      </c>
      <c r="E126" s="8" t="s">
        <v>893</v>
      </c>
      <c r="F126" s="8" t="s">
        <v>297</v>
      </c>
      <c r="G126" s="8">
        <v>1000</v>
      </c>
      <c r="H126" s="8" t="s">
        <v>1191</v>
      </c>
      <c r="I126" s="8" t="s">
        <v>190</v>
      </c>
      <c r="J126" s="8">
        <v>1998</v>
      </c>
      <c r="K126" s="8">
        <v>14</v>
      </c>
      <c r="L126" s="8" t="s">
        <v>695</v>
      </c>
      <c r="M126" s="18" t="s">
        <v>1296</v>
      </c>
      <c r="N126" s="11">
        <v>1000</v>
      </c>
      <c r="O126" s="1"/>
      <c r="P126" s="8" t="s">
        <v>1084</v>
      </c>
      <c r="Q126" s="1">
        <v>0.67300000000000004</v>
      </c>
      <c r="R126" s="14">
        <v>673</v>
      </c>
      <c r="S126" s="8" t="s">
        <v>539</v>
      </c>
      <c r="T126" s="1">
        <v>0.16769999999999999</v>
      </c>
      <c r="U126" s="1">
        <f t="shared" si="4"/>
        <v>167.7</v>
      </c>
      <c r="V126" s="1" t="str">
        <f>IF(U126&lt;R126,"LCSC","Digikey")</f>
        <v>LCSC</v>
      </c>
      <c r="W126" s="1">
        <f>IF(V126="LCSC",U126,R126)</f>
        <v>167.7</v>
      </c>
      <c r="X126" s="1"/>
      <c r="Y126" s="1"/>
      <c r="Z126" s="1"/>
    </row>
    <row r="127" spans="1:26" x14ac:dyDescent="0.25">
      <c r="A127" s="10" t="s">
        <v>298</v>
      </c>
      <c r="B127" s="8" t="s">
        <v>832</v>
      </c>
      <c r="C127" s="8" t="s">
        <v>884</v>
      </c>
      <c r="D127" s="1" t="s">
        <v>1105</v>
      </c>
      <c r="E127" s="8" t="s">
        <v>899</v>
      </c>
      <c r="F127" s="8" t="s">
        <v>299</v>
      </c>
      <c r="G127" s="8">
        <v>1000</v>
      </c>
      <c r="H127" s="8" t="s">
        <v>1196</v>
      </c>
      <c r="I127" s="8" t="s">
        <v>1197</v>
      </c>
      <c r="J127" s="8">
        <v>334</v>
      </c>
      <c r="K127" s="8">
        <v>14</v>
      </c>
      <c r="L127" s="8" t="s">
        <v>695</v>
      </c>
      <c r="M127" s="11" t="s">
        <v>1295</v>
      </c>
      <c r="N127" s="11"/>
      <c r="O127" s="5"/>
      <c r="P127" s="8" t="s">
        <v>1089</v>
      </c>
      <c r="Q127" s="1">
        <v>2.3039999999999998</v>
      </c>
      <c r="R127" s="14">
        <v>2304</v>
      </c>
      <c r="S127" s="8" t="s">
        <v>540</v>
      </c>
      <c r="T127" s="1">
        <v>8.0399999999999999E-2</v>
      </c>
      <c r="U127" s="1">
        <f t="shared" si="4"/>
        <v>80.400000000000006</v>
      </c>
      <c r="V127" s="1" t="str">
        <f>IF(U127&lt;R127,"LCSC","Digikey")</f>
        <v>LCSC</v>
      </c>
      <c r="W127" s="1">
        <f>IF(V127="LCSC",U127,R127)</f>
        <v>80.400000000000006</v>
      </c>
      <c r="X127" s="1"/>
      <c r="Y127" s="1"/>
      <c r="Z127" s="1"/>
    </row>
    <row r="128" spans="1:26" x14ac:dyDescent="0.25">
      <c r="A128" s="10" t="s">
        <v>460</v>
      </c>
      <c r="B128" s="8" t="s">
        <v>757</v>
      </c>
      <c r="C128" s="8" t="s">
        <v>884</v>
      </c>
      <c r="D128" s="1" t="s">
        <v>1103</v>
      </c>
      <c r="E128" s="8" t="s">
        <v>889</v>
      </c>
      <c r="F128" s="8" t="s">
        <v>461</v>
      </c>
      <c r="G128" s="8">
        <v>4000</v>
      </c>
      <c r="H128" s="8" t="s">
        <v>1144</v>
      </c>
      <c r="I128" s="8" t="s">
        <v>222</v>
      </c>
      <c r="J128" s="8">
        <v>1684</v>
      </c>
      <c r="K128" s="8">
        <v>14</v>
      </c>
      <c r="L128" s="8" t="s">
        <v>695</v>
      </c>
      <c r="M128" s="11" t="s">
        <v>1295</v>
      </c>
      <c r="N128" s="11"/>
      <c r="O128" s="1"/>
      <c r="P128" s="8" t="s">
        <v>988</v>
      </c>
      <c r="Q128" s="1">
        <v>5.6000000000000001E-2</v>
      </c>
      <c r="R128" s="14">
        <v>224</v>
      </c>
      <c r="S128" s="8" t="s">
        <v>654</v>
      </c>
      <c r="T128" s="1">
        <v>9.4500000000000001E-3</v>
      </c>
      <c r="U128" s="1">
        <f t="shared" si="4"/>
        <v>37.799999999999997</v>
      </c>
      <c r="V128" s="1" t="str">
        <f>IF(U128&lt;R128,"LCSC","Digikey")</f>
        <v>LCSC</v>
      </c>
      <c r="W128" s="1">
        <f>IF(V128="LCSC",U128,R128)</f>
        <v>37.799999999999997</v>
      </c>
      <c r="X128" s="1"/>
      <c r="Y128" s="1"/>
      <c r="Z128" s="1"/>
    </row>
    <row r="129" spans="1:26" x14ac:dyDescent="0.25">
      <c r="A129" s="8" t="s">
        <v>12</v>
      </c>
      <c r="B129" s="8" t="s">
        <v>761</v>
      </c>
      <c r="C129" s="8" t="s">
        <v>884</v>
      </c>
      <c r="D129" s="1" t="s">
        <v>1102</v>
      </c>
      <c r="E129" s="8" t="s">
        <v>894</v>
      </c>
      <c r="F129" s="8" t="s">
        <v>432</v>
      </c>
      <c r="G129" s="8">
        <v>5000</v>
      </c>
      <c r="H129" s="8" t="s">
        <v>1211</v>
      </c>
      <c r="I129" s="8" t="s">
        <v>132</v>
      </c>
      <c r="J129" s="8">
        <v>1577</v>
      </c>
      <c r="K129" s="8">
        <v>14</v>
      </c>
      <c r="L129" s="8" t="s">
        <v>694</v>
      </c>
      <c r="M129" s="11" t="s">
        <v>697</v>
      </c>
      <c r="N129" s="11"/>
      <c r="O129" s="1"/>
      <c r="P129" s="8" t="s">
        <v>947</v>
      </c>
      <c r="Q129" s="1">
        <v>6.7999999999999996E-3</v>
      </c>
      <c r="R129" s="14">
        <v>34</v>
      </c>
      <c r="S129" s="8" t="s">
        <v>639</v>
      </c>
      <c r="T129" s="1">
        <v>1.3500000000000001E-3</v>
      </c>
      <c r="U129" s="1">
        <f t="shared" si="4"/>
        <v>6.75</v>
      </c>
      <c r="V129" s="1"/>
      <c r="W129" s="1"/>
      <c r="X129" s="1"/>
      <c r="Y129" s="1"/>
      <c r="Z129" s="1"/>
    </row>
    <row r="130" spans="1:26" x14ac:dyDescent="0.25">
      <c r="A130" s="8" t="s">
        <v>26</v>
      </c>
      <c r="B130" s="8" t="s">
        <v>821</v>
      </c>
      <c r="C130" s="8" t="s">
        <v>884</v>
      </c>
      <c r="D130" s="1" t="s">
        <v>1102</v>
      </c>
      <c r="E130" s="8" t="s">
        <v>894</v>
      </c>
      <c r="F130" s="8" t="s">
        <v>380</v>
      </c>
      <c r="G130" s="8">
        <v>5000</v>
      </c>
      <c r="H130" s="8" t="s">
        <v>137</v>
      </c>
      <c r="I130" s="8" t="s">
        <v>106</v>
      </c>
      <c r="J130" s="8">
        <v>430</v>
      </c>
      <c r="K130" s="8">
        <v>14</v>
      </c>
      <c r="L130" s="8" t="s">
        <v>694</v>
      </c>
      <c r="M130" s="11" t="s">
        <v>697</v>
      </c>
      <c r="N130" s="11"/>
      <c r="O130" s="1"/>
      <c r="P130" s="8" t="s">
        <v>961</v>
      </c>
      <c r="Q130" s="1">
        <v>3.0999999999999999E-3</v>
      </c>
      <c r="R130" s="14">
        <v>15.5</v>
      </c>
      <c r="S130" s="8" t="s">
        <v>597</v>
      </c>
      <c r="T130" s="1">
        <v>1.2000000000000001E-3</v>
      </c>
      <c r="U130" s="1">
        <f t="shared" si="4"/>
        <v>6.0000000000000009</v>
      </c>
      <c r="V130" s="1"/>
      <c r="W130" s="1"/>
      <c r="X130" s="1"/>
      <c r="Y130" s="1"/>
      <c r="Z130" s="1"/>
    </row>
    <row r="131" spans="1:26" x14ac:dyDescent="0.25">
      <c r="A131" s="10" t="s">
        <v>468</v>
      </c>
      <c r="B131" s="8" t="s">
        <v>856</v>
      </c>
      <c r="C131" s="8" t="s">
        <v>884</v>
      </c>
      <c r="D131" s="1" t="s">
        <v>1102</v>
      </c>
      <c r="E131" s="8" t="s">
        <v>894</v>
      </c>
      <c r="F131" s="8" t="s">
        <v>469</v>
      </c>
      <c r="G131" s="8">
        <v>5000</v>
      </c>
      <c r="H131" s="8" t="s">
        <v>1131</v>
      </c>
      <c r="I131" s="8" t="s">
        <v>222</v>
      </c>
      <c r="J131" s="8">
        <v>156</v>
      </c>
      <c r="K131" s="8">
        <v>13</v>
      </c>
      <c r="L131" s="8" t="s">
        <v>695</v>
      </c>
      <c r="M131" s="11" t="s">
        <v>1298</v>
      </c>
      <c r="N131" s="11">
        <v>5000</v>
      </c>
      <c r="O131" s="1"/>
      <c r="P131" s="8" t="s">
        <v>912</v>
      </c>
      <c r="Q131" s="1">
        <v>8.3999999999999995E-3</v>
      </c>
      <c r="R131" s="14">
        <v>42</v>
      </c>
      <c r="S131" s="8" t="s">
        <v>658</v>
      </c>
      <c r="T131" s="1">
        <v>7.4999999999999997E-3</v>
      </c>
      <c r="U131" s="1">
        <f t="shared" si="4"/>
        <v>37.5</v>
      </c>
      <c r="V131" s="1"/>
      <c r="W131" s="1"/>
      <c r="X131" s="1"/>
      <c r="Y131" s="1"/>
      <c r="Z131" s="1"/>
    </row>
    <row r="132" spans="1:26" x14ac:dyDescent="0.25">
      <c r="A132" s="10" t="s">
        <v>300</v>
      </c>
      <c r="B132" s="8" t="s">
        <v>763</v>
      </c>
      <c r="C132" s="8" t="s">
        <v>884</v>
      </c>
      <c r="D132" s="1" t="s">
        <v>1105</v>
      </c>
      <c r="E132" s="8" t="s">
        <v>886</v>
      </c>
      <c r="F132" s="8" t="s">
        <v>301</v>
      </c>
      <c r="G132" s="8">
        <v>2000</v>
      </c>
      <c r="H132" s="8" t="s">
        <v>1190</v>
      </c>
      <c r="I132" s="8" t="s">
        <v>190</v>
      </c>
      <c r="J132" s="8">
        <v>180</v>
      </c>
      <c r="K132" s="8">
        <v>13</v>
      </c>
      <c r="L132" s="8" t="s">
        <v>695</v>
      </c>
      <c r="M132" s="11" t="s">
        <v>1295</v>
      </c>
      <c r="N132" s="11"/>
      <c r="O132" s="1"/>
      <c r="P132" s="8" t="s">
        <v>1082</v>
      </c>
      <c r="Q132" s="1">
        <v>0.224</v>
      </c>
      <c r="R132" s="14">
        <v>448</v>
      </c>
      <c r="S132" s="8" t="s">
        <v>541</v>
      </c>
      <c r="T132" s="1">
        <v>0.15404999999999999</v>
      </c>
      <c r="U132" s="1">
        <f t="shared" si="4"/>
        <v>308.09999999999997</v>
      </c>
      <c r="V132" s="1" t="str">
        <f t="shared" ref="V132:V141" si="7">IF(U132&lt;R132,"LCSC","Digikey")</f>
        <v>LCSC</v>
      </c>
      <c r="W132" s="1">
        <f t="shared" ref="W132:W141" si="8">IF(V132="LCSC",U132,R132)</f>
        <v>308.09999999999997</v>
      </c>
      <c r="X132" s="1"/>
      <c r="Y132" s="1"/>
      <c r="Z132" s="1"/>
    </row>
    <row r="133" spans="1:26" x14ac:dyDescent="0.25">
      <c r="A133" s="10" t="s">
        <v>466</v>
      </c>
      <c r="B133" s="8" t="s">
        <v>877</v>
      </c>
      <c r="C133" s="8" t="s">
        <v>884</v>
      </c>
      <c r="D133" s="1" t="s">
        <v>1104</v>
      </c>
      <c r="E133" s="8" t="s">
        <v>888</v>
      </c>
      <c r="F133" s="8" t="s">
        <v>467</v>
      </c>
      <c r="G133" s="8">
        <v>4000</v>
      </c>
      <c r="H133" s="8" t="s">
        <v>1152</v>
      </c>
      <c r="I133" s="8" t="s">
        <v>159</v>
      </c>
      <c r="J133" s="8">
        <v>30</v>
      </c>
      <c r="K133" s="8">
        <v>13</v>
      </c>
      <c r="L133" s="8" t="s">
        <v>695</v>
      </c>
      <c r="M133" s="11" t="s">
        <v>1295</v>
      </c>
      <c r="N133" s="11"/>
      <c r="O133" s="1"/>
      <c r="P133" s="8" t="s">
        <v>1002</v>
      </c>
      <c r="Q133" s="1">
        <v>0.20399999999999999</v>
      </c>
      <c r="R133" s="14">
        <v>816</v>
      </c>
      <c r="S133" s="8" t="s">
        <v>657</v>
      </c>
      <c r="T133" s="1">
        <v>7.1250000000000008E-2</v>
      </c>
      <c r="U133" s="1">
        <f t="shared" si="4"/>
        <v>285.00000000000006</v>
      </c>
      <c r="V133" s="1" t="str">
        <f t="shared" si="7"/>
        <v>LCSC</v>
      </c>
      <c r="W133" s="1">
        <f t="shared" si="8"/>
        <v>285.00000000000006</v>
      </c>
      <c r="X133" s="1"/>
      <c r="Y133" s="1"/>
      <c r="Z133" s="1"/>
    </row>
    <row r="134" spans="1:26" x14ac:dyDescent="0.25">
      <c r="A134" s="10" t="s">
        <v>470</v>
      </c>
      <c r="B134" s="8" t="s">
        <v>847</v>
      </c>
      <c r="C134" s="8" t="s">
        <v>884</v>
      </c>
      <c r="D134" s="1" t="s">
        <v>1104</v>
      </c>
      <c r="E134" s="8" t="s">
        <v>888</v>
      </c>
      <c r="F134" s="8" t="s">
        <v>471</v>
      </c>
      <c r="G134" s="8">
        <v>4000</v>
      </c>
      <c r="H134" s="8" t="s">
        <v>1151</v>
      </c>
      <c r="I134" s="8" t="s">
        <v>106</v>
      </c>
      <c r="J134" s="8">
        <v>207</v>
      </c>
      <c r="K134" s="8">
        <v>13</v>
      </c>
      <c r="L134" s="8" t="s">
        <v>695</v>
      </c>
      <c r="M134" s="11" t="s">
        <v>1295</v>
      </c>
      <c r="N134" s="11"/>
      <c r="O134" s="1"/>
      <c r="P134" s="8" t="s">
        <v>1001</v>
      </c>
      <c r="Q134" s="1">
        <v>4.8000000000000001E-2</v>
      </c>
      <c r="R134" s="14">
        <v>192</v>
      </c>
      <c r="S134" s="8" t="s">
        <v>659</v>
      </c>
      <c r="T134" s="1">
        <v>2.8200000000000003E-2</v>
      </c>
      <c r="U134" s="1">
        <f t="shared" si="4"/>
        <v>112.80000000000001</v>
      </c>
      <c r="V134" s="1" t="str">
        <f t="shared" si="7"/>
        <v>LCSC</v>
      </c>
      <c r="W134" s="1">
        <f t="shared" si="8"/>
        <v>112.80000000000001</v>
      </c>
      <c r="X134" s="1"/>
      <c r="Y134" s="1"/>
      <c r="Z134" s="1"/>
    </row>
    <row r="135" spans="1:26" x14ac:dyDescent="0.25">
      <c r="A135" s="10" t="s">
        <v>341</v>
      </c>
      <c r="B135" s="8" t="s">
        <v>710</v>
      </c>
      <c r="C135" s="8" t="s">
        <v>884</v>
      </c>
      <c r="D135" s="1" t="s">
        <v>1105</v>
      </c>
      <c r="E135" s="8" t="s">
        <v>886</v>
      </c>
      <c r="F135" s="8" t="s">
        <v>342</v>
      </c>
      <c r="G135" s="8">
        <v>3000</v>
      </c>
      <c r="H135" s="8" t="s">
        <v>1153</v>
      </c>
      <c r="I135" s="8" t="s">
        <v>179</v>
      </c>
      <c r="J135" s="8">
        <v>10657</v>
      </c>
      <c r="K135" s="8">
        <v>13</v>
      </c>
      <c r="L135" s="8" t="s">
        <v>695</v>
      </c>
      <c r="M135" s="11" t="s">
        <v>1295</v>
      </c>
      <c r="N135" s="11"/>
      <c r="O135" s="1"/>
      <c r="P135" s="8" t="s">
        <v>1006</v>
      </c>
      <c r="Q135" s="1">
        <v>7.6999999999999999E-2</v>
      </c>
      <c r="R135" s="14">
        <v>231</v>
      </c>
      <c r="S135" s="8" t="s">
        <v>570</v>
      </c>
      <c r="T135" s="1">
        <v>3.7349999999999994E-2</v>
      </c>
      <c r="U135" s="1">
        <f t="shared" si="4"/>
        <v>112.04999999999998</v>
      </c>
      <c r="V135" s="1" t="str">
        <f t="shared" si="7"/>
        <v>LCSC</v>
      </c>
      <c r="W135" s="1">
        <f t="shared" si="8"/>
        <v>112.04999999999998</v>
      </c>
      <c r="X135" s="1"/>
      <c r="Y135" s="1"/>
      <c r="Z135" s="1"/>
    </row>
    <row r="136" spans="1:26" x14ac:dyDescent="0.25">
      <c r="A136" s="10" t="s">
        <v>302</v>
      </c>
      <c r="B136" s="8" t="s">
        <v>826</v>
      </c>
      <c r="C136" s="8" t="s">
        <v>884</v>
      </c>
      <c r="D136" s="1" t="s">
        <v>1105</v>
      </c>
      <c r="E136" s="8" t="s">
        <v>886</v>
      </c>
      <c r="F136" s="8" t="s">
        <v>303</v>
      </c>
      <c r="G136" s="8">
        <v>4000</v>
      </c>
      <c r="H136" s="8" t="s">
        <v>1188</v>
      </c>
      <c r="I136" s="8" t="s">
        <v>106</v>
      </c>
      <c r="J136" s="8">
        <v>407</v>
      </c>
      <c r="K136" s="8">
        <v>13</v>
      </c>
      <c r="L136" s="8" t="s">
        <v>695</v>
      </c>
      <c r="M136" s="11" t="s">
        <v>1295</v>
      </c>
      <c r="N136" s="11"/>
      <c r="O136" s="1"/>
      <c r="P136" s="8" t="s">
        <v>1080</v>
      </c>
      <c r="Q136" s="1">
        <v>5.8999999999999997E-2</v>
      </c>
      <c r="R136" s="14">
        <v>236</v>
      </c>
      <c r="S136" s="8" t="s">
        <v>542</v>
      </c>
      <c r="T136" s="1">
        <v>2.76E-2</v>
      </c>
      <c r="U136" s="1">
        <f t="shared" si="4"/>
        <v>110.39999999999999</v>
      </c>
      <c r="V136" s="1" t="str">
        <f t="shared" si="7"/>
        <v>LCSC</v>
      </c>
      <c r="W136" s="1">
        <f t="shared" si="8"/>
        <v>110.39999999999999</v>
      </c>
      <c r="X136" s="1"/>
      <c r="Y136" s="1"/>
      <c r="Z136" s="1"/>
    </row>
    <row r="137" spans="1:26" x14ac:dyDescent="0.25">
      <c r="A137" s="10" t="s">
        <v>343</v>
      </c>
      <c r="B137" s="8" t="s">
        <v>718</v>
      </c>
      <c r="C137" s="8" t="s">
        <v>884</v>
      </c>
      <c r="D137" s="1" t="s">
        <v>1105</v>
      </c>
      <c r="E137" s="8" t="s">
        <v>887</v>
      </c>
      <c r="F137" s="8" t="s">
        <v>344</v>
      </c>
      <c r="G137" s="8">
        <v>3000</v>
      </c>
      <c r="H137" s="8" t="s">
        <v>1156</v>
      </c>
      <c r="I137" s="8" t="s">
        <v>175</v>
      </c>
      <c r="J137" s="8">
        <v>8888</v>
      </c>
      <c r="K137" s="8">
        <v>13</v>
      </c>
      <c r="L137" s="8" t="s">
        <v>695</v>
      </c>
      <c r="M137" s="11" t="s">
        <v>1295</v>
      </c>
      <c r="N137" s="11"/>
      <c r="O137" s="1"/>
      <c r="P137" s="8" t="s">
        <v>1017</v>
      </c>
      <c r="Q137" s="1">
        <v>3.2000000000000001E-2</v>
      </c>
      <c r="R137" s="14">
        <v>96</v>
      </c>
      <c r="S137" s="8" t="s">
        <v>571</v>
      </c>
      <c r="T137" s="1">
        <v>2.6250000000000002E-2</v>
      </c>
      <c r="U137" s="1">
        <f t="shared" si="4"/>
        <v>78.750000000000014</v>
      </c>
      <c r="V137" s="1" t="str">
        <f t="shared" si="7"/>
        <v>LCSC</v>
      </c>
      <c r="W137" s="1">
        <f t="shared" si="8"/>
        <v>78.750000000000014</v>
      </c>
      <c r="X137" s="1"/>
      <c r="Y137" s="1"/>
      <c r="Z137" s="1"/>
    </row>
    <row r="138" spans="1:26" x14ac:dyDescent="0.25">
      <c r="A138" s="10" t="s">
        <v>475</v>
      </c>
      <c r="B138" s="8" t="s">
        <v>833</v>
      </c>
      <c r="C138" s="8" t="s">
        <v>884</v>
      </c>
      <c r="D138" s="1" t="s">
        <v>1102</v>
      </c>
      <c r="E138" s="8" t="s">
        <v>892</v>
      </c>
      <c r="F138" s="8" t="s">
        <v>476</v>
      </c>
      <c r="G138" s="8">
        <v>5000</v>
      </c>
      <c r="H138" s="8" t="s">
        <v>1138</v>
      </c>
      <c r="I138" s="8" t="s">
        <v>106</v>
      </c>
      <c r="J138" s="8">
        <v>328</v>
      </c>
      <c r="K138" s="8">
        <v>13</v>
      </c>
      <c r="L138" s="8" t="s">
        <v>695</v>
      </c>
      <c r="M138" s="11" t="s">
        <v>1295</v>
      </c>
      <c r="N138" s="11"/>
      <c r="O138" s="1"/>
      <c r="P138" s="8" t="s">
        <v>966</v>
      </c>
      <c r="Q138" s="1">
        <v>6.3E-3</v>
      </c>
      <c r="R138" s="14">
        <v>31.5</v>
      </c>
      <c r="S138" s="8" t="s">
        <v>662</v>
      </c>
      <c r="T138" s="1">
        <v>1.9499999999999999E-3</v>
      </c>
      <c r="U138" s="1">
        <f t="shared" ref="U138:U169" si="9">T138*G138</f>
        <v>9.75</v>
      </c>
      <c r="V138" s="1" t="str">
        <f t="shared" si="7"/>
        <v>LCSC</v>
      </c>
      <c r="W138" s="1">
        <f t="shared" si="8"/>
        <v>9.75</v>
      </c>
      <c r="X138" s="1"/>
      <c r="Y138" s="1"/>
      <c r="Z138" s="1"/>
    </row>
    <row r="139" spans="1:26" x14ac:dyDescent="0.25">
      <c r="A139" s="10" t="s">
        <v>472</v>
      </c>
      <c r="B139" s="8" t="s">
        <v>860</v>
      </c>
      <c r="C139" s="8" t="s">
        <v>884</v>
      </c>
      <c r="D139" s="1" t="s">
        <v>1102</v>
      </c>
      <c r="E139" s="8" t="s">
        <v>892</v>
      </c>
      <c r="F139" s="8" t="s">
        <v>473</v>
      </c>
      <c r="G139" s="8">
        <v>5000</v>
      </c>
      <c r="H139" s="8" t="s">
        <v>1140</v>
      </c>
      <c r="I139" s="8" t="s">
        <v>106</v>
      </c>
      <c r="J139" s="8">
        <v>146</v>
      </c>
      <c r="K139" s="8">
        <v>13</v>
      </c>
      <c r="L139" s="8" t="s">
        <v>695</v>
      </c>
      <c r="M139" s="11" t="s">
        <v>1295</v>
      </c>
      <c r="N139" s="11"/>
      <c r="O139" s="1"/>
      <c r="P139" s="8" t="s">
        <v>968</v>
      </c>
      <c r="Q139" s="1">
        <v>6.3E-3</v>
      </c>
      <c r="R139" s="14">
        <v>31.5</v>
      </c>
      <c r="S139" s="8" t="s">
        <v>660</v>
      </c>
      <c r="T139" s="1">
        <v>1.9499999999999999E-3</v>
      </c>
      <c r="U139" s="1">
        <f t="shared" si="9"/>
        <v>9.75</v>
      </c>
      <c r="V139" s="1" t="str">
        <f t="shared" si="7"/>
        <v>LCSC</v>
      </c>
      <c r="W139" s="1">
        <f t="shared" si="8"/>
        <v>9.75</v>
      </c>
      <c r="X139" s="1"/>
      <c r="Y139" s="1"/>
      <c r="Z139" s="1"/>
    </row>
    <row r="140" spans="1:26" x14ac:dyDescent="0.25">
      <c r="A140" s="10" t="s">
        <v>464</v>
      </c>
      <c r="B140" s="8" t="s">
        <v>873</v>
      </c>
      <c r="C140" s="8" t="s">
        <v>884</v>
      </c>
      <c r="D140" s="1" t="s">
        <v>1102</v>
      </c>
      <c r="E140" s="8" t="s">
        <v>894</v>
      </c>
      <c r="F140" s="8" t="s">
        <v>465</v>
      </c>
      <c r="G140" s="8">
        <v>5000</v>
      </c>
      <c r="H140" s="8" t="s">
        <v>1133</v>
      </c>
      <c r="I140" s="8" t="s">
        <v>106</v>
      </c>
      <c r="J140" s="8">
        <v>45</v>
      </c>
      <c r="K140" s="8">
        <v>13</v>
      </c>
      <c r="L140" s="8" t="s">
        <v>695</v>
      </c>
      <c r="M140" s="18" t="s">
        <v>1296</v>
      </c>
      <c r="N140" s="11">
        <v>5000</v>
      </c>
      <c r="O140" s="1"/>
      <c r="P140" s="8" t="s">
        <v>914</v>
      </c>
      <c r="Q140" s="1">
        <v>3.0999999999999999E-3</v>
      </c>
      <c r="R140" s="14">
        <v>15.5</v>
      </c>
      <c r="S140" s="8" t="s">
        <v>656</v>
      </c>
      <c r="T140" s="1">
        <v>1.2000000000000001E-3</v>
      </c>
      <c r="U140" s="1">
        <f t="shared" si="9"/>
        <v>6.0000000000000009</v>
      </c>
      <c r="V140" s="1" t="str">
        <f t="shared" si="7"/>
        <v>LCSC</v>
      </c>
      <c r="W140" s="1">
        <f t="shared" si="8"/>
        <v>6.0000000000000009</v>
      </c>
      <c r="X140" s="1"/>
      <c r="Y140" s="1"/>
      <c r="Z140" s="1"/>
    </row>
    <row r="141" spans="1:26" x14ac:dyDescent="0.25">
      <c r="A141" s="10" t="s">
        <v>477</v>
      </c>
      <c r="B141" s="8" t="s">
        <v>852</v>
      </c>
      <c r="C141" s="8" t="s">
        <v>884</v>
      </c>
      <c r="D141" s="1" t="s">
        <v>1102</v>
      </c>
      <c r="E141" s="8" t="s">
        <v>894</v>
      </c>
      <c r="F141" s="8" t="s">
        <v>478</v>
      </c>
      <c r="G141" s="8">
        <v>5000</v>
      </c>
      <c r="H141" s="8" t="s">
        <v>1130</v>
      </c>
      <c r="I141" s="8" t="s">
        <v>106</v>
      </c>
      <c r="J141" s="8">
        <v>191</v>
      </c>
      <c r="K141" s="8">
        <v>13</v>
      </c>
      <c r="L141" s="8" t="s">
        <v>695</v>
      </c>
      <c r="M141" s="18" t="s">
        <v>1296</v>
      </c>
      <c r="N141" s="11">
        <v>5000</v>
      </c>
      <c r="O141" s="1"/>
      <c r="P141" s="8" t="s">
        <v>911</v>
      </c>
      <c r="Q141" s="1">
        <v>4.7000000000000002E-3</v>
      </c>
      <c r="R141" s="14">
        <v>23.5</v>
      </c>
      <c r="S141" s="8" t="s">
        <v>663</v>
      </c>
      <c r="T141" s="1">
        <v>1.0499999999999999E-3</v>
      </c>
      <c r="U141" s="1">
        <f t="shared" si="9"/>
        <v>5.25</v>
      </c>
      <c r="V141" s="1" t="str">
        <f t="shared" si="7"/>
        <v>LCSC</v>
      </c>
      <c r="W141" s="1">
        <f t="shared" si="8"/>
        <v>5.25</v>
      </c>
      <c r="X141" s="1"/>
      <c r="Y141" s="1"/>
      <c r="Z141" s="1"/>
    </row>
    <row r="142" spans="1:26" x14ac:dyDescent="0.25">
      <c r="A142" s="8" t="s">
        <v>11</v>
      </c>
      <c r="B142" s="8" t="s">
        <v>792</v>
      </c>
      <c r="C142" s="8" t="s">
        <v>884</v>
      </c>
      <c r="D142" s="1" t="s">
        <v>1102</v>
      </c>
      <c r="E142" s="8" t="s">
        <v>894</v>
      </c>
      <c r="F142" s="8" t="s">
        <v>411</v>
      </c>
      <c r="G142" s="8">
        <v>5000</v>
      </c>
      <c r="H142" s="8" t="s">
        <v>122</v>
      </c>
      <c r="I142" s="8" t="s">
        <v>106</v>
      </c>
      <c r="J142" s="8">
        <v>815</v>
      </c>
      <c r="K142" s="8">
        <v>13</v>
      </c>
      <c r="L142" s="8" t="s">
        <v>694</v>
      </c>
      <c r="M142" s="11" t="s">
        <v>697</v>
      </c>
      <c r="N142" s="11"/>
      <c r="O142" s="1"/>
      <c r="P142" s="8" t="s">
        <v>956</v>
      </c>
      <c r="Q142" s="1">
        <v>1.7000000000000001E-2</v>
      </c>
      <c r="R142" s="14">
        <v>85</v>
      </c>
      <c r="S142" s="8" t="s">
        <v>628</v>
      </c>
      <c r="T142" s="1">
        <v>2.8500000000000001E-3</v>
      </c>
      <c r="U142" s="1">
        <f t="shared" si="9"/>
        <v>14.25</v>
      </c>
      <c r="V142" s="1"/>
      <c r="W142" s="1"/>
      <c r="X142" s="1"/>
      <c r="Y142" s="1"/>
      <c r="Z142" s="1"/>
    </row>
    <row r="143" spans="1:26" x14ac:dyDescent="0.25">
      <c r="A143" s="8" t="s">
        <v>53</v>
      </c>
      <c r="B143" s="8" t="s">
        <v>747</v>
      </c>
      <c r="C143" s="8" t="s">
        <v>884</v>
      </c>
      <c r="D143" s="1" t="s">
        <v>1102</v>
      </c>
      <c r="E143" s="8" t="s">
        <v>892</v>
      </c>
      <c r="F143" s="8" t="s">
        <v>398</v>
      </c>
      <c r="G143" s="8">
        <v>5000</v>
      </c>
      <c r="H143" s="8" t="s">
        <v>164</v>
      </c>
      <c r="I143" s="8" t="s">
        <v>106</v>
      </c>
      <c r="J143" s="8">
        <v>2095</v>
      </c>
      <c r="K143" s="8">
        <v>13</v>
      </c>
      <c r="L143" s="8" t="s">
        <v>694</v>
      </c>
      <c r="M143" s="11" t="s">
        <v>697</v>
      </c>
      <c r="N143" s="11"/>
      <c r="O143" s="1"/>
      <c r="P143" s="8" t="s">
        <v>975</v>
      </c>
      <c r="Q143" s="1">
        <v>8.3000000000000001E-3</v>
      </c>
      <c r="R143" s="14">
        <v>41.5</v>
      </c>
      <c r="S143" s="8" t="s">
        <v>615</v>
      </c>
      <c r="T143" s="1">
        <v>2.2500000000000003E-3</v>
      </c>
      <c r="U143" s="1">
        <f t="shared" si="9"/>
        <v>11.250000000000002</v>
      </c>
      <c r="V143" s="1"/>
      <c r="W143" s="1"/>
      <c r="X143" s="1"/>
      <c r="Y143" s="1"/>
      <c r="Z143" s="1"/>
    </row>
    <row r="144" spans="1:26" x14ac:dyDescent="0.25">
      <c r="A144" s="8" t="s">
        <v>85</v>
      </c>
      <c r="B144" s="8" t="s">
        <v>846</v>
      </c>
      <c r="C144" s="8" t="s">
        <v>884</v>
      </c>
      <c r="D144" s="1" t="s">
        <v>1105</v>
      </c>
      <c r="E144" s="8" t="s">
        <v>903</v>
      </c>
      <c r="F144" s="8" t="s">
        <v>320</v>
      </c>
      <c r="G144" s="8">
        <v>3000</v>
      </c>
      <c r="H144" s="8" t="s">
        <v>202</v>
      </c>
      <c r="I144" s="8" t="s">
        <v>183</v>
      </c>
      <c r="J144" s="8">
        <v>221</v>
      </c>
      <c r="K144" s="8">
        <v>13</v>
      </c>
      <c r="L144" s="8" t="s">
        <v>694</v>
      </c>
      <c r="M144" s="11" t="s">
        <v>697</v>
      </c>
      <c r="N144" s="11"/>
      <c r="O144" s="1"/>
      <c r="P144" s="8" t="s">
        <v>1026</v>
      </c>
      <c r="Q144" s="1">
        <v>3.2000000000000001E-2</v>
      </c>
      <c r="R144" s="14">
        <v>96</v>
      </c>
      <c r="S144" s="8" t="s">
        <v>558</v>
      </c>
      <c r="T144" s="1">
        <v>2.2200000000000001E-2</v>
      </c>
      <c r="U144" s="1">
        <f t="shared" si="9"/>
        <v>66.600000000000009</v>
      </c>
      <c r="V144" s="1"/>
      <c r="W144" s="1"/>
      <c r="X144" s="1"/>
      <c r="Y144" s="1"/>
      <c r="Z144" s="1"/>
    </row>
    <row r="145" spans="1:26" x14ac:dyDescent="0.25">
      <c r="A145" s="10" t="s">
        <v>304</v>
      </c>
      <c r="B145" s="8" t="s">
        <v>763</v>
      </c>
      <c r="C145" s="8" t="s">
        <v>884</v>
      </c>
      <c r="D145" s="1" t="s">
        <v>1105</v>
      </c>
      <c r="E145" s="8" t="s">
        <v>886</v>
      </c>
      <c r="F145" s="8" t="s">
        <v>305</v>
      </c>
      <c r="G145" s="8">
        <v>2000</v>
      </c>
      <c r="H145" s="8" t="s">
        <v>1209</v>
      </c>
      <c r="I145" s="8" t="s">
        <v>190</v>
      </c>
      <c r="J145" s="8">
        <v>1540</v>
      </c>
      <c r="K145" s="8">
        <v>12</v>
      </c>
      <c r="L145" s="8" t="s">
        <v>695</v>
      </c>
      <c r="M145" s="11" t="s">
        <v>1298</v>
      </c>
      <c r="N145" s="11">
        <v>2000</v>
      </c>
      <c r="O145" s="1"/>
      <c r="P145" s="8" t="s">
        <v>1077</v>
      </c>
      <c r="Q145" s="1">
        <v>0.14099999999999999</v>
      </c>
      <c r="R145" s="14">
        <v>282</v>
      </c>
      <c r="S145" s="8" t="s">
        <v>543</v>
      </c>
      <c r="T145" s="1">
        <v>6.7799999999999999E-2</v>
      </c>
      <c r="U145" s="1">
        <f t="shared" si="9"/>
        <v>135.6</v>
      </c>
      <c r="V145" s="1"/>
      <c r="W145" s="1"/>
      <c r="X145" s="1"/>
      <c r="Y145" s="1"/>
      <c r="Z145" s="1"/>
    </row>
    <row r="146" spans="1:26" x14ac:dyDescent="0.25">
      <c r="A146" s="8" t="s">
        <v>41</v>
      </c>
      <c r="B146" s="8" t="s">
        <v>828</v>
      </c>
      <c r="C146" s="8" t="s">
        <v>884</v>
      </c>
      <c r="D146" s="1" t="s">
        <v>1102</v>
      </c>
      <c r="E146" s="8" t="s">
        <v>894</v>
      </c>
      <c r="F146" s="8" t="s">
        <v>390</v>
      </c>
      <c r="G146" s="8">
        <v>5000</v>
      </c>
      <c r="H146" s="8" t="s">
        <v>152</v>
      </c>
      <c r="I146" s="8" t="s">
        <v>106</v>
      </c>
      <c r="J146" s="8">
        <v>394</v>
      </c>
      <c r="K146" s="8">
        <v>12</v>
      </c>
      <c r="L146" s="8" t="s">
        <v>694</v>
      </c>
      <c r="M146" s="11" t="s">
        <v>697</v>
      </c>
      <c r="N146" s="11"/>
      <c r="O146" s="1"/>
      <c r="P146" s="8" t="s">
        <v>962</v>
      </c>
      <c r="Q146" s="1">
        <v>3.0999999999999999E-3</v>
      </c>
      <c r="R146" s="14">
        <v>15.5</v>
      </c>
      <c r="S146" s="8" t="s">
        <v>607</v>
      </c>
      <c r="T146" s="1">
        <v>8.9999999999999998E-4</v>
      </c>
      <c r="U146" s="1">
        <f t="shared" si="9"/>
        <v>4.5</v>
      </c>
      <c r="V146" s="1"/>
      <c r="W146" s="1"/>
      <c r="X146" s="1"/>
      <c r="Y146" s="1"/>
      <c r="Z146" s="1"/>
    </row>
    <row r="147" spans="1:26" x14ac:dyDescent="0.25">
      <c r="A147" s="10" t="s">
        <v>308</v>
      </c>
      <c r="B147" s="8" t="s">
        <v>855</v>
      </c>
      <c r="C147" s="8" t="s">
        <v>884</v>
      </c>
      <c r="D147" s="1" t="s">
        <v>1105</v>
      </c>
      <c r="E147" s="8" t="s">
        <v>902</v>
      </c>
      <c r="F147" s="8" t="s">
        <v>306</v>
      </c>
      <c r="G147" s="8">
        <v>500</v>
      </c>
      <c r="H147" s="8" t="s">
        <v>1195</v>
      </c>
      <c r="I147" s="8" t="s">
        <v>194</v>
      </c>
      <c r="J147" s="8">
        <v>159</v>
      </c>
      <c r="K147" s="8">
        <v>12</v>
      </c>
      <c r="L147" s="8" t="s">
        <v>695</v>
      </c>
      <c r="M147" s="11" t="s">
        <v>1295</v>
      </c>
      <c r="N147" s="11"/>
      <c r="O147" s="1"/>
      <c r="P147" s="8" t="s">
        <v>1088</v>
      </c>
      <c r="Q147" s="1">
        <v>0.79500000000000004</v>
      </c>
      <c r="R147" s="14">
        <v>397.5</v>
      </c>
      <c r="S147" s="8" t="s">
        <v>545</v>
      </c>
      <c r="T147" s="1">
        <v>0.42584999999999995</v>
      </c>
      <c r="U147" s="1">
        <f t="shared" si="9"/>
        <v>212.92499999999998</v>
      </c>
      <c r="V147" s="1" t="str">
        <f>IF(U147&lt;R147,"LCSC","Digikey")</f>
        <v>LCSC</v>
      </c>
      <c r="W147" s="1">
        <f>IF(V147="LCSC",U147,R147)</f>
        <v>212.92499999999998</v>
      </c>
      <c r="X147" s="1"/>
      <c r="Y147" s="1"/>
      <c r="Z147" s="1"/>
    </row>
    <row r="148" spans="1:26" x14ac:dyDescent="0.25">
      <c r="A148" s="10" t="s">
        <v>479</v>
      </c>
      <c r="B148" s="8" t="s">
        <v>848</v>
      </c>
      <c r="C148" s="8" t="s">
        <v>884</v>
      </c>
      <c r="D148" s="1" t="s">
        <v>1103</v>
      </c>
      <c r="E148" s="8" t="s">
        <v>889</v>
      </c>
      <c r="F148" s="8" t="s">
        <v>480</v>
      </c>
      <c r="G148" s="8">
        <v>4000</v>
      </c>
      <c r="H148" s="8" t="s">
        <v>1147</v>
      </c>
      <c r="I148" s="8" t="s">
        <v>132</v>
      </c>
      <c r="J148" s="8">
        <v>203</v>
      </c>
      <c r="K148" s="8">
        <v>12</v>
      </c>
      <c r="L148" s="8" t="s">
        <v>695</v>
      </c>
      <c r="M148" s="11" t="s">
        <v>1295</v>
      </c>
      <c r="N148" s="11"/>
      <c r="O148" s="1"/>
      <c r="P148" s="8" t="s">
        <v>992</v>
      </c>
      <c r="Q148" s="1">
        <v>5.8999999999999997E-2</v>
      </c>
      <c r="R148" s="14">
        <v>236</v>
      </c>
      <c r="S148" s="8" t="s">
        <v>664</v>
      </c>
      <c r="T148" s="1">
        <v>4.965E-2</v>
      </c>
      <c r="U148" s="1">
        <f t="shared" si="9"/>
        <v>198.6</v>
      </c>
      <c r="V148" s="1" t="str">
        <f>IF(U148&lt;R148,"LCSC","Digikey")</f>
        <v>LCSC</v>
      </c>
      <c r="W148" s="1">
        <f>IF(V148="LCSC",U148,R148)</f>
        <v>198.6</v>
      </c>
      <c r="X148" s="1"/>
      <c r="Y148" s="1"/>
      <c r="Z148" s="1"/>
    </row>
    <row r="149" spans="1:26" x14ac:dyDescent="0.25">
      <c r="A149" s="10" t="s">
        <v>345</v>
      </c>
      <c r="B149" s="8" t="s">
        <v>876</v>
      </c>
      <c r="C149" s="8" t="s">
        <v>884</v>
      </c>
      <c r="D149" s="1" t="s">
        <v>1105</v>
      </c>
      <c r="E149" s="8" t="s">
        <v>903</v>
      </c>
      <c r="F149" s="8" t="s">
        <v>346</v>
      </c>
      <c r="G149" s="8">
        <v>3000</v>
      </c>
      <c r="H149" s="8" t="s">
        <v>1158</v>
      </c>
      <c r="I149" s="8" t="s">
        <v>183</v>
      </c>
      <c r="J149" s="8">
        <v>35</v>
      </c>
      <c r="K149" s="8">
        <v>12</v>
      </c>
      <c r="L149" s="8" t="s">
        <v>695</v>
      </c>
      <c r="M149" s="11" t="s">
        <v>1295</v>
      </c>
      <c r="N149" s="11"/>
      <c r="O149" s="1"/>
      <c r="P149" s="8" t="s">
        <v>1025</v>
      </c>
      <c r="Q149" s="1">
        <v>4.7E-2</v>
      </c>
      <c r="R149" s="14">
        <v>141</v>
      </c>
      <c r="S149" s="8" t="s">
        <v>572</v>
      </c>
      <c r="T149" s="1">
        <v>2.445E-2</v>
      </c>
      <c r="U149" s="1">
        <f t="shared" si="9"/>
        <v>73.349999999999994</v>
      </c>
      <c r="V149" s="1" t="str">
        <f>IF(U149&lt;R149,"LCSC","Digikey")</f>
        <v>LCSC</v>
      </c>
      <c r="W149" s="1">
        <f>IF(V149="LCSC",U149,R149)</f>
        <v>73.349999999999994</v>
      </c>
      <c r="X149" s="1"/>
      <c r="Y149" s="1"/>
      <c r="Z149" s="1"/>
    </row>
    <row r="150" spans="1:26" x14ac:dyDescent="0.25">
      <c r="A150" s="10" t="s">
        <v>481</v>
      </c>
      <c r="B150" s="8" t="s">
        <v>878</v>
      </c>
      <c r="C150" s="8" t="s">
        <v>884</v>
      </c>
      <c r="D150" s="1" t="s">
        <v>1102</v>
      </c>
      <c r="E150" s="8" t="s">
        <v>894</v>
      </c>
      <c r="F150" s="8" t="s">
        <v>482</v>
      </c>
      <c r="G150" s="8">
        <v>5000</v>
      </c>
      <c r="H150" s="8" t="s">
        <v>1134</v>
      </c>
      <c r="I150" s="8" t="s">
        <v>1135</v>
      </c>
      <c r="J150" s="8">
        <v>30</v>
      </c>
      <c r="K150" s="8">
        <v>12</v>
      </c>
      <c r="L150" s="8" t="s">
        <v>695</v>
      </c>
      <c r="M150" s="11" t="s">
        <v>1295</v>
      </c>
      <c r="N150" s="11"/>
      <c r="O150" s="1"/>
      <c r="P150" s="8" t="s">
        <v>915</v>
      </c>
      <c r="Q150" s="1">
        <v>3.5999999999999999E-3</v>
      </c>
      <c r="R150" s="14">
        <v>18</v>
      </c>
      <c r="S150" s="8" t="s">
        <v>665</v>
      </c>
      <c r="T150" s="1">
        <v>6.150000000000001E-3</v>
      </c>
      <c r="U150" s="1">
        <f t="shared" si="9"/>
        <v>30.750000000000004</v>
      </c>
      <c r="V150" s="1" t="str">
        <f>IF(U150&lt;R150,"LCSC","Digikey")</f>
        <v>Digikey</v>
      </c>
      <c r="W150" s="1">
        <f>IF(V150="LCSC",U150,R150)</f>
        <v>18</v>
      </c>
      <c r="X150" s="1"/>
      <c r="Y150" s="1"/>
      <c r="Z150" s="1"/>
    </row>
    <row r="151" spans="1:26" x14ac:dyDescent="0.25">
      <c r="A151" s="8" t="s">
        <v>93</v>
      </c>
      <c r="B151" s="8" t="s">
        <v>858</v>
      </c>
      <c r="C151" s="8" t="s">
        <v>884</v>
      </c>
      <c r="D151" s="1" t="s">
        <v>1102</v>
      </c>
      <c r="E151" s="8" t="s">
        <v>894</v>
      </c>
      <c r="F151" s="8" t="s">
        <v>505</v>
      </c>
      <c r="G151" s="8">
        <v>5000</v>
      </c>
      <c r="H151" s="8" t="s">
        <v>214</v>
      </c>
      <c r="I151" s="8" t="s">
        <v>106</v>
      </c>
      <c r="J151" s="8">
        <v>154</v>
      </c>
      <c r="K151" s="8">
        <v>11</v>
      </c>
      <c r="L151" s="8" t="s">
        <v>694</v>
      </c>
      <c r="M151" s="11" t="s">
        <v>697</v>
      </c>
      <c r="N151" s="11"/>
      <c r="O151" s="1"/>
      <c r="P151" s="8" t="s">
        <v>933</v>
      </c>
      <c r="Q151" s="1">
        <v>7.7999999999999996E-3</v>
      </c>
      <c r="R151" s="14">
        <v>39</v>
      </c>
      <c r="S151" s="8" t="s">
        <v>688</v>
      </c>
      <c r="T151" s="1">
        <v>2.0999999999999999E-3</v>
      </c>
      <c r="U151" s="1">
        <f t="shared" si="9"/>
        <v>10.5</v>
      </c>
      <c r="V151" s="1"/>
      <c r="W151" s="1"/>
      <c r="X151" s="1"/>
      <c r="Y151" s="1"/>
      <c r="Z151" s="1"/>
    </row>
    <row r="152" spans="1:26" x14ac:dyDescent="0.25">
      <c r="A152" s="8" t="s">
        <v>102</v>
      </c>
      <c r="B152" s="8" t="s">
        <v>819</v>
      </c>
      <c r="C152" s="8" t="s">
        <v>884</v>
      </c>
      <c r="D152" s="1" t="s">
        <v>1102</v>
      </c>
      <c r="E152" s="8" t="s">
        <v>893</v>
      </c>
      <c r="F152" s="8" t="s">
        <v>508</v>
      </c>
      <c r="G152" s="8">
        <v>5000</v>
      </c>
      <c r="H152" s="8" t="s">
        <v>223</v>
      </c>
      <c r="I152" s="8" t="s">
        <v>222</v>
      </c>
      <c r="J152" s="8">
        <v>454</v>
      </c>
      <c r="K152" s="8">
        <v>11</v>
      </c>
      <c r="L152" s="8" t="s">
        <v>694</v>
      </c>
      <c r="M152" s="11" t="s">
        <v>697</v>
      </c>
      <c r="N152" s="11"/>
      <c r="O152" s="1"/>
      <c r="P152" s="8" t="s">
        <v>983</v>
      </c>
      <c r="Q152" s="1">
        <v>0.218</v>
      </c>
      <c r="R152" s="14">
        <v>1090</v>
      </c>
      <c r="S152" s="8" t="s">
        <v>691</v>
      </c>
      <c r="T152" s="1">
        <v>7.2149999999999992E-2</v>
      </c>
      <c r="U152" s="1">
        <f t="shared" si="9"/>
        <v>360.74999999999994</v>
      </c>
      <c r="V152" s="1"/>
      <c r="W152" s="1"/>
      <c r="X152" s="1"/>
      <c r="Y152" s="1"/>
      <c r="Z152" s="1"/>
    </row>
    <row r="153" spans="1:26" x14ac:dyDescent="0.25">
      <c r="A153" s="8" t="s">
        <v>87</v>
      </c>
      <c r="B153" s="8" t="s">
        <v>863</v>
      </c>
      <c r="C153" s="8" t="s">
        <v>884</v>
      </c>
      <c r="D153" s="1" t="s">
        <v>1104</v>
      </c>
      <c r="E153" s="8" t="s">
        <v>890</v>
      </c>
      <c r="F153" s="8" t="s">
        <v>352</v>
      </c>
      <c r="G153" s="8">
        <v>3000</v>
      </c>
      <c r="H153" s="8" t="s">
        <v>206</v>
      </c>
      <c r="I153" s="8" t="s">
        <v>205</v>
      </c>
      <c r="J153" s="8">
        <v>141</v>
      </c>
      <c r="K153" s="8">
        <v>11</v>
      </c>
      <c r="L153" s="8" t="s">
        <v>694</v>
      </c>
      <c r="M153" s="11" t="s">
        <v>697</v>
      </c>
      <c r="N153" s="11"/>
      <c r="O153" s="1"/>
      <c r="P153" s="8" t="s">
        <v>1009</v>
      </c>
      <c r="Q153" s="1">
        <v>0.13100000000000001</v>
      </c>
      <c r="R153" s="14">
        <v>393</v>
      </c>
      <c r="S153" s="8"/>
      <c r="T153" s="1"/>
      <c r="U153" s="1"/>
      <c r="V153" s="1"/>
      <c r="W153" s="1"/>
      <c r="X153" s="1"/>
      <c r="Y153" s="1"/>
      <c r="Z153" s="1"/>
    </row>
    <row r="154" spans="1:26" x14ac:dyDescent="0.25">
      <c r="A154" s="8" t="s">
        <v>76</v>
      </c>
      <c r="B154" s="8" t="s">
        <v>814</v>
      </c>
      <c r="C154" s="8" t="s">
        <v>884</v>
      </c>
      <c r="D154" s="1" t="s">
        <v>1102</v>
      </c>
      <c r="E154" s="8" t="s">
        <v>892</v>
      </c>
      <c r="F154" s="8" t="s">
        <v>252</v>
      </c>
      <c r="G154" s="8">
        <v>4000</v>
      </c>
      <c r="H154" s="8" t="s">
        <v>193</v>
      </c>
      <c r="I154" s="8" t="s">
        <v>114</v>
      </c>
      <c r="J154" s="8">
        <v>472</v>
      </c>
      <c r="K154" s="8">
        <v>10</v>
      </c>
      <c r="L154" s="8" t="s">
        <v>694</v>
      </c>
      <c r="M154" s="11" t="s">
        <v>697</v>
      </c>
      <c r="N154" s="11"/>
      <c r="O154" s="1"/>
      <c r="P154" s="8" t="s">
        <v>1071</v>
      </c>
      <c r="Q154" s="1">
        <v>3.9E-2</v>
      </c>
      <c r="R154" s="14">
        <v>156</v>
      </c>
      <c r="S154" s="8" t="s">
        <v>514</v>
      </c>
      <c r="T154" s="1">
        <v>1.9049999999999997E-2</v>
      </c>
      <c r="U154" s="1">
        <f t="shared" ref="U154:U174" si="10">T154*G154</f>
        <v>76.199999999999989</v>
      </c>
      <c r="V154" s="1"/>
      <c r="W154" s="1"/>
      <c r="X154" s="1"/>
      <c r="Y154" s="1"/>
      <c r="Z154" s="1"/>
    </row>
    <row r="155" spans="1:26" x14ac:dyDescent="0.25">
      <c r="A155" s="8" t="s">
        <v>34</v>
      </c>
      <c r="B155" s="8" t="s">
        <v>712</v>
      </c>
      <c r="C155" s="8" t="s">
        <v>884</v>
      </c>
      <c r="D155" s="1" t="s">
        <v>1102</v>
      </c>
      <c r="E155" s="8" t="s">
        <v>894</v>
      </c>
      <c r="F155" s="8" t="s">
        <v>495</v>
      </c>
      <c r="G155" s="8">
        <v>5000</v>
      </c>
      <c r="H155" s="8" t="s">
        <v>145</v>
      </c>
      <c r="I155" s="8" t="s">
        <v>106</v>
      </c>
      <c r="J155" s="8">
        <v>10487</v>
      </c>
      <c r="K155" s="8">
        <v>10</v>
      </c>
      <c r="L155" s="8" t="s">
        <v>694</v>
      </c>
      <c r="M155" s="11" t="s">
        <v>697</v>
      </c>
      <c r="N155" s="11"/>
      <c r="O155" s="1"/>
      <c r="P155" s="8" t="s">
        <v>916</v>
      </c>
      <c r="Q155" s="1">
        <v>3.0999999999999999E-3</v>
      </c>
      <c r="R155" s="14">
        <v>15.5</v>
      </c>
      <c r="S155" s="8" t="s">
        <v>678</v>
      </c>
      <c r="T155" s="1">
        <v>8.9999999999999998E-4</v>
      </c>
      <c r="U155" s="1">
        <f t="shared" si="10"/>
        <v>4.5</v>
      </c>
      <c r="V155" s="1"/>
      <c r="W155" s="1"/>
      <c r="X155" s="1"/>
      <c r="Y155" s="1"/>
      <c r="Z155" s="1"/>
    </row>
    <row r="156" spans="1:26" x14ac:dyDescent="0.25">
      <c r="A156" s="8" t="s">
        <v>35</v>
      </c>
      <c r="B156" s="8" t="s">
        <v>741</v>
      </c>
      <c r="C156" s="8" t="s">
        <v>884</v>
      </c>
      <c r="D156" s="1" t="s">
        <v>1102</v>
      </c>
      <c r="E156" s="8" t="s">
        <v>894</v>
      </c>
      <c r="F156" s="8" t="s">
        <v>496</v>
      </c>
      <c r="G156" s="8">
        <v>5000</v>
      </c>
      <c r="H156" s="8" t="s">
        <v>146</v>
      </c>
      <c r="I156" s="8" t="s">
        <v>106</v>
      </c>
      <c r="J156" s="8">
        <v>2448</v>
      </c>
      <c r="K156" s="8">
        <v>10</v>
      </c>
      <c r="L156" s="8" t="s">
        <v>694</v>
      </c>
      <c r="M156" s="11" t="s">
        <v>697</v>
      </c>
      <c r="N156" s="11"/>
      <c r="O156" s="1"/>
      <c r="P156" s="8" t="s">
        <v>917</v>
      </c>
      <c r="Q156" s="1">
        <v>4.7000000000000002E-3</v>
      </c>
      <c r="R156" s="14">
        <v>23.5</v>
      </c>
      <c r="S156" s="8" t="s">
        <v>679</v>
      </c>
      <c r="T156" s="1">
        <v>1.0499999999999999E-3</v>
      </c>
      <c r="U156" s="1">
        <f t="shared" si="10"/>
        <v>5.25</v>
      </c>
      <c r="V156" s="1"/>
      <c r="W156" s="1"/>
      <c r="X156" s="1"/>
      <c r="Y156" s="1"/>
      <c r="Z156" s="1"/>
    </row>
    <row r="157" spans="1:26" x14ac:dyDescent="0.25">
      <c r="A157" s="8" t="s">
        <v>16</v>
      </c>
      <c r="B157" s="8" t="s">
        <v>745</v>
      </c>
      <c r="C157" s="8" t="s">
        <v>884</v>
      </c>
      <c r="D157" s="1" t="s">
        <v>1102</v>
      </c>
      <c r="E157" s="8" t="s">
        <v>894</v>
      </c>
      <c r="F157" s="8" t="s">
        <v>484</v>
      </c>
      <c r="G157" s="8">
        <v>5000</v>
      </c>
      <c r="H157" s="8" t="s">
        <v>126</v>
      </c>
      <c r="I157" s="8" t="s">
        <v>106</v>
      </c>
      <c r="J157" s="8">
        <v>2256</v>
      </c>
      <c r="K157" s="8">
        <v>10</v>
      </c>
      <c r="L157" s="8" t="s">
        <v>694</v>
      </c>
      <c r="M157" s="11" t="s">
        <v>697</v>
      </c>
      <c r="N157" s="11"/>
      <c r="O157" s="1"/>
      <c r="P157" s="8" t="s">
        <v>918</v>
      </c>
      <c r="Q157" s="1">
        <v>3.0999999999999999E-3</v>
      </c>
      <c r="R157" s="14">
        <v>15.5</v>
      </c>
      <c r="S157" s="8" t="s">
        <v>667</v>
      </c>
      <c r="T157" s="1">
        <v>1.3500000000000001E-3</v>
      </c>
      <c r="U157" s="1">
        <f t="shared" si="10"/>
        <v>6.75</v>
      </c>
      <c r="V157" s="1"/>
      <c r="W157" s="1"/>
      <c r="X157" s="1"/>
      <c r="Y157" s="1"/>
      <c r="Z157" s="1"/>
    </row>
    <row r="158" spans="1:26" x14ac:dyDescent="0.25">
      <c r="A158" s="8" t="s">
        <v>51</v>
      </c>
      <c r="B158" s="8" t="s">
        <v>758</v>
      </c>
      <c r="C158" s="8" t="s">
        <v>884</v>
      </c>
      <c r="D158" s="1" t="s">
        <v>1102</v>
      </c>
      <c r="E158" s="8" t="s">
        <v>892</v>
      </c>
      <c r="F158" s="8" t="s">
        <v>502</v>
      </c>
      <c r="G158" s="8">
        <v>5000</v>
      </c>
      <c r="H158" s="8" t="s">
        <v>163</v>
      </c>
      <c r="I158" s="8" t="s">
        <v>106</v>
      </c>
      <c r="J158" s="8">
        <v>1664</v>
      </c>
      <c r="K158" s="8">
        <v>10</v>
      </c>
      <c r="L158" s="8" t="s">
        <v>694</v>
      </c>
      <c r="M158" s="11" t="s">
        <v>697</v>
      </c>
      <c r="N158" s="11"/>
      <c r="O158" s="1"/>
      <c r="P158" s="8" t="s">
        <v>970</v>
      </c>
      <c r="Q158" s="1">
        <v>9.4000000000000004E-3</v>
      </c>
      <c r="R158" s="14">
        <v>47</v>
      </c>
      <c r="S158" s="8" t="s">
        <v>685</v>
      </c>
      <c r="T158" s="1">
        <v>5.7000000000000002E-3</v>
      </c>
      <c r="U158" s="1">
        <f t="shared" si="10"/>
        <v>28.5</v>
      </c>
      <c r="V158" s="1"/>
      <c r="W158" s="1"/>
      <c r="X158" s="1"/>
      <c r="Y158" s="1"/>
      <c r="Z158" s="1"/>
    </row>
    <row r="159" spans="1:26" x14ac:dyDescent="0.25">
      <c r="A159" s="8" t="s">
        <v>50</v>
      </c>
      <c r="B159" s="8" t="s">
        <v>779</v>
      </c>
      <c r="C159" s="8" t="s">
        <v>884</v>
      </c>
      <c r="D159" s="1" t="s">
        <v>1102</v>
      </c>
      <c r="E159" s="8" t="s">
        <v>892</v>
      </c>
      <c r="F159" s="8" t="s">
        <v>501</v>
      </c>
      <c r="G159" s="8">
        <v>5000</v>
      </c>
      <c r="H159" s="8" t="s">
        <v>162</v>
      </c>
      <c r="I159" s="8" t="s">
        <v>106</v>
      </c>
      <c r="J159" s="8">
        <v>1121</v>
      </c>
      <c r="K159" s="8">
        <v>10</v>
      </c>
      <c r="L159" s="8" t="s">
        <v>694</v>
      </c>
      <c r="M159" s="11" t="s">
        <v>697</v>
      </c>
      <c r="N159" s="11"/>
      <c r="O159" s="1"/>
      <c r="P159" s="8" t="s">
        <v>971</v>
      </c>
      <c r="Q159" s="1">
        <v>6.3E-3</v>
      </c>
      <c r="R159" s="14">
        <v>31.5</v>
      </c>
      <c r="S159" s="8" t="s">
        <v>684</v>
      </c>
      <c r="T159" s="1">
        <v>2.0999999999999999E-3</v>
      </c>
      <c r="U159" s="1">
        <f t="shared" si="10"/>
        <v>10.5</v>
      </c>
      <c r="V159" s="1"/>
      <c r="W159" s="1"/>
      <c r="X159" s="1"/>
      <c r="Y159" s="1"/>
      <c r="Z159" s="1"/>
    </row>
    <row r="160" spans="1:26" x14ac:dyDescent="0.25">
      <c r="A160" s="8" t="s">
        <v>101</v>
      </c>
      <c r="B160" s="8" t="s">
        <v>875</v>
      </c>
      <c r="C160" s="8" t="s">
        <v>884</v>
      </c>
      <c r="D160" s="1" t="s">
        <v>1102</v>
      </c>
      <c r="E160" s="8" t="s">
        <v>893</v>
      </c>
      <c r="F160" s="8" t="s">
        <v>507</v>
      </c>
      <c r="G160" s="8">
        <v>5000</v>
      </c>
      <c r="H160" s="8" t="s">
        <v>221</v>
      </c>
      <c r="I160" s="8" t="s">
        <v>106</v>
      </c>
      <c r="J160" s="8">
        <v>38</v>
      </c>
      <c r="K160" s="8">
        <v>10</v>
      </c>
      <c r="L160" s="8" t="s">
        <v>694</v>
      </c>
      <c r="M160" s="11" t="s">
        <v>697</v>
      </c>
      <c r="N160" s="11"/>
      <c r="O160" s="1"/>
      <c r="P160" s="8" t="s">
        <v>984</v>
      </c>
      <c r="Q160" s="1">
        <v>0.02</v>
      </c>
      <c r="R160" s="14">
        <v>100</v>
      </c>
      <c r="S160" s="8" t="s">
        <v>690</v>
      </c>
      <c r="T160" s="1">
        <v>9.1500000000000001E-3</v>
      </c>
      <c r="U160" s="1">
        <f t="shared" si="10"/>
        <v>45.75</v>
      </c>
      <c r="V160" s="1"/>
      <c r="W160" s="1"/>
      <c r="X160" s="1"/>
      <c r="Y160" s="1"/>
      <c r="Z160" s="1"/>
    </row>
    <row r="161" spans="1:26" x14ac:dyDescent="0.25">
      <c r="A161" s="8" t="s">
        <v>14</v>
      </c>
      <c r="B161" s="8" t="s">
        <v>766</v>
      </c>
      <c r="C161" s="8" t="s">
        <v>884</v>
      </c>
      <c r="D161" s="1" t="s">
        <v>1102</v>
      </c>
      <c r="E161" s="8" t="s">
        <v>894</v>
      </c>
      <c r="F161" s="8" t="s">
        <v>483</v>
      </c>
      <c r="G161" s="8">
        <v>5000</v>
      </c>
      <c r="H161" s="8" t="s">
        <v>124</v>
      </c>
      <c r="I161" s="8" t="s">
        <v>106</v>
      </c>
      <c r="J161" s="8">
        <v>1452</v>
      </c>
      <c r="K161" s="8">
        <v>9</v>
      </c>
      <c r="L161" s="8" t="s">
        <v>694</v>
      </c>
      <c r="M161" s="11" t="s">
        <v>697</v>
      </c>
      <c r="N161" s="11"/>
      <c r="O161" s="1"/>
      <c r="P161" s="8" t="s">
        <v>920</v>
      </c>
      <c r="Q161" s="1">
        <v>4.7000000000000002E-3</v>
      </c>
      <c r="R161" s="14">
        <v>23.5</v>
      </c>
      <c r="S161" s="8" t="s">
        <v>666</v>
      </c>
      <c r="T161" s="1">
        <v>1.2000000000000001E-3</v>
      </c>
      <c r="U161" s="1">
        <f t="shared" si="10"/>
        <v>6.0000000000000009</v>
      </c>
      <c r="V161" s="1"/>
      <c r="W161" s="1"/>
      <c r="X161" s="1"/>
      <c r="Y161" s="1"/>
      <c r="Z161" s="1"/>
    </row>
    <row r="162" spans="1:26" x14ac:dyDescent="0.25">
      <c r="A162" s="8" t="s">
        <v>21</v>
      </c>
      <c r="B162" s="8" t="s">
        <v>811</v>
      </c>
      <c r="C162" s="8" t="s">
        <v>884</v>
      </c>
      <c r="D162" s="1" t="s">
        <v>1102</v>
      </c>
      <c r="E162" s="8" t="s">
        <v>894</v>
      </c>
      <c r="F162" s="8" t="s">
        <v>488</v>
      </c>
      <c r="G162" s="8">
        <v>5000</v>
      </c>
      <c r="H162" s="8" t="s">
        <v>131</v>
      </c>
      <c r="I162" s="8" t="s">
        <v>106</v>
      </c>
      <c r="J162" s="8">
        <v>495</v>
      </c>
      <c r="K162" s="8">
        <v>9</v>
      </c>
      <c r="L162" s="8" t="s">
        <v>694</v>
      </c>
      <c r="M162" s="11" t="s">
        <v>697</v>
      </c>
      <c r="N162" s="11"/>
      <c r="O162" s="1"/>
      <c r="P162" s="8" t="s">
        <v>927</v>
      </c>
      <c r="Q162" s="1">
        <v>6.3E-3</v>
      </c>
      <c r="R162" s="14">
        <v>31.5</v>
      </c>
      <c r="S162" s="8" t="s">
        <v>671</v>
      </c>
      <c r="T162" s="1">
        <v>1.2000000000000001E-3</v>
      </c>
      <c r="U162" s="1">
        <f t="shared" si="10"/>
        <v>6.0000000000000009</v>
      </c>
      <c r="V162" s="1"/>
      <c r="W162" s="1"/>
      <c r="X162" s="1"/>
      <c r="Y162" s="1"/>
      <c r="Z162" s="1"/>
    </row>
    <row r="163" spans="1:26" x14ac:dyDescent="0.25">
      <c r="A163" s="8" t="s">
        <v>37</v>
      </c>
      <c r="B163" s="8" t="s">
        <v>782</v>
      </c>
      <c r="C163" s="8" t="s">
        <v>884</v>
      </c>
      <c r="D163" s="1" t="s">
        <v>1102</v>
      </c>
      <c r="E163" s="8" t="s">
        <v>894</v>
      </c>
      <c r="F163" s="8" t="s">
        <v>497</v>
      </c>
      <c r="G163" s="8">
        <v>5000</v>
      </c>
      <c r="H163" s="8" t="s">
        <v>148</v>
      </c>
      <c r="I163" s="8" t="s">
        <v>132</v>
      </c>
      <c r="J163" s="8">
        <v>1015</v>
      </c>
      <c r="K163" s="8">
        <v>8</v>
      </c>
      <c r="L163" s="8" t="s">
        <v>694</v>
      </c>
      <c r="M163" s="11" t="s">
        <v>697</v>
      </c>
      <c r="N163" s="11"/>
      <c r="O163" s="1"/>
      <c r="P163" s="8" t="s">
        <v>921</v>
      </c>
      <c r="Q163" s="1">
        <v>6.7999999999999996E-3</v>
      </c>
      <c r="R163" s="14">
        <v>34</v>
      </c>
      <c r="S163" s="8" t="s">
        <v>680</v>
      </c>
      <c r="T163" s="1">
        <v>5.5500000000000002E-3</v>
      </c>
      <c r="U163" s="1">
        <f t="shared" si="10"/>
        <v>27.75</v>
      </c>
      <c r="V163" s="1"/>
      <c r="W163" s="1"/>
      <c r="X163" s="1"/>
      <c r="Y163" s="1"/>
      <c r="Z163" s="1"/>
    </row>
    <row r="164" spans="1:26" x14ac:dyDescent="0.25">
      <c r="A164" s="8" t="s">
        <v>90</v>
      </c>
      <c r="B164" s="8" t="s">
        <v>824</v>
      </c>
      <c r="C164" s="8" t="s">
        <v>884</v>
      </c>
      <c r="D164" s="1" t="s">
        <v>1102</v>
      </c>
      <c r="E164" s="8" t="s">
        <v>894</v>
      </c>
      <c r="F164" s="8" t="s">
        <v>503</v>
      </c>
      <c r="G164" s="8">
        <v>5000</v>
      </c>
      <c r="H164" s="8" t="s">
        <v>211</v>
      </c>
      <c r="I164" s="8" t="s">
        <v>106</v>
      </c>
      <c r="J164" s="8">
        <v>422</v>
      </c>
      <c r="K164" s="8">
        <v>8</v>
      </c>
      <c r="L164" s="8" t="s">
        <v>694</v>
      </c>
      <c r="M164" s="11" t="s">
        <v>697</v>
      </c>
      <c r="N164" s="11"/>
      <c r="O164" s="1"/>
      <c r="P164" s="8" t="s">
        <v>928</v>
      </c>
      <c r="Q164" s="1">
        <v>4.7000000000000002E-3</v>
      </c>
      <c r="R164" s="14">
        <v>23.5</v>
      </c>
      <c r="S164" s="8" t="s">
        <v>686</v>
      </c>
      <c r="T164" s="1">
        <v>1.2000000000000001E-3</v>
      </c>
      <c r="U164" s="1">
        <f t="shared" si="10"/>
        <v>6.0000000000000009</v>
      </c>
      <c r="V164" s="1"/>
      <c r="W164" s="1"/>
      <c r="X164" s="1"/>
      <c r="Y164" s="1"/>
      <c r="Z164" s="1"/>
    </row>
    <row r="165" spans="1:26" x14ac:dyDescent="0.25">
      <c r="A165" s="8" t="s">
        <v>33</v>
      </c>
      <c r="B165" s="8" t="s">
        <v>836</v>
      </c>
      <c r="C165" s="8" t="s">
        <v>884</v>
      </c>
      <c r="D165" s="1" t="s">
        <v>1102</v>
      </c>
      <c r="E165" s="8" t="s">
        <v>894</v>
      </c>
      <c r="F165" s="8" t="s">
        <v>494</v>
      </c>
      <c r="G165" s="8">
        <v>5000</v>
      </c>
      <c r="H165" s="8" t="s">
        <v>144</v>
      </c>
      <c r="I165" s="8" t="s">
        <v>106</v>
      </c>
      <c r="J165" s="8">
        <v>293</v>
      </c>
      <c r="K165" s="8">
        <v>8</v>
      </c>
      <c r="L165" s="8" t="s">
        <v>694</v>
      </c>
      <c r="M165" s="11" t="s">
        <v>697</v>
      </c>
      <c r="N165" s="11"/>
      <c r="O165" s="1"/>
      <c r="P165" s="8" t="s">
        <v>929</v>
      </c>
      <c r="Q165" s="1">
        <v>3.0999999999999999E-3</v>
      </c>
      <c r="R165" s="14">
        <v>15.5</v>
      </c>
      <c r="S165" s="8" t="s">
        <v>677</v>
      </c>
      <c r="T165" s="1">
        <v>1.0499999999999999E-3</v>
      </c>
      <c r="U165" s="1">
        <f t="shared" si="10"/>
        <v>5.25</v>
      </c>
      <c r="V165" s="1"/>
      <c r="W165" s="1"/>
      <c r="X165" s="1"/>
      <c r="Y165" s="1"/>
      <c r="Z165" s="1"/>
    </row>
    <row r="166" spans="1:26" x14ac:dyDescent="0.25">
      <c r="A166" s="8" t="s">
        <v>25</v>
      </c>
      <c r="B166" s="8" t="s">
        <v>746</v>
      </c>
      <c r="C166" s="8" t="s">
        <v>884</v>
      </c>
      <c r="D166" s="1" t="s">
        <v>1102</v>
      </c>
      <c r="E166" s="8" t="s">
        <v>894</v>
      </c>
      <c r="F166" s="8" t="s">
        <v>491</v>
      </c>
      <c r="G166" s="8">
        <v>5000</v>
      </c>
      <c r="H166" s="8" t="s">
        <v>136</v>
      </c>
      <c r="I166" s="8" t="s">
        <v>106</v>
      </c>
      <c r="J166" s="8">
        <v>2252</v>
      </c>
      <c r="K166" s="8">
        <v>7</v>
      </c>
      <c r="L166" s="8" t="s">
        <v>694</v>
      </c>
      <c r="M166" s="11" t="s">
        <v>697</v>
      </c>
      <c r="N166" s="11"/>
      <c r="O166" s="1"/>
      <c r="P166" s="8" t="s">
        <v>919</v>
      </c>
      <c r="Q166" s="1">
        <v>4.7000000000000002E-3</v>
      </c>
      <c r="R166" s="14">
        <v>23.5</v>
      </c>
      <c r="S166" s="8" t="s">
        <v>674</v>
      </c>
      <c r="T166" s="1">
        <v>1.2000000000000001E-3</v>
      </c>
      <c r="U166" s="1">
        <f t="shared" si="10"/>
        <v>6.0000000000000009</v>
      </c>
      <c r="V166" s="1"/>
      <c r="W166" s="1"/>
      <c r="X166" s="1"/>
      <c r="Y166" s="1"/>
      <c r="Z166" s="1"/>
    </row>
    <row r="167" spans="1:26" x14ac:dyDescent="0.25">
      <c r="A167" s="8" t="s">
        <v>31</v>
      </c>
      <c r="B167" s="8" t="s">
        <v>785</v>
      </c>
      <c r="C167" s="8" t="s">
        <v>884</v>
      </c>
      <c r="D167" s="1" t="s">
        <v>1102</v>
      </c>
      <c r="E167" s="8" t="s">
        <v>894</v>
      </c>
      <c r="F167" s="8" t="s">
        <v>493</v>
      </c>
      <c r="G167" s="8">
        <v>5000</v>
      </c>
      <c r="H167" s="8" t="s">
        <v>142</v>
      </c>
      <c r="I167" s="8" t="s">
        <v>106</v>
      </c>
      <c r="J167" s="8">
        <v>922</v>
      </c>
      <c r="K167" s="8">
        <v>7</v>
      </c>
      <c r="L167" s="8" t="s">
        <v>694</v>
      </c>
      <c r="M167" s="11" t="s">
        <v>697</v>
      </c>
      <c r="N167" s="11"/>
      <c r="O167" s="1"/>
      <c r="P167" s="8" t="s">
        <v>922</v>
      </c>
      <c r="Q167" s="1">
        <v>4.7000000000000002E-3</v>
      </c>
      <c r="R167" s="14">
        <v>23.5</v>
      </c>
      <c r="S167" s="8" t="s">
        <v>676</v>
      </c>
      <c r="T167" s="1">
        <v>1.2000000000000001E-3</v>
      </c>
      <c r="U167" s="1">
        <f t="shared" si="10"/>
        <v>6.0000000000000009</v>
      </c>
      <c r="V167" s="1"/>
      <c r="W167" s="1"/>
      <c r="X167" s="1"/>
      <c r="Y167" s="1"/>
      <c r="Z167" s="1"/>
    </row>
    <row r="168" spans="1:26" x14ac:dyDescent="0.25">
      <c r="A168" s="8" t="s">
        <v>80</v>
      </c>
      <c r="B168" s="8" t="s">
        <v>868</v>
      </c>
      <c r="C168" s="8" t="s">
        <v>884</v>
      </c>
      <c r="D168" s="1" t="s">
        <v>1105</v>
      </c>
      <c r="E168" s="8" t="s">
        <v>887</v>
      </c>
      <c r="F168" s="8" t="s">
        <v>348</v>
      </c>
      <c r="G168" s="8">
        <v>10000</v>
      </c>
      <c r="H168" s="8" t="s">
        <v>197</v>
      </c>
      <c r="I168" s="8" t="s">
        <v>175</v>
      </c>
      <c r="J168" s="8">
        <v>45</v>
      </c>
      <c r="K168" s="8">
        <v>7</v>
      </c>
      <c r="L168" s="8" t="s">
        <v>694</v>
      </c>
      <c r="M168" s="11" t="s">
        <v>697</v>
      </c>
      <c r="N168" s="11"/>
      <c r="O168" s="1"/>
      <c r="P168" s="8" t="s">
        <v>1021</v>
      </c>
      <c r="Q168" s="1">
        <v>2.9960000000000001E-2</v>
      </c>
      <c r="R168" s="14">
        <v>299.60000000000002</v>
      </c>
      <c r="S168" s="8" t="s">
        <v>574</v>
      </c>
      <c r="T168" s="1">
        <v>2.1149999999999999E-2</v>
      </c>
      <c r="U168" s="1">
        <f t="shared" si="10"/>
        <v>211.5</v>
      </c>
      <c r="V168" s="1"/>
      <c r="W168" s="1"/>
      <c r="X168" s="1"/>
      <c r="Y168" s="1"/>
      <c r="Z168" s="1"/>
    </row>
    <row r="169" spans="1:26" x14ac:dyDescent="0.25">
      <c r="A169" s="8" t="s">
        <v>23</v>
      </c>
      <c r="B169" s="8" t="s">
        <v>789</v>
      </c>
      <c r="C169" s="8" t="s">
        <v>884</v>
      </c>
      <c r="D169" s="1" t="s">
        <v>1102</v>
      </c>
      <c r="E169" s="8" t="s">
        <v>894</v>
      </c>
      <c r="F169" s="8" t="s">
        <v>490</v>
      </c>
      <c r="G169" s="8">
        <v>5000</v>
      </c>
      <c r="H169" s="8" t="s">
        <v>134</v>
      </c>
      <c r="I169" s="8" t="s">
        <v>106</v>
      </c>
      <c r="J169" s="8">
        <v>885</v>
      </c>
      <c r="K169" s="8">
        <v>6</v>
      </c>
      <c r="L169" s="8" t="s">
        <v>694</v>
      </c>
      <c r="M169" s="11" t="s">
        <v>697</v>
      </c>
      <c r="N169" s="11"/>
      <c r="O169" s="1"/>
      <c r="P169" s="8" t="s">
        <v>923</v>
      </c>
      <c r="Q169" s="1">
        <v>9.4000000000000004E-3</v>
      </c>
      <c r="R169" s="14">
        <v>47</v>
      </c>
      <c r="S169" s="8" t="s">
        <v>673</v>
      </c>
      <c r="T169" s="1">
        <v>1.2000000000000001E-3</v>
      </c>
      <c r="U169" s="1">
        <f t="shared" si="10"/>
        <v>6.0000000000000009</v>
      </c>
      <c r="V169" s="1"/>
      <c r="W169" s="1"/>
      <c r="X169" s="1"/>
      <c r="Y169" s="1"/>
      <c r="Z169" s="1"/>
    </row>
    <row r="170" spans="1:26" x14ac:dyDescent="0.25">
      <c r="A170" s="8" t="s">
        <v>43</v>
      </c>
      <c r="B170" s="8" t="s">
        <v>805</v>
      </c>
      <c r="C170" s="8" t="s">
        <v>884</v>
      </c>
      <c r="D170" s="1" t="s">
        <v>1102</v>
      </c>
      <c r="E170" s="8" t="s">
        <v>894</v>
      </c>
      <c r="F170" s="8" t="s">
        <v>499</v>
      </c>
      <c r="G170" s="8">
        <v>5000</v>
      </c>
      <c r="H170" s="8" t="s">
        <v>154</v>
      </c>
      <c r="I170" s="8" t="s">
        <v>106</v>
      </c>
      <c r="J170" s="8">
        <v>616</v>
      </c>
      <c r="K170" s="8">
        <v>6</v>
      </c>
      <c r="L170" s="8" t="s">
        <v>694</v>
      </c>
      <c r="M170" s="11" t="s">
        <v>697</v>
      </c>
      <c r="N170" s="11"/>
      <c r="O170" s="1"/>
      <c r="P170" s="8" t="s">
        <v>925</v>
      </c>
      <c r="Q170" s="1">
        <v>3.0999999999999999E-3</v>
      </c>
      <c r="R170" s="14">
        <v>15.5</v>
      </c>
      <c r="S170" s="8" t="s">
        <v>682</v>
      </c>
      <c r="T170" s="1">
        <v>7.5000000000000002E-4</v>
      </c>
      <c r="U170" s="1">
        <f t="shared" si="10"/>
        <v>3.75</v>
      </c>
      <c r="V170" s="1"/>
      <c r="W170" s="1"/>
      <c r="X170" s="1"/>
      <c r="Y170" s="1"/>
      <c r="Z170" s="1"/>
    </row>
    <row r="171" spans="1:26" x14ac:dyDescent="0.25">
      <c r="A171" s="8" t="s">
        <v>65</v>
      </c>
      <c r="B171" s="8" t="s">
        <v>837</v>
      </c>
      <c r="C171" s="8" t="s">
        <v>884</v>
      </c>
      <c r="D171" s="1" t="s">
        <v>1105</v>
      </c>
      <c r="E171" s="8" t="s">
        <v>887</v>
      </c>
      <c r="F171" s="8" t="s">
        <v>347</v>
      </c>
      <c r="G171" s="8">
        <v>3000</v>
      </c>
      <c r="H171" s="8" t="s">
        <v>182</v>
      </c>
      <c r="I171" s="8" t="s">
        <v>175</v>
      </c>
      <c r="J171" s="8">
        <v>289</v>
      </c>
      <c r="K171" s="8">
        <v>5</v>
      </c>
      <c r="L171" s="8" t="s">
        <v>694</v>
      </c>
      <c r="M171" s="11" t="s">
        <v>697</v>
      </c>
      <c r="N171" s="11"/>
      <c r="O171" s="1"/>
      <c r="P171" s="8" t="s">
        <v>1019</v>
      </c>
      <c r="Q171" s="1">
        <v>2.5999999999999999E-2</v>
      </c>
      <c r="R171" s="14">
        <v>78</v>
      </c>
      <c r="S171" s="8" t="s">
        <v>573</v>
      </c>
      <c r="T171" s="1">
        <v>2.5049999999999999E-2</v>
      </c>
      <c r="U171" s="1">
        <f t="shared" si="10"/>
        <v>75.149999999999991</v>
      </c>
      <c r="V171" s="1"/>
      <c r="W171" s="1"/>
      <c r="X171" s="1"/>
      <c r="Y171" s="1"/>
      <c r="Z171" s="1"/>
    </row>
    <row r="172" spans="1:26" x14ac:dyDescent="0.25">
      <c r="A172" s="8" t="s">
        <v>91</v>
      </c>
      <c r="B172" s="8" t="s">
        <v>800</v>
      </c>
      <c r="C172" s="8" t="s">
        <v>884</v>
      </c>
      <c r="D172" s="1" t="s">
        <v>1102</v>
      </c>
      <c r="E172" s="8" t="s">
        <v>894</v>
      </c>
      <c r="F172" s="8" t="s">
        <v>504</v>
      </c>
      <c r="G172" s="8">
        <v>5000</v>
      </c>
      <c r="H172" s="8" t="s">
        <v>212</v>
      </c>
      <c r="I172" s="8" t="s">
        <v>132</v>
      </c>
      <c r="J172" s="8">
        <v>655</v>
      </c>
      <c r="K172" s="8">
        <v>4</v>
      </c>
      <c r="L172" s="8" t="s">
        <v>694</v>
      </c>
      <c r="M172" s="11" t="s">
        <v>697</v>
      </c>
      <c r="N172" s="11"/>
      <c r="O172" s="1"/>
      <c r="P172" s="8" t="s">
        <v>924</v>
      </c>
      <c r="Q172" s="1">
        <v>3.2000000000000001E-2</v>
      </c>
      <c r="R172" s="14">
        <v>160</v>
      </c>
      <c r="S172" s="8" t="s">
        <v>687</v>
      </c>
      <c r="T172" s="1">
        <v>1.3500000000000001E-3</v>
      </c>
      <c r="U172" s="1">
        <f t="shared" si="10"/>
        <v>6.75</v>
      </c>
      <c r="V172" s="1"/>
      <c r="W172" s="1"/>
      <c r="X172" s="1"/>
      <c r="Y172" s="1"/>
      <c r="Z172" s="1"/>
    </row>
    <row r="173" spans="1:26" x14ac:dyDescent="0.25">
      <c r="A173" s="8" t="s">
        <v>22</v>
      </c>
      <c r="B173" s="8" t="s">
        <v>851</v>
      </c>
      <c r="C173" s="8" t="s">
        <v>884</v>
      </c>
      <c r="D173" s="1" t="s">
        <v>1102</v>
      </c>
      <c r="E173" s="8" t="s">
        <v>894</v>
      </c>
      <c r="F173" s="8" t="s">
        <v>489</v>
      </c>
      <c r="G173" s="8">
        <v>5000</v>
      </c>
      <c r="H173" s="8" t="s">
        <v>133</v>
      </c>
      <c r="I173" s="8" t="s">
        <v>132</v>
      </c>
      <c r="J173" s="8">
        <v>193</v>
      </c>
      <c r="K173" s="8">
        <v>4</v>
      </c>
      <c r="L173" s="8" t="s">
        <v>694</v>
      </c>
      <c r="M173" s="11" t="s">
        <v>697</v>
      </c>
      <c r="N173" s="11"/>
      <c r="O173" s="1"/>
      <c r="P173" s="8" t="s">
        <v>930</v>
      </c>
      <c r="Q173" s="1">
        <v>3.2000000000000001E-2</v>
      </c>
      <c r="R173" s="14">
        <v>160</v>
      </c>
      <c r="S173" s="8" t="s">
        <v>672</v>
      </c>
      <c r="T173" s="1">
        <v>4.4999999999999999E-4</v>
      </c>
      <c r="U173" s="1">
        <f t="shared" si="10"/>
        <v>2.25</v>
      </c>
      <c r="V173" s="1"/>
      <c r="W173" s="1"/>
      <c r="X173" s="1"/>
      <c r="Y173" s="1"/>
      <c r="Z173" s="1"/>
    </row>
    <row r="174" spans="1:26" x14ac:dyDescent="0.25">
      <c r="A174" s="8" t="s">
        <v>100</v>
      </c>
      <c r="B174" s="8" t="s">
        <v>874</v>
      </c>
      <c r="C174" s="8" t="s">
        <v>884</v>
      </c>
      <c r="D174" s="1" t="s">
        <v>1102</v>
      </c>
      <c r="E174" s="8" t="s">
        <v>892</v>
      </c>
      <c r="F174" s="8" t="s">
        <v>506</v>
      </c>
      <c r="G174" s="8">
        <v>5000</v>
      </c>
      <c r="H174" s="8" t="s">
        <v>220</v>
      </c>
      <c r="I174" s="8" t="s">
        <v>106</v>
      </c>
      <c r="J174" s="8">
        <v>45</v>
      </c>
      <c r="K174" s="8">
        <v>3</v>
      </c>
      <c r="L174" s="8" t="s">
        <v>694</v>
      </c>
      <c r="M174" s="11" t="s">
        <v>697</v>
      </c>
      <c r="N174" s="11"/>
      <c r="O174" s="1"/>
      <c r="P174" s="8" t="s">
        <v>973</v>
      </c>
      <c r="Q174" s="1">
        <v>6.3E-3</v>
      </c>
      <c r="R174" s="14">
        <v>31.5</v>
      </c>
      <c r="S174" s="8" t="s">
        <v>689</v>
      </c>
      <c r="T174" s="1">
        <v>1.8E-3</v>
      </c>
      <c r="U174" s="1">
        <f t="shared" si="10"/>
        <v>9</v>
      </c>
      <c r="V174" s="1"/>
      <c r="W174" s="1"/>
      <c r="X174" s="1"/>
      <c r="Y174" s="1"/>
      <c r="Z174" s="1"/>
    </row>
    <row r="175" spans="1:26" x14ac:dyDescent="0.25">
      <c r="A175" s="8" t="s">
        <v>88</v>
      </c>
      <c r="B175" s="8" t="s">
        <v>881</v>
      </c>
      <c r="C175" s="8" t="s">
        <v>884</v>
      </c>
      <c r="D175" s="5" t="s">
        <v>1105</v>
      </c>
      <c r="E175" s="8" t="s">
        <v>892</v>
      </c>
      <c r="F175" s="8" t="s">
        <v>372</v>
      </c>
      <c r="G175" s="8">
        <v>4000</v>
      </c>
      <c r="H175" s="8" t="s">
        <v>208</v>
      </c>
      <c r="I175" s="8" t="s">
        <v>207</v>
      </c>
      <c r="J175" s="8">
        <v>0</v>
      </c>
      <c r="K175" s="8">
        <v>3</v>
      </c>
      <c r="L175" s="8" t="s">
        <v>694</v>
      </c>
      <c r="M175" s="11" t="s">
        <v>697</v>
      </c>
      <c r="N175" s="11"/>
      <c r="O175" s="1"/>
      <c r="P175" s="8" t="s">
        <v>1069</v>
      </c>
      <c r="Q175" s="1">
        <v>7.4999999999999997E-2</v>
      </c>
      <c r="R175" s="14">
        <v>300</v>
      </c>
      <c r="S175" s="8"/>
      <c r="T175" s="1"/>
      <c r="U175" s="1"/>
      <c r="V175" s="1"/>
      <c r="W175" s="1"/>
      <c r="X175" s="1"/>
      <c r="Y175" s="1"/>
      <c r="Z175" s="1"/>
    </row>
    <row r="176" spans="1:26" x14ac:dyDescent="0.25">
      <c r="A176" s="8" t="s">
        <v>17</v>
      </c>
      <c r="B176" s="8" t="s">
        <v>809</v>
      </c>
      <c r="C176" s="8" t="s">
        <v>884</v>
      </c>
      <c r="D176" s="1" t="s">
        <v>1102</v>
      </c>
      <c r="E176" s="8" t="s">
        <v>894</v>
      </c>
      <c r="F176" s="8" t="s">
        <v>485</v>
      </c>
      <c r="G176" s="8">
        <v>5000</v>
      </c>
      <c r="H176" s="8" t="s">
        <v>127</v>
      </c>
      <c r="I176" s="8" t="s">
        <v>106</v>
      </c>
      <c r="J176" s="8">
        <v>510</v>
      </c>
      <c r="K176" s="8">
        <v>2</v>
      </c>
      <c r="L176" s="8" t="s">
        <v>694</v>
      </c>
      <c r="M176" s="11" t="s">
        <v>697</v>
      </c>
      <c r="N176" s="11"/>
      <c r="O176" s="1"/>
      <c r="P176" s="8" t="s">
        <v>926</v>
      </c>
      <c r="Q176" s="1">
        <v>6.3E-3</v>
      </c>
      <c r="R176" s="14">
        <v>31.5</v>
      </c>
      <c r="S176" s="8" t="s">
        <v>668</v>
      </c>
      <c r="T176" s="1">
        <v>1.2000000000000001E-3</v>
      </c>
      <c r="U176" s="1">
        <f t="shared" ref="U176:U185" si="11">T176*G176</f>
        <v>6.0000000000000009</v>
      </c>
      <c r="V176" s="1"/>
      <c r="W176" s="1"/>
      <c r="X176" s="1"/>
      <c r="Y176" s="1"/>
      <c r="Z176" s="1"/>
    </row>
    <row r="177" spans="1:26" x14ac:dyDescent="0.25">
      <c r="A177" s="8" t="s">
        <v>30</v>
      </c>
      <c r="B177" s="8" t="s">
        <v>853</v>
      </c>
      <c r="C177" s="8" t="s">
        <v>884</v>
      </c>
      <c r="D177" s="1" t="s">
        <v>1102</v>
      </c>
      <c r="E177" s="8" t="s">
        <v>894</v>
      </c>
      <c r="F177" s="8" t="s">
        <v>492</v>
      </c>
      <c r="G177" s="8">
        <v>5000</v>
      </c>
      <c r="H177" s="8" t="s">
        <v>141</v>
      </c>
      <c r="I177" s="8" t="s">
        <v>106</v>
      </c>
      <c r="J177" s="8">
        <v>179</v>
      </c>
      <c r="K177" s="8">
        <v>2</v>
      </c>
      <c r="L177" s="8" t="s">
        <v>694</v>
      </c>
      <c r="M177" s="11" t="s">
        <v>697</v>
      </c>
      <c r="N177" s="11"/>
      <c r="O177" s="1"/>
      <c r="P177" s="8" t="s">
        <v>931</v>
      </c>
      <c r="Q177" s="1">
        <v>6.3E-3</v>
      </c>
      <c r="R177" s="14">
        <v>31.5</v>
      </c>
      <c r="S177" s="8" t="s">
        <v>675</v>
      </c>
      <c r="T177" s="1">
        <v>1.3500000000000001E-3</v>
      </c>
      <c r="U177" s="1">
        <f t="shared" si="11"/>
        <v>6.75</v>
      </c>
      <c r="V177" s="1"/>
      <c r="W177" s="1"/>
      <c r="X177" s="1"/>
      <c r="Y177" s="1"/>
      <c r="Z177" s="1"/>
    </row>
    <row r="178" spans="1:26" x14ac:dyDescent="0.25">
      <c r="A178" s="8" t="s">
        <v>103</v>
      </c>
      <c r="B178" s="8" t="s">
        <v>753</v>
      </c>
      <c r="C178" s="8" t="s">
        <v>884</v>
      </c>
      <c r="D178" s="1" t="s">
        <v>1102</v>
      </c>
      <c r="E178" s="8" t="s">
        <v>893</v>
      </c>
      <c r="F178" s="8" t="s">
        <v>379</v>
      </c>
      <c r="G178" s="8">
        <v>4000</v>
      </c>
      <c r="H178" s="8" t="s">
        <v>1215</v>
      </c>
      <c r="I178" s="8" t="s">
        <v>224</v>
      </c>
      <c r="J178" s="8">
        <v>1955</v>
      </c>
      <c r="K178" s="8">
        <v>2</v>
      </c>
      <c r="L178" s="8" t="s">
        <v>694</v>
      </c>
      <c r="M178" s="11" t="s">
        <v>697</v>
      </c>
      <c r="N178" s="11"/>
      <c r="O178" s="1"/>
      <c r="P178" s="8" t="s">
        <v>1216</v>
      </c>
      <c r="Q178" s="1" t="e">
        <v>#N/A</v>
      </c>
      <c r="R178" s="1" t="e">
        <v>#N/A</v>
      </c>
      <c r="S178" s="8" t="s">
        <v>596</v>
      </c>
      <c r="T178" s="1">
        <v>1.9949999999999999E-2</v>
      </c>
      <c r="U178" s="1">
        <f t="shared" si="11"/>
        <v>79.8</v>
      </c>
      <c r="V178" s="1"/>
      <c r="W178" s="1"/>
      <c r="X178" s="1"/>
      <c r="Y178" s="1"/>
      <c r="Z178" s="1"/>
    </row>
    <row r="179" spans="1:26" x14ac:dyDescent="0.25">
      <c r="A179" s="8" t="s">
        <v>73</v>
      </c>
      <c r="B179" s="8" t="s">
        <v>864</v>
      </c>
      <c r="C179" s="8" t="s">
        <v>884</v>
      </c>
      <c r="D179" s="1" t="s">
        <v>1102</v>
      </c>
      <c r="E179" s="8" t="s">
        <v>894</v>
      </c>
      <c r="F179" s="8" t="s">
        <v>310</v>
      </c>
      <c r="G179" s="8">
        <v>4000</v>
      </c>
      <c r="H179" s="8" t="s">
        <v>189</v>
      </c>
      <c r="I179" s="8" t="s">
        <v>106</v>
      </c>
      <c r="J179" s="8">
        <v>120</v>
      </c>
      <c r="K179" s="8">
        <v>2</v>
      </c>
      <c r="L179" s="8" t="s">
        <v>694</v>
      </c>
      <c r="M179" s="11" t="s">
        <v>697</v>
      </c>
      <c r="N179" s="11"/>
      <c r="O179" s="1"/>
      <c r="P179" s="8" t="s">
        <v>1044</v>
      </c>
      <c r="Q179" s="1">
        <v>5.1999999999999998E-2</v>
      </c>
      <c r="R179" s="14">
        <v>208</v>
      </c>
      <c r="S179" s="8" t="s">
        <v>547</v>
      </c>
      <c r="T179" s="1">
        <v>8.3999999999999995E-3</v>
      </c>
      <c r="U179" s="1">
        <f t="shared" si="11"/>
        <v>33.6</v>
      </c>
      <c r="V179" s="1"/>
      <c r="W179" s="1"/>
      <c r="X179" s="1"/>
      <c r="Y179" s="1"/>
      <c r="Z179" s="1"/>
    </row>
    <row r="180" spans="1:26" x14ac:dyDescent="0.25">
      <c r="A180" s="8" t="s">
        <v>74</v>
      </c>
      <c r="B180" s="8" t="s">
        <v>880</v>
      </c>
      <c r="C180" s="8" t="s">
        <v>884</v>
      </c>
      <c r="D180" s="1" t="s">
        <v>1102</v>
      </c>
      <c r="E180" s="8" t="s">
        <v>892</v>
      </c>
      <c r="F180" s="8" t="s">
        <v>1333</v>
      </c>
      <c r="G180" s="8">
        <v>4000</v>
      </c>
      <c r="H180" s="8" t="s">
        <v>191</v>
      </c>
      <c r="I180" s="8" t="s">
        <v>190</v>
      </c>
      <c r="J180" s="8">
        <v>0</v>
      </c>
      <c r="K180" s="8">
        <v>2</v>
      </c>
      <c r="L180" s="8" t="s">
        <v>694</v>
      </c>
      <c r="M180" s="11" t="s">
        <v>697</v>
      </c>
      <c r="N180" s="11"/>
      <c r="O180" s="1"/>
      <c r="P180" s="8" t="s">
        <v>1068</v>
      </c>
      <c r="Q180" s="1">
        <v>3.1E-2</v>
      </c>
      <c r="R180" s="14">
        <v>124</v>
      </c>
      <c r="S180" s="8" t="s">
        <v>548</v>
      </c>
      <c r="T180" s="1">
        <v>2.1000000000000001E-2</v>
      </c>
      <c r="U180" s="1">
        <f t="shared" si="11"/>
        <v>84</v>
      </c>
      <c r="V180" s="1"/>
      <c r="W180" s="1"/>
      <c r="X180" s="1"/>
      <c r="Y180" s="1"/>
      <c r="Z180" s="1"/>
    </row>
    <row r="181" spans="1:26" x14ac:dyDescent="0.25">
      <c r="A181" s="8" t="s">
        <v>19</v>
      </c>
      <c r="B181" s="8" t="s">
        <v>854</v>
      </c>
      <c r="C181" s="8" t="s">
        <v>884</v>
      </c>
      <c r="D181" s="1" t="s">
        <v>1102</v>
      </c>
      <c r="E181" s="8" t="s">
        <v>894</v>
      </c>
      <c r="F181" s="8" t="s">
        <v>486</v>
      </c>
      <c r="G181" s="8">
        <v>5000</v>
      </c>
      <c r="H181" s="8" t="s">
        <v>129</v>
      </c>
      <c r="I181" s="8" t="s">
        <v>106</v>
      </c>
      <c r="J181" s="8">
        <v>175</v>
      </c>
      <c r="K181" s="8">
        <v>1</v>
      </c>
      <c r="L181" s="8" t="s">
        <v>694</v>
      </c>
      <c r="M181" s="11" t="s">
        <v>697</v>
      </c>
      <c r="N181" s="11"/>
      <c r="O181" s="1"/>
      <c r="P181" s="8" t="s">
        <v>932</v>
      </c>
      <c r="Q181" s="1">
        <v>4.7000000000000002E-3</v>
      </c>
      <c r="R181" s="14">
        <v>23.5</v>
      </c>
      <c r="S181" s="8" t="s">
        <v>669</v>
      </c>
      <c r="T181" s="1">
        <v>1.3500000000000001E-3</v>
      </c>
      <c r="U181" s="1">
        <f t="shared" si="11"/>
        <v>6.75</v>
      </c>
      <c r="V181" s="1"/>
      <c r="W181" s="1"/>
      <c r="X181" s="1"/>
      <c r="Y181" s="1"/>
      <c r="Z181" s="1"/>
    </row>
    <row r="182" spans="1:26" x14ac:dyDescent="0.25">
      <c r="A182" s="8" t="s">
        <v>49</v>
      </c>
      <c r="B182" s="8" t="s">
        <v>804</v>
      </c>
      <c r="C182" s="8" t="s">
        <v>884</v>
      </c>
      <c r="D182" s="1" t="s">
        <v>1102</v>
      </c>
      <c r="E182" s="8" t="s">
        <v>892</v>
      </c>
      <c r="F182" s="8" t="s">
        <v>500</v>
      </c>
      <c r="G182" s="8">
        <v>5000</v>
      </c>
      <c r="H182" s="8" t="s">
        <v>161</v>
      </c>
      <c r="I182" s="8" t="s">
        <v>106</v>
      </c>
      <c r="J182" s="8">
        <v>620</v>
      </c>
      <c r="K182" s="8">
        <v>1</v>
      </c>
      <c r="L182" s="8" t="s">
        <v>694</v>
      </c>
      <c r="M182" s="11" t="s">
        <v>697</v>
      </c>
      <c r="N182" s="11"/>
      <c r="O182" s="1"/>
      <c r="P182" s="8" t="s">
        <v>972</v>
      </c>
      <c r="Q182" s="1">
        <v>6.3E-3</v>
      </c>
      <c r="R182" s="14">
        <v>31.5</v>
      </c>
      <c r="S182" s="8" t="s">
        <v>683</v>
      </c>
      <c r="T182" s="1">
        <v>2.2500000000000003E-3</v>
      </c>
      <c r="U182" s="1">
        <f t="shared" si="11"/>
        <v>11.250000000000002</v>
      </c>
      <c r="V182" s="1"/>
      <c r="W182" s="1"/>
      <c r="X182" s="1"/>
      <c r="Y182" s="1"/>
      <c r="Z182" s="1"/>
    </row>
    <row r="183" spans="1:26" x14ac:dyDescent="0.25">
      <c r="A183" s="8" t="s">
        <v>86</v>
      </c>
      <c r="B183" s="8" t="s">
        <v>869</v>
      </c>
      <c r="C183" s="8" t="s">
        <v>884</v>
      </c>
      <c r="D183" s="1" t="s">
        <v>1104</v>
      </c>
      <c r="E183" s="8" t="s">
        <v>890</v>
      </c>
      <c r="F183" s="8" t="s">
        <v>351</v>
      </c>
      <c r="G183" s="8">
        <v>3000</v>
      </c>
      <c r="H183" s="8" t="s">
        <v>204</v>
      </c>
      <c r="I183" s="8" t="s">
        <v>203</v>
      </c>
      <c r="J183" s="8">
        <v>70</v>
      </c>
      <c r="K183" s="8">
        <v>1</v>
      </c>
      <c r="L183" s="8" t="s">
        <v>694</v>
      </c>
      <c r="M183" s="11" t="s">
        <v>697</v>
      </c>
      <c r="N183" s="11"/>
      <c r="O183" s="1"/>
      <c r="P183" s="8" t="s">
        <v>1008</v>
      </c>
      <c r="Q183" s="1">
        <v>0.13100000000000001</v>
      </c>
      <c r="R183" s="14">
        <v>393</v>
      </c>
      <c r="S183" s="8" t="s">
        <v>577</v>
      </c>
      <c r="T183" s="1">
        <v>0.1026</v>
      </c>
      <c r="U183" s="1">
        <f t="shared" si="11"/>
        <v>307.8</v>
      </c>
      <c r="V183" s="1"/>
      <c r="W183" s="1"/>
      <c r="X183" s="1"/>
      <c r="Y183" s="1"/>
      <c r="Z183" s="1"/>
    </row>
    <row r="184" spans="1:26" x14ac:dyDescent="0.25">
      <c r="A184" s="8" t="s">
        <v>83</v>
      </c>
      <c r="B184" s="8" t="s">
        <v>868</v>
      </c>
      <c r="C184" s="8" t="s">
        <v>884</v>
      </c>
      <c r="D184" s="1" t="s">
        <v>1105</v>
      </c>
      <c r="E184" s="8" t="s">
        <v>887</v>
      </c>
      <c r="F184" s="8" t="s">
        <v>349</v>
      </c>
      <c r="G184" s="8">
        <v>3000</v>
      </c>
      <c r="H184" s="8" t="s">
        <v>200</v>
      </c>
      <c r="I184" s="8" t="s">
        <v>175</v>
      </c>
      <c r="J184" s="8">
        <v>70</v>
      </c>
      <c r="K184" s="8">
        <v>1</v>
      </c>
      <c r="L184" s="8" t="s">
        <v>694</v>
      </c>
      <c r="M184" s="11" t="s">
        <v>697</v>
      </c>
      <c r="N184" s="11"/>
      <c r="O184" s="1"/>
      <c r="P184" s="8" t="s">
        <v>1020</v>
      </c>
      <c r="Q184" s="1">
        <v>3.1850000000000003E-2</v>
      </c>
      <c r="R184" s="14">
        <v>95.55</v>
      </c>
      <c r="S184" s="8" t="s">
        <v>575</v>
      </c>
      <c r="T184" s="1">
        <v>2.52E-2</v>
      </c>
      <c r="U184" s="1">
        <f t="shared" si="11"/>
        <v>75.599999999999994</v>
      </c>
      <c r="V184" s="1"/>
      <c r="W184" s="1"/>
      <c r="X184" s="1"/>
      <c r="Y184" s="1"/>
      <c r="Z184" s="1"/>
    </row>
    <row r="185" spans="1:26" s="3" customFormat="1" x14ac:dyDescent="0.25">
      <c r="A185" s="8" t="s">
        <v>72</v>
      </c>
      <c r="B185" s="8" t="s">
        <v>879</v>
      </c>
      <c r="C185" s="8" t="s">
        <v>884</v>
      </c>
      <c r="D185" s="1" t="s">
        <v>1102</v>
      </c>
      <c r="E185" s="8" t="s">
        <v>894</v>
      </c>
      <c r="F185" s="8" t="s">
        <v>309</v>
      </c>
      <c r="G185" s="8">
        <v>4000</v>
      </c>
      <c r="H185" s="8" t="s">
        <v>188</v>
      </c>
      <c r="I185" s="8" t="s">
        <v>114</v>
      </c>
      <c r="J185" s="8">
        <v>0</v>
      </c>
      <c r="K185" s="8">
        <v>1</v>
      </c>
      <c r="L185" s="8" t="s">
        <v>694</v>
      </c>
      <c r="M185" s="11" t="s">
        <v>697</v>
      </c>
      <c r="N185" s="11"/>
      <c r="O185" s="1"/>
      <c r="P185" s="8" t="s">
        <v>1045</v>
      </c>
      <c r="Q185" s="1">
        <v>2.5000000000000001E-2</v>
      </c>
      <c r="R185" s="14">
        <v>100</v>
      </c>
      <c r="S185" s="8" t="s">
        <v>546</v>
      </c>
      <c r="T185" s="1">
        <v>5.2500000000000003E-3</v>
      </c>
      <c r="U185" s="1">
        <f t="shared" si="11"/>
        <v>21</v>
      </c>
      <c r="V185" s="1"/>
      <c r="W185" s="1"/>
      <c r="X185" s="1"/>
      <c r="Y185" s="1"/>
      <c r="Z185" s="1"/>
    </row>
  </sheetData>
  <autoFilter ref="A1:Z185" xr:uid="{42E5799E-1060-487B-B82F-45654F6E82C9}">
    <sortState xmlns:xlrd2="http://schemas.microsoft.com/office/spreadsheetml/2017/richdata2" ref="A2:Z185">
      <sortCondition descending="1" ref="K1:K185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9606D-CDAE-4FF2-95C8-F86674ABF2E8}">
  <sheetPr codeName="Sheet4"/>
  <dimension ref="A1:BA46"/>
  <sheetViews>
    <sheetView topLeftCell="H1" workbookViewId="0">
      <selection activeCell="L1" sqref="L1"/>
    </sheetView>
  </sheetViews>
  <sheetFormatPr defaultRowHeight="15" x14ac:dyDescent="0.25"/>
  <cols>
    <col min="1" max="1" width="19.42578125" bestFit="1" customWidth="1"/>
    <col min="2" max="2" width="35.42578125" bestFit="1" customWidth="1"/>
    <col min="4" max="4" width="14" bestFit="1" customWidth="1"/>
    <col min="5" max="5" width="22.85546875" bestFit="1" customWidth="1"/>
    <col min="6" max="6" width="10" bestFit="1" customWidth="1"/>
    <col min="7" max="7" width="6.42578125" bestFit="1" customWidth="1"/>
    <col min="8" max="8" width="22.140625" bestFit="1" customWidth="1"/>
    <col min="9" max="9" width="28.7109375" bestFit="1" customWidth="1"/>
    <col min="10" max="10" width="20.85546875" bestFit="1" customWidth="1"/>
    <col min="11" max="11" width="11.85546875" bestFit="1" customWidth="1"/>
    <col min="12" max="12" width="65.140625" customWidth="1"/>
    <col min="13" max="13" width="8.42578125" bestFit="1" customWidth="1"/>
    <col min="14" max="14" width="11.5703125" bestFit="1" customWidth="1"/>
    <col min="15" max="15" width="27.42578125" bestFit="1" customWidth="1"/>
    <col min="16" max="16" width="14" bestFit="1" customWidth="1"/>
    <col min="17" max="17" width="13.85546875" bestFit="1" customWidth="1"/>
    <col min="18" max="20" width="10.28515625" customWidth="1"/>
    <col min="21" max="21" width="16.140625" customWidth="1"/>
    <col min="22" max="22" width="16.42578125" bestFit="1" customWidth="1"/>
    <col min="23" max="23" width="20.5703125" hidden="1" customWidth="1"/>
    <col min="24" max="24" width="28.42578125" hidden="1" customWidth="1"/>
    <col min="25" max="27" width="8.85546875" hidden="1" customWidth="1"/>
    <col min="28" max="29" width="8.85546875" customWidth="1"/>
    <col min="30" max="30" width="17.85546875" bestFit="1" customWidth="1"/>
    <col min="31" max="31" width="8.85546875" customWidth="1"/>
    <col min="32" max="32" width="9.85546875" bestFit="1" customWidth="1"/>
    <col min="33" max="34" width="9.42578125" customWidth="1"/>
    <col min="35" max="35" width="8.85546875" customWidth="1"/>
    <col min="37" max="39" width="8.85546875" customWidth="1"/>
    <col min="40" max="40" width="12" bestFit="1" customWidth="1"/>
    <col min="41" max="43" width="8.85546875" customWidth="1"/>
    <col min="44" max="44" width="11.42578125" bestFit="1" customWidth="1"/>
    <col min="45" max="47" width="8.85546875" customWidth="1"/>
    <col min="49" max="49" width="12" bestFit="1" customWidth="1"/>
  </cols>
  <sheetData>
    <row r="1" spans="1:53" x14ac:dyDescent="0.25">
      <c r="A1" s="7" t="s">
        <v>247</v>
      </c>
      <c r="B1" s="7" t="s">
        <v>248</v>
      </c>
      <c r="C1" s="7" t="s">
        <v>883</v>
      </c>
      <c r="D1" s="7" t="s">
        <v>906</v>
      </c>
      <c r="E1" s="7" t="s">
        <v>885</v>
      </c>
      <c r="F1" s="13" t="s">
        <v>249</v>
      </c>
      <c r="G1" s="7" t="s">
        <v>510</v>
      </c>
      <c r="H1" s="7" t="s">
        <v>1119</v>
      </c>
      <c r="I1" s="7" t="s">
        <v>1118</v>
      </c>
      <c r="J1" s="7" t="s">
        <v>1116</v>
      </c>
      <c r="K1" s="7" t="s">
        <v>882</v>
      </c>
      <c r="L1" s="7" t="s">
        <v>1220</v>
      </c>
      <c r="M1" s="7" t="s">
        <v>692</v>
      </c>
      <c r="N1" s="7" t="s">
        <v>1106</v>
      </c>
      <c r="O1" s="7" t="s">
        <v>1117</v>
      </c>
      <c r="P1" s="7" t="s">
        <v>1107</v>
      </c>
      <c r="Q1" s="7" t="s">
        <v>1108</v>
      </c>
      <c r="R1" s="7" t="s">
        <v>509</v>
      </c>
      <c r="S1" s="7" t="s">
        <v>1266</v>
      </c>
      <c r="T1" s="7" t="s">
        <v>1267</v>
      </c>
      <c r="U1" s="7" t="s">
        <v>1109</v>
      </c>
      <c r="V1" s="7" t="s">
        <v>1110</v>
      </c>
      <c r="W1" s="7" t="s">
        <v>1114</v>
      </c>
      <c r="X1" s="7" t="s">
        <v>1113</v>
      </c>
      <c r="Y1" s="7" t="s">
        <v>1115</v>
      </c>
      <c r="Z1" s="7" t="s">
        <v>1111</v>
      </c>
      <c r="AA1" s="7" t="s">
        <v>1112</v>
      </c>
      <c r="AB1" s="7" t="s">
        <v>1268</v>
      </c>
      <c r="AC1" s="7" t="s">
        <v>1269</v>
      </c>
      <c r="AD1" s="7" t="s">
        <v>1270</v>
      </c>
      <c r="AE1" s="7" t="s">
        <v>1272</v>
      </c>
      <c r="AF1" s="7" t="s">
        <v>1289</v>
      </c>
      <c r="AG1" s="7" t="s">
        <v>1274</v>
      </c>
      <c r="AH1" s="7" t="s">
        <v>1288</v>
      </c>
      <c r="AI1" s="7" t="s">
        <v>1273</v>
      </c>
      <c r="AJ1" s="7" t="s">
        <v>1275</v>
      </c>
      <c r="AK1" s="7" t="s">
        <v>1276</v>
      </c>
      <c r="AL1" s="7" t="s">
        <v>1277</v>
      </c>
      <c r="AM1" s="7" t="s">
        <v>1278</v>
      </c>
      <c r="AN1" s="7" t="s">
        <v>1279</v>
      </c>
      <c r="AO1" s="7" t="s">
        <v>1280</v>
      </c>
      <c r="AP1" s="7" t="s">
        <v>1281</v>
      </c>
      <c r="AQ1" s="7" t="s">
        <v>1282</v>
      </c>
      <c r="AR1" s="7" t="s">
        <v>1283</v>
      </c>
      <c r="AS1" s="7" t="s">
        <v>1284</v>
      </c>
      <c r="AT1" s="7" t="s">
        <v>1287</v>
      </c>
      <c r="AU1" s="7" t="s">
        <v>1285</v>
      </c>
      <c r="AV1" s="7" t="s">
        <v>1286</v>
      </c>
      <c r="AW1" s="7" t="s">
        <v>1290</v>
      </c>
      <c r="AX1" s="7" t="s">
        <v>1291</v>
      </c>
      <c r="AY1" s="7" t="s">
        <v>228</v>
      </c>
      <c r="AZ1" s="16" t="s">
        <v>1318</v>
      </c>
    </row>
    <row r="2" spans="1:53" x14ac:dyDescent="0.25">
      <c r="A2" s="10" t="s">
        <v>326</v>
      </c>
      <c r="B2" s="8" t="s">
        <v>786</v>
      </c>
      <c r="C2" s="8" t="s">
        <v>884</v>
      </c>
      <c r="D2" s="1" t="s">
        <v>1105</v>
      </c>
      <c r="E2" s="8" t="s">
        <v>896</v>
      </c>
      <c r="F2" s="8" t="s">
        <v>327</v>
      </c>
      <c r="G2" s="8">
        <v>3000</v>
      </c>
      <c r="H2" s="8" t="s">
        <v>1160</v>
      </c>
      <c r="I2" s="8" t="s">
        <v>1161</v>
      </c>
      <c r="J2" s="8">
        <v>907</v>
      </c>
      <c r="K2" s="8">
        <v>24</v>
      </c>
      <c r="L2" s="8" t="s">
        <v>1221</v>
      </c>
      <c r="M2" s="8" t="s">
        <v>695</v>
      </c>
      <c r="N2" s="1"/>
      <c r="O2" s="8" t="s">
        <v>1036</v>
      </c>
      <c r="P2" s="1">
        <v>0.69199999999999995</v>
      </c>
      <c r="Q2" s="14">
        <v>2076</v>
      </c>
      <c r="R2" s="8" t="s">
        <v>562</v>
      </c>
      <c r="S2" s="15">
        <v>3493</v>
      </c>
      <c r="T2" s="15" t="b">
        <f t="shared" ref="T2:T46" si="0">S2&gt;=G2</f>
        <v>1</v>
      </c>
      <c r="U2" s="1">
        <v>0.38775000000000004</v>
      </c>
      <c r="V2" s="1">
        <v>1163.2500000000002</v>
      </c>
      <c r="W2" s="1" t="s">
        <v>696</v>
      </c>
      <c r="X2" s="1">
        <v>1163.2500000000002</v>
      </c>
      <c r="Y2" s="1"/>
      <c r="Z2" s="1"/>
      <c r="AA2" s="1"/>
      <c r="AB2" s="1"/>
      <c r="AC2" s="1"/>
      <c r="AD2" s="1"/>
      <c r="AE2" s="1">
        <v>0.42000000000000004</v>
      </c>
      <c r="AF2" s="1">
        <f>AE2*G2</f>
        <v>1260.0000000000002</v>
      </c>
      <c r="AG2" s="1"/>
      <c r="AH2" s="1"/>
      <c r="AI2" s="1"/>
      <c r="AJ2" s="1"/>
      <c r="AK2" s="1">
        <v>21000</v>
      </c>
      <c r="AL2" s="1">
        <v>3000</v>
      </c>
      <c r="AM2" s="1">
        <v>0.73263400000000001</v>
      </c>
      <c r="AN2" s="1">
        <f>AM2*AL2</f>
        <v>2197.902</v>
      </c>
      <c r="AO2" s="1">
        <v>3000</v>
      </c>
      <c r="AP2" s="1">
        <v>3000</v>
      </c>
      <c r="AQ2" s="1">
        <v>0.63300000000000001</v>
      </c>
      <c r="AR2" s="1">
        <f t="shared" ref="AR2:AR20" si="1">AQ2*AP2</f>
        <v>1899</v>
      </c>
      <c r="AS2" s="1"/>
      <c r="AT2" s="1"/>
      <c r="AU2" s="1"/>
      <c r="AV2" s="1"/>
      <c r="AW2" s="14">
        <f t="shared" ref="AW2:AW46" si="2">MIN(Q2,V2,AD2,AF2,AJ2,AN2,AR2,AV2)</f>
        <v>1163.2500000000002</v>
      </c>
      <c r="AX2" s="1" t="str">
        <f>IF(AW2=Q2,"Digikey",IF(AW2=V2,"LCSC",IF(AW2=AD2,"Diverse",IF(AW2=AF2,"Ling",IF(AW2=AJ2,"TTI",IF(AW2=AN2,"Future",IF(AW2=AR2,"Arrow",IF(AW2=AV2,"Avnet",""))))))))</f>
        <v>LCSC</v>
      </c>
      <c r="AY2" s="1"/>
      <c r="AZ2" t="s">
        <v>1319</v>
      </c>
    </row>
    <row r="3" spans="1:53" x14ac:dyDescent="0.25">
      <c r="A3" s="10" t="s">
        <v>339</v>
      </c>
      <c r="B3" s="8" t="s">
        <v>797</v>
      </c>
      <c r="C3" s="8" t="s">
        <v>884</v>
      </c>
      <c r="D3" s="1" t="s">
        <v>1105</v>
      </c>
      <c r="E3" s="8" t="s">
        <v>898</v>
      </c>
      <c r="F3" s="8" t="s">
        <v>340</v>
      </c>
      <c r="G3" s="8">
        <v>3000</v>
      </c>
      <c r="H3" s="8" t="s">
        <v>1154</v>
      </c>
      <c r="I3" s="8" t="s">
        <v>175</v>
      </c>
      <c r="J3" s="8">
        <v>707</v>
      </c>
      <c r="K3" s="8">
        <v>16</v>
      </c>
      <c r="L3" s="8" t="s">
        <v>1222</v>
      </c>
      <c r="M3" s="8" t="s">
        <v>695</v>
      </c>
      <c r="N3" s="1"/>
      <c r="O3" s="8" t="s">
        <v>1012</v>
      </c>
      <c r="P3" s="1">
        <v>0.159</v>
      </c>
      <c r="Q3" s="14">
        <v>477</v>
      </c>
      <c r="R3" s="8" t="s">
        <v>569</v>
      </c>
      <c r="S3" s="15">
        <v>3000</v>
      </c>
      <c r="T3" s="15" t="b">
        <f t="shared" si="0"/>
        <v>1</v>
      </c>
      <c r="U3" s="1">
        <v>0.12165000000000001</v>
      </c>
      <c r="V3" s="1">
        <v>364.95000000000005</v>
      </c>
      <c r="W3" s="1" t="s">
        <v>696</v>
      </c>
      <c r="X3" s="1">
        <v>364.95000000000005</v>
      </c>
      <c r="Y3" s="1"/>
      <c r="Z3" s="1"/>
      <c r="AA3" s="1"/>
      <c r="AB3" s="1"/>
      <c r="AC3" s="1"/>
      <c r="AD3" s="1"/>
      <c r="AE3" s="1">
        <v>0.189</v>
      </c>
      <c r="AF3" s="1">
        <f>AE3*G3</f>
        <v>567</v>
      </c>
      <c r="AG3" s="1"/>
      <c r="AH3" s="1"/>
      <c r="AI3" s="1"/>
      <c r="AJ3" s="1"/>
      <c r="AK3" s="1"/>
      <c r="AL3" s="1"/>
      <c r="AM3" s="1"/>
      <c r="AN3" s="1"/>
      <c r="AO3" s="1">
        <v>3000</v>
      </c>
      <c r="AP3" s="1">
        <v>3000</v>
      </c>
      <c r="AQ3" s="1">
        <v>0.12165000000000001</v>
      </c>
      <c r="AR3" s="1">
        <f t="shared" si="1"/>
        <v>364.95000000000005</v>
      </c>
      <c r="AS3" s="1"/>
      <c r="AT3" s="1"/>
      <c r="AU3" s="1"/>
      <c r="AV3" s="1"/>
      <c r="AW3" s="14">
        <f t="shared" si="2"/>
        <v>364.95000000000005</v>
      </c>
      <c r="AX3" s="1" t="s">
        <v>1316</v>
      </c>
      <c r="AY3" s="1"/>
      <c r="AZ3" s="19" t="s">
        <v>1322</v>
      </c>
    </row>
    <row r="4" spans="1:53" x14ac:dyDescent="0.25">
      <c r="A4" s="10" t="s">
        <v>300</v>
      </c>
      <c r="B4" s="8" t="s">
        <v>763</v>
      </c>
      <c r="C4" s="8" t="s">
        <v>884</v>
      </c>
      <c r="D4" s="1" t="s">
        <v>1105</v>
      </c>
      <c r="E4" s="8" t="s">
        <v>886</v>
      </c>
      <c r="F4" s="8" t="s">
        <v>301</v>
      </c>
      <c r="G4" s="8">
        <v>2000</v>
      </c>
      <c r="H4" s="8" t="s">
        <v>1190</v>
      </c>
      <c r="I4" s="8" t="s">
        <v>190</v>
      </c>
      <c r="J4" s="8">
        <v>180</v>
      </c>
      <c r="K4" s="8">
        <v>13</v>
      </c>
      <c r="L4" s="8" t="s">
        <v>1224</v>
      </c>
      <c r="M4" s="8" t="s">
        <v>695</v>
      </c>
      <c r="N4" s="1"/>
      <c r="O4" s="8" t="s">
        <v>1082</v>
      </c>
      <c r="P4" s="1">
        <v>0.224</v>
      </c>
      <c r="Q4" s="14">
        <v>448</v>
      </c>
      <c r="R4" s="8" t="s">
        <v>541</v>
      </c>
      <c r="S4" s="15">
        <v>41375</v>
      </c>
      <c r="T4" s="15" t="b">
        <f t="shared" si="0"/>
        <v>1</v>
      </c>
      <c r="U4" s="1">
        <v>0.15404999999999999</v>
      </c>
      <c r="V4" s="1">
        <v>308.09999999999997</v>
      </c>
      <c r="W4" s="1" t="s">
        <v>696</v>
      </c>
      <c r="X4" s="1">
        <v>308.09999999999997</v>
      </c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>
        <v>22000</v>
      </c>
      <c r="AL4" s="1">
        <v>2000</v>
      </c>
      <c r="AM4" s="1">
        <v>0.141405</v>
      </c>
      <c r="AN4" s="1">
        <f>AM4*AL4</f>
        <v>282.81</v>
      </c>
      <c r="AO4" s="1">
        <v>38000</v>
      </c>
      <c r="AP4" s="1">
        <v>2000</v>
      </c>
      <c r="AQ4" s="1">
        <v>0.16500000000000001</v>
      </c>
      <c r="AR4" s="1">
        <f t="shared" si="1"/>
        <v>330</v>
      </c>
      <c r="AS4" s="1">
        <v>8000</v>
      </c>
      <c r="AT4" s="1">
        <v>2000</v>
      </c>
      <c r="AU4" s="1">
        <v>0.1416</v>
      </c>
      <c r="AV4" s="1">
        <f>AU4*AT4</f>
        <v>283.2</v>
      </c>
      <c r="AW4" s="14">
        <f t="shared" si="2"/>
        <v>282.81</v>
      </c>
      <c r="AX4" s="1" t="s">
        <v>696</v>
      </c>
      <c r="AY4" s="1"/>
      <c r="AZ4" t="s">
        <v>1319</v>
      </c>
    </row>
    <row r="5" spans="1:53" x14ac:dyDescent="0.25">
      <c r="A5" s="10" t="s">
        <v>262</v>
      </c>
      <c r="B5" s="8" t="s">
        <v>866</v>
      </c>
      <c r="C5" s="8" t="s">
        <v>884</v>
      </c>
      <c r="D5" s="1" t="s">
        <v>1105</v>
      </c>
      <c r="E5" s="8" t="s">
        <v>893</v>
      </c>
      <c r="F5" s="8" t="s">
        <v>263</v>
      </c>
      <c r="G5" s="8">
        <v>2000</v>
      </c>
      <c r="H5" s="8" t="s">
        <v>1193</v>
      </c>
      <c r="I5" s="8" t="s">
        <v>190</v>
      </c>
      <c r="J5" s="8">
        <v>90</v>
      </c>
      <c r="K5" s="8">
        <v>25</v>
      </c>
      <c r="L5" s="8" t="s">
        <v>1228</v>
      </c>
      <c r="M5" s="8" t="s">
        <v>695</v>
      </c>
      <c r="N5" s="1"/>
      <c r="O5" s="8" t="s">
        <v>1085</v>
      </c>
      <c r="P5" s="1">
        <v>0.20699999999999999</v>
      </c>
      <c r="Q5" s="14">
        <v>414</v>
      </c>
      <c r="R5" s="8" t="s">
        <v>521</v>
      </c>
      <c r="S5" s="15">
        <v>3335</v>
      </c>
      <c r="T5" s="15" t="b">
        <f t="shared" si="0"/>
        <v>1</v>
      </c>
      <c r="U5" s="1">
        <v>0.11580000000000001</v>
      </c>
      <c r="V5" s="1">
        <v>231.60000000000002</v>
      </c>
      <c r="W5" s="1" t="s">
        <v>696</v>
      </c>
      <c r="X5" s="1">
        <v>231.60000000000002</v>
      </c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>
        <v>38000</v>
      </c>
      <c r="AP5" s="1">
        <v>2000</v>
      </c>
      <c r="AQ5" s="1">
        <v>0.1905</v>
      </c>
      <c r="AR5" s="1">
        <f t="shared" si="1"/>
        <v>381</v>
      </c>
      <c r="AS5" s="1">
        <v>262000</v>
      </c>
      <c r="AT5" s="1">
        <v>2000</v>
      </c>
      <c r="AU5" s="1">
        <v>0.1605</v>
      </c>
      <c r="AV5" s="1">
        <f>AU5*AT5</f>
        <v>321</v>
      </c>
      <c r="AW5" s="14">
        <f t="shared" si="2"/>
        <v>231.60000000000002</v>
      </c>
      <c r="AX5" s="1" t="str">
        <f>IF(AW5=Q5,"Digikey",IF(AW5=V5,"LCSC",IF(AW5=AD5,"Diverse",IF(AW5=AF5,"Ling",IF(AW5=AJ5,"TTI",IF(AW5=AN5,"Future",IF(AW5=AR5,"Arrow",IF(AW5=AV5,"Avnet",""))))))))</f>
        <v>LCSC</v>
      </c>
      <c r="AY5" s="1"/>
      <c r="AZ5" t="s">
        <v>1319</v>
      </c>
    </row>
    <row r="6" spans="1:53" x14ac:dyDescent="0.25">
      <c r="A6" s="10" t="s">
        <v>308</v>
      </c>
      <c r="B6" s="8" t="s">
        <v>855</v>
      </c>
      <c r="C6" s="8" t="s">
        <v>884</v>
      </c>
      <c r="D6" s="1" t="s">
        <v>1105</v>
      </c>
      <c r="E6" s="8" t="s">
        <v>902</v>
      </c>
      <c r="F6" s="8" t="s">
        <v>306</v>
      </c>
      <c r="G6" s="8">
        <v>500</v>
      </c>
      <c r="H6" s="8" t="s">
        <v>1195</v>
      </c>
      <c r="I6" s="8" t="s">
        <v>194</v>
      </c>
      <c r="J6" s="8">
        <v>159</v>
      </c>
      <c r="K6" s="8">
        <v>12</v>
      </c>
      <c r="L6" s="8" t="s">
        <v>1229</v>
      </c>
      <c r="M6" s="8" t="s">
        <v>695</v>
      </c>
      <c r="N6" s="1"/>
      <c r="O6" s="8" t="s">
        <v>1088</v>
      </c>
      <c r="P6" s="1">
        <v>0.79500000000000004</v>
      </c>
      <c r="Q6" s="14">
        <v>397.5</v>
      </c>
      <c r="R6" s="8" t="s">
        <v>545</v>
      </c>
      <c r="S6" s="15">
        <v>2145</v>
      </c>
      <c r="T6" s="15" t="b">
        <f t="shared" si="0"/>
        <v>1</v>
      </c>
      <c r="U6" s="1">
        <v>0.42584999999999995</v>
      </c>
      <c r="V6" s="1">
        <v>212.92499999999998</v>
      </c>
      <c r="W6" s="1" t="s">
        <v>696</v>
      </c>
      <c r="X6" s="1">
        <v>212.92499999999998</v>
      </c>
      <c r="Y6" s="1"/>
      <c r="Z6" s="1"/>
      <c r="AA6" s="1"/>
      <c r="AB6" s="1"/>
      <c r="AC6" s="1"/>
      <c r="AD6" s="1"/>
      <c r="AE6" s="1"/>
      <c r="AF6" s="1"/>
      <c r="AG6" s="1">
        <v>256500</v>
      </c>
      <c r="AH6" s="1">
        <v>500</v>
      </c>
      <c r="AI6" s="1">
        <v>0.41850000000000004</v>
      </c>
      <c r="AJ6" s="1">
        <f>AI6*AH6</f>
        <v>209.25000000000003</v>
      </c>
      <c r="AK6" s="1"/>
      <c r="AL6" s="1"/>
      <c r="AM6" s="1"/>
      <c r="AN6" s="1"/>
      <c r="AO6" s="1">
        <v>114500</v>
      </c>
      <c r="AP6" s="1">
        <v>500</v>
      </c>
      <c r="AQ6" s="1">
        <v>0.49350000000000005</v>
      </c>
      <c r="AR6" s="1">
        <f t="shared" si="1"/>
        <v>246.75000000000003</v>
      </c>
      <c r="AS6" s="1">
        <v>2000</v>
      </c>
      <c r="AT6" s="1">
        <v>500</v>
      </c>
      <c r="AU6" s="1">
        <v>0.58499999999999996</v>
      </c>
      <c r="AV6" s="1">
        <f>AU6*AT6</f>
        <v>292.5</v>
      </c>
      <c r="AW6" s="14">
        <f t="shared" si="2"/>
        <v>209.25000000000003</v>
      </c>
      <c r="AX6" s="1" t="str">
        <f>IF(AW6=Q6,"Digikey",IF(AW6=V6,"LCSC",IF(AW6=AD6,"Diverse",IF(AW6=AF6,"Ling",IF(AW6=AJ6,"TTI",IF(AW6=AN6,"Future",IF(AW6=AR6,"Arrow",IF(AW6=AV6,"Avnet",""))))))))</f>
        <v>TTI</v>
      </c>
      <c r="AY6" s="1"/>
      <c r="AZ6" t="s">
        <v>1321</v>
      </c>
    </row>
    <row r="7" spans="1:53" x14ac:dyDescent="0.25">
      <c r="A7" s="10" t="s">
        <v>269</v>
      </c>
      <c r="B7" s="8" t="s">
        <v>845</v>
      </c>
      <c r="C7" s="8" t="s">
        <v>884</v>
      </c>
      <c r="D7" s="1" t="s">
        <v>1105</v>
      </c>
      <c r="E7" s="8" t="s">
        <v>901</v>
      </c>
      <c r="F7" s="8" t="s">
        <v>270</v>
      </c>
      <c r="G7" s="8">
        <v>2000</v>
      </c>
      <c r="H7" s="8" t="s">
        <v>1194</v>
      </c>
      <c r="I7" s="8" t="s">
        <v>194</v>
      </c>
      <c r="J7" s="8">
        <v>246</v>
      </c>
      <c r="K7" s="8">
        <v>21</v>
      </c>
      <c r="L7" s="8" t="s">
        <v>1232</v>
      </c>
      <c r="M7" s="8" t="s">
        <v>695</v>
      </c>
      <c r="N7" s="1"/>
      <c r="O7" s="8" t="s">
        <v>1086</v>
      </c>
      <c r="P7" s="1">
        <v>0.24299999999999999</v>
      </c>
      <c r="Q7" s="14">
        <v>486</v>
      </c>
      <c r="R7" s="8" t="s">
        <v>525</v>
      </c>
      <c r="S7" s="15">
        <v>50935</v>
      </c>
      <c r="T7" s="15" t="b">
        <f t="shared" si="0"/>
        <v>1</v>
      </c>
      <c r="U7" s="1">
        <v>8.8650000000000007E-2</v>
      </c>
      <c r="V7" s="1">
        <v>177.3</v>
      </c>
      <c r="W7" s="1" t="s">
        <v>696</v>
      </c>
      <c r="X7" s="1">
        <v>177.3</v>
      </c>
      <c r="Y7" s="1"/>
      <c r="Z7" s="1"/>
      <c r="AA7" s="1"/>
      <c r="AB7" s="1"/>
      <c r="AC7" s="1"/>
      <c r="AD7" s="1"/>
      <c r="AE7" s="1"/>
      <c r="AF7" s="1"/>
      <c r="AG7" s="1">
        <v>776000</v>
      </c>
      <c r="AH7" s="1">
        <v>2000</v>
      </c>
      <c r="AI7" s="1">
        <v>0.11055000000000001</v>
      </c>
      <c r="AJ7" s="1">
        <f>AI7*AH7</f>
        <v>221.10000000000002</v>
      </c>
      <c r="AK7" s="1"/>
      <c r="AL7" s="1"/>
      <c r="AM7" s="1"/>
      <c r="AN7" s="1"/>
      <c r="AO7" s="1">
        <v>210000</v>
      </c>
      <c r="AP7" s="1">
        <v>2000</v>
      </c>
      <c r="AQ7" s="1">
        <v>0.17699999999999999</v>
      </c>
      <c r="AR7" s="1">
        <f t="shared" si="1"/>
        <v>354</v>
      </c>
      <c r="AS7" s="1">
        <v>66000</v>
      </c>
      <c r="AT7" s="1">
        <v>2000</v>
      </c>
      <c r="AU7" s="1">
        <v>0.142515</v>
      </c>
      <c r="AV7" s="1">
        <f>AU7*AT7</f>
        <v>285.03000000000003</v>
      </c>
      <c r="AW7" s="14">
        <f t="shared" si="2"/>
        <v>177.3</v>
      </c>
      <c r="AX7" s="1" t="str">
        <f>IF(AW7=Q7,"Digikey",IF(AW7=V7,"LCSC",IF(AW7=AD7,"Diverse",IF(AW7=AF7,"Ling",IF(AW7=AJ7,"TTI",IF(AW7=AN7,"Future",IF(AW7=AR7,"Arrow",IF(AW7=AV7,"Avnet",""))))))))</f>
        <v>LCSC</v>
      </c>
      <c r="AY7" s="1"/>
      <c r="AZ7" t="s">
        <v>1319</v>
      </c>
    </row>
    <row r="8" spans="1:53" x14ac:dyDescent="0.25">
      <c r="A8" s="10" t="s">
        <v>279</v>
      </c>
      <c r="B8" s="8" t="s">
        <v>834</v>
      </c>
      <c r="C8" s="8" t="s">
        <v>884</v>
      </c>
      <c r="D8" s="1" t="s">
        <v>1102</v>
      </c>
      <c r="E8" s="8" t="s">
        <v>892</v>
      </c>
      <c r="F8" s="8" t="s">
        <v>280</v>
      </c>
      <c r="G8" s="8">
        <v>3000</v>
      </c>
      <c r="H8" s="8" t="s">
        <v>1173</v>
      </c>
      <c r="I8" s="8" t="s">
        <v>106</v>
      </c>
      <c r="J8" s="8">
        <v>320</v>
      </c>
      <c r="K8" s="8">
        <v>20</v>
      </c>
      <c r="L8" s="8" t="s">
        <v>1238</v>
      </c>
      <c r="M8" s="8" t="s">
        <v>695</v>
      </c>
      <c r="N8" s="1"/>
      <c r="O8" s="8" t="s">
        <v>1063</v>
      </c>
      <c r="P8" s="1">
        <v>5.6000000000000001E-2</v>
      </c>
      <c r="Q8" s="14">
        <v>168</v>
      </c>
      <c r="R8" s="8" t="s">
        <v>1293</v>
      </c>
      <c r="S8" s="15">
        <v>106180</v>
      </c>
      <c r="T8" s="15" t="b">
        <f t="shared" si="0"/>
        <v>1</v>
      </c>
      <c r="U8" s="1">
        <v>3.705E-2</v>
      </c>
      <c r="V8" s="1">
        <v>111.15</v>
      </c>
      <c r="W8" s="1" t="s">
        <v>696</v>
      </c>
      <c r="X8" s="1">
        <v>111.15</v>
      </c>
      <c r="Y8" s="1"/>
      <c r="Z8" s="1"/>
      <c r="AA8" s="1"/>
      <c r="AB8" s="1">
        <v>3000</v>
      </c>
      <c r="AC8" s="1">
        <v>1.2E-2</v>
      </c>
      <c r="AD8" s="1">
        <f>AC8*G8</f>
        <v>36</v>
      </c>
      <c r="AE8" s="1">
        <v>1.056E-2</v>
      </c>
      <c r="AF8" s="1">
        <f>AE8*G8</f>
        <v>31.68</v>
      </c>
      <c r="AG8" s="1">
        <v>369000</v>
      </c>
      <c r="AH8" s="1">
        <v>3000</v>
      </c>
      <c r="AI8" s="1">
        <v>3.0600000000000002E-2</v>
      </c>
      <c r="AJ8" s="1">
        <f>AI8*AH8</f>
        <v>91.800000000000011</v>
      </c>
      <c r="AK8" s="1">
        <v>6195000</v>
      </c>
      <c r="AL8" s="1">
        <v>3000</v>
      </c>
      <c r="AM8" s="1">
        <v>2.3900000000000001E-2</v>
      </c>
      <c r="AN8" s="1">
        <f>AM8*AL8</f>
        <v>71.7</v>
      </c>
      <c r="AO8" s="1">
        <v>6426000</v>
      </c>
      <c r="AP8" s="1">
        <v>3000</v>
      </c>
      <c r="AQ8" s="1">
        <f>0.004*1.5</f>
        <v>6.0000000000000001E-3</v>
      </c>
      <c r="AR8" s="1">
        <f t="shared" si="1"/>
        <v>18</v>
      </c>
      <c r="AS8" s="1"/>
      <c r="AT8" s="1"/>
      <c r="AU8" s="1"/>
      <c r="AV8" s="1"/>
      <c r="AW8" s="14">
        <f t="shared" si="2"/>
        <v>18</v>
      </c>
      <c r="AX8" s="1" t="s">
        <v>696</v>
      </c>
      <c r="AY8" s="1" t="s">
        <v>1294</v>
      </c>
      <c r="AZ8" t="s">
        <v>1319</v>
      </c>
      <c r="BA8" s="17"/>
    </row>
    <row r="9" spans="1:53" x14ac:dyDescent="0.25">
      <c r="A9" s="10" t="s">
        <v>290</v>
      </c>
      <c r="B9" s="8" t="s">
        <v>862</v>
      </c>
      <c r="C9" s="8" t="s">
        <v>884</v>
      </c>
      <c r="D9" s="1" t="s">
        <v>1102</v>
      </c>
      <c r="E9" s="8" t="s">
        <v>892</v>
      </c>
      <c r="F9" s="8" t="s">
        <v>291</v>
      </c>
      <c r="G9" s="8">
        <v>3000</v>
      </c>
      <c r="H9" s="8" t="s">
        <v>1180</v>
      </c>
      <c r="I9" s="8" t="s">
        <v>190</v>
      </c>
      <c r="J9" s="8">
        <v>142</v>
      </c>
      <c r="K9" s="8">
        <v>15</v>
      </c>
      <c r="L9" s="8" t="s">
        <v>1243</v>
      </c>
      <c r="M9" s="8" t="s">
        <v>695</v>
      </c>
      <c r="N9" s="1"/>
      <c r="O9" s="8" t="s">
        <v>1066</v>
      </c>
      <c r="P9" s="1">
        <v>7.6999999999999999E-2</v>
      </c>
      <c r="Q9" s="14">
        <v>231</v>
      </c>
      <c r="R9" s="8" t="s">
        <v>1309</v>
      </c>
      <c r="S9" s="15">
        <v>4200</v>
      </c>
      <c r="T9" s="15" t="b">
        <f t="shared" si="0"/>
        <v>1</v>
      </c>
      <c r="U9" s="1">
        <v>2.52E-2</v>
      </c>
      <c r="V9" s="1">
        <v>75.599999999999994</v>
      </c>
      <c r="W9" s="1" t="s">
        <v>696</v>
      </c>
      <c r="X9" s="1">
        <v>75.599999999999994</v>
      </c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>
        <v>6000</v>
      </c>
      <c r="AP9" s="1">
        <v>3000</v>
      </c>
      <c r="AQ9" s="1">
        <v>6.3899999999999998E-2</v>
      </c>
      <c r="AR9" s="1">
        <f t="shared" si="1"/>
        <v>191.7</v>
      </c>
      <c r="AS9" s="1">
        <v>33000</v>
      </c>
      <c r="AT9" s="1">
        <v>3000</v>
      </c>
      <c r="AU9" s="1">
        <v>5.2125000000000005E-2</v>
      </c>
      <c r="AV9" s="1">
        <f>AU9*AT9</f>
        <v>156.375</v>
      </c>
      <c r="AW9" s="14">
        <f t="shared" si="2"/>
        <v>75.599999999999994</v>
      </c>
      <c r="AX9" s="1" t="str">
        <f t="shared" ref="AX9:AX43" si="3">IF(AW9=Q9,"Digikey",IF(AW9=V9,"LCSC",IF(AW9=AD9,"Diverse",IF(AW9=AF9,"Ling",IF(AW9=AJ9,"TTI",IF(AW9=AN9,"Future",IF(AW9=AR9,"Arrow",IF(AW9=AV9,"Avnet",""))))))))</f>
        <v>LCSC</v>
      </c>
      <c r="AY9" s="1"/>
      <c r="AZ9" t="s">
        <v>1319</v>
      </c>
    </row>
    <row r="10" spans="1:53" x14ac:dyDescent="0.25">
      <c r="A10" s="10" t="s">
        <v>333</v>
      </c>
      <c r="B10" s="8" t="s">
        <v>783</v>
      </c>
      <c r="C10" s="8" t="s">
        <v>884</v>
      </c>
      <c r="D10" s="1" t="s">
        <v>1105</v>
      </c>
      <c r="E10" s="8" t="s">
        <v>891</v>
      </c>
      <c r="F10" s="8" t="s">
        <v>334</v>
      </c>
      <c r="G10" s="8">
        <v>3000</v>
      </c>
      <c r="H10" s="8" t="s">
        <v>1159</v>
      </c>
      <c r="I10" s="8" t="s">
        <v>175</v>
      </c>
      <c r="J10" s="8">
        <v>955</v>
      </c>
      <c r="K10" s="8">
        <v>19</v>
      </c>
      <c r="L10" s="8" t="s">
        <v>1249</v>
      </c>
      <c r="M10" s="8" t="s">
        <v>695</v>
      </c>
      <c r="N10" s="1"/>
      <c r="O10" s="8" t="s">
        <v>1028</v>
      </c>
      <c r="P10" s="1">
        <v>2.8000000000000001E-2</v>
      </c>
      <c r="Q10" s="14">
        <v>84</v>
      </c>
      <c r="R10" s="8" t="s">
        <v>566</v>
      </c>
      <c r="S10" s="15">
        <v>48780</v>
      </c>
      <c r="T10" s="15" t="b">
        <f t="shared" si="0"/>
        <v>1</v>
      </c>
      <c r="U10" s="1">
        <v>1.5599999999999999E-2</v>
      </c>
      <c r="V10" s="1">
        <v>46.8</v>
      </c>
      <c r="W10" s="1" t="s">
        <v>696</v>
      </c>
      <c r="X10" s="1">
        <v>46.8</v>
      </c>
      <c r="Y10" s="1"/>
      <c r="Z10" s="1"/>
      <c r="AA10" s="1"/>
      <c r="AB10" s="1"/>
      <c r="AC10" s="1"/>
      <c r="AD10" s="1"/>
      <c r="AE10" s="1">
        <v>1.44E-2</v>
      </c>
      <c r="AF10" s="1">
        <f>AE10*G10</f>
        <v>43.199999999999996</v>
      </c>
      <c r="AG10" s="1">
        <v>3267000</v>
      </c>
      <c r="AH10" s="1">
        <v>6000</v>
      </c>
      <c r="AI10" s="1">
        <v>1.8734999999999998E-2</v>
      </c>
      <c r="AJ10" s="1">
        <f>AI10*AH10</f>
        <v>112.40999999999998</v>
      </c>
      <c r="AK10" s="1">
        <v>972000</v>
      </c>
      <c r="AL10" s="1">
        <v>3000</v>
      </c>
      <c r="AM10" s="1">
        <v>1.7070999999999999E-2</v>
      </c>
      <c r="AN10" s="1">
        <f>AM10*AL10</f>
        <v>51.213000000000001</v>
      </c>
      <c r="AO10" s="1">
        <v>189000</v>
      </c>
      <c r="AP10" s="1">
        <v>3000</v>
      </c>
      <c r="AQ10" s="1">
        <v>2.2949999999999998E-2</v>
      </c>
      <c r="AR10" s="1">
        <f t="shared" si="1"/>
        <v>68.849999999999994</v>
      </c>
      <c r="AS10" s="1">
        <v>357000</v>
      </c>
      <c r="AT10" s="1">
        <v>3000</v>
      </c>
      <c r="AU10" s="1">
        <v>1.7444999999999999E-2</v>
      </c>
      <c r="AV10" s="1">
        <f>AU10*AT10</f>
        <v>52.334999999999994</v>
      </c>
      <c r="AW10" s="14">
        <f t="shared" si="2"/>
        <v>43.199999999999996</v>
      </c>
      <c r="AX10" s="1" t="str">
        <f t="shared" si="3"/>
        <v>Ling</v>
      </c>
      <c r="AY10" s="1"/>
      <c r="AZ10" t="s">
        <v>1321</v>
      </c>
    </row>
    <row r="11" spans="1:53" x14ac:dyDescent="0.25">
      <c r="A11" s="10" t="s">
        <v>292</v>
      </c>
      <c r="B11" s="8" t="s">
        <v>735</v>
      </c>
      <c r="C11" s="8" t="s">
        <v>884</v>
      </c>
      <c r="D11" s="1" t="s">
        <v>1105</v>
      </c>
      <c r="E11" s="8" t="s">
        <v>886</v>
      </c>
      <c r="F11" s="8" t="s">
        <v>293</v>
      </c>
      <c r="G11" s="8">
        <v>2000</v>
      </c>
      <c r="H11" s="8" t="s">
        <v>1183</v>
      </c>
      <c r="I11" s="8" t="s">
        <v>108</v>
      </c>
      <c r="J11" s="8">
        <v>2670</v>
      </c>
      <c r="K11" s="8">
        <v>15</v>
      </c>
      <c r="L11" s="8" t="s">
        <v>1251</v>
      </c>
      <c r="M11" s="8" t="s">
        <v>695</v>
      </c>
      <c r="N11" s="1"/>
      <c r="O11" s="8" t="s">
        <v>1075</v>
      </c>
      <c r="P11" s="1">
        <v>6.0999999999999999E-2</v>
      </c>
      <c r="Q11" s="14">
        <v>122</v>
      </c>
      <c r="R11" s="8" t="s">
        <v>537</v>
      </c>
      <c r="S11" s="15">
        <v>180170</v>
      </c>
      <c r="T11" s="15" t="b">
        <f t="shared" si="0"/>
        <v>1</v>
      </c>
      <c r="U11" s="1">
        <v>2.145E-2</v>
      </c>
      <c r="V11" s="1">
        <v>42.9</v>
      </c>
      <c r="W11" s="1" t="s">
        <v>696</v>
      </c>
      <c r="X11" s="1">
        <v>42.9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4000</v>
      </c>
      <c r="AL11" s="1">
        <v>2000</v>
      </c>
      <c r="AM11" s="1">
        <v>3.8837000000000003E-2</v>
      </c>
      <c r="AN11" s="1">
        <f>AM11*AL11</f>
        <v>77.674000000000007</v>
      </c>
      <c r="AO11" s="1">
        <v>282000</v>
      </c>
      <c r="AP11" s="1">
        <v>2000</v>
      </c>
      <c r="AQ11" s="1">
        <v>3.5099999999999999E-2</v>
      </c>
      <c r="AR11" s="1">
        <f t="shared" si="1"/>
        <v>70.2</v>
      </c>
      <c r="AS11" s="1">
        <v>48000</v>
      </c>
      <c r="AT11" s="1">
        <v>2000</v>
      </c>
      <c r="AU11" s="1">
        <v>3.7380000000000004E-2</v>
      </c>
      <c r="AV11" s="1">
        <f>AU11*AT11</f>
        <v>74.760000000000005</v>
      </c>
      <c r="AW11" s="14">
        <f t="shared" si="2"/>
        <v>42.9</v>
      </c>
      <c r="AX11" s="1" t="str">
        <f t="shared" si="3"/>
        <v>LCSC</v>
      </c>
      <c r="AY11" s="1"/>
      <c r="AZ11" t="s">
        <v>1319</v>
      </c>
    </row>
    <row r="12" spans="1:53" x14ac:dyDescent="0.25">
      <c r="A12" s="10" t="s">
        <v>451</v>
      </c>
      <c r="B12" s="8" t="s">
        <v>842</v>
      </c>
      <c r="C12" s="8" t="s">
        <v>884</v>
      </c>
      <c r="D12" s="1" t="s">
        <v>1102</v>
      </c>
      <c r="E12" s="8" t="s">
        <v>892</v>
      </c>
      <c r="F12" s="8" t="s">
        <v>452</v>
      </c>
      <c r="G12" s="8">
        <v>5000</v>
      </c>
      <c r="H12" s="8" t="s">
        <v>1139</v>
      </c>
      <c r="I12" s="8" t="s">
        <v>106</v>
      </c>
      <c r="J12" s="8">
        <v>264</v>
      </c>
      <c r="K12" s="8">
        <v>16</v>
      </c>
      <c r="L12" s="8" t="s">
        <v>1255</v>
      </c>
      <c r="M12" s="8" t="s">
        <v>695</v>
      </c>
      <c r="N12" s="1"/>
      <c r="O12" s="8" t="s">
        <v>967</v>
      </c>
      <c r="P12" s="1">
        <v>6.3E-3</v>
      </c>
      <c r="Q12" s="14">
        <v>31.5</v>
      </c>
      <c r="R12" s="8" t="s">
        <v>649</v>
      </c>
      <c r="S12" s="15">
        <v>50</v>
      </c>
      <c r="T12" s="15" t="b">
        <f t="shared" si="0"/>
        <v>0</v>
      </c>
      <c r="U12" s="1">
        <v>1.7250000000000001E-2</v>
      </c>
      <c r="V12" s="1">
        <v>86.250000000000014</v>
      </c>
      <c r="W12" s="1" t="s">
        <v>511</v>
      </c>
      <c r="X12" s="1">
        <v>31.5</v>
      </c>
      <c r="Y12" s="1"/>
      <c r="Z12" s="1"/>
      <c r="AA12" s="1"/>
      <c r="AB12" s="1">
        <v>30000</v>
      </c>
      <c r="AC12" s="1">
        <v>5.0000000000000001E-3</v>
      </c>
      <c r="AD12" s="1">
        <f>AC12*G12</f>
        <v>25</v>
      </c>
      <c r="AE12" s="1">
        <v>1.395E-3</v>
      </c>
      <c r="AF12" s="1">
        <f>AE12*G12</f>
        <v>6.9749999999999996</v>
      </c>
      <c r="AG12" s="1">
        <v>825000</v>
      </c>
      <c r="AH12" s="1">
        <v>10000</v>
      </c>
      <c r="AI12" s="1">
        <v>5.2500000000000003E-3</v>
      </c>
      <c r="AJ12" s="1">
        <f>AI12*AH12</f>
        <v>52.5</v>
      </c>
      <c r="AK12" s="1">
        <v>1325000</v>
      </c>
      <c r="AL12" s="1">
        <v>5000</v>
      </c>
      <c r="AM12" s="1">
        <v>2.9870000000000001E-3</v>
      </c>
      <c r="AN12" s="1">
        <f>AM12*AL12</f>
        <v>14.935</v>
      </c>
      <c r="AO12" s="1">
        <v>45000</v>
      </c>
      <c r="AP12" s="1">
        <v>5000</v>
      </c>
      <c r="AQ12" s="1">
        <v>3.4499999999999999E-3</v>
      </c>
      <c r="AR12" s="1">
        <f t="shared" si="1"/>
        <v>17.25</v>
      </c>
      <c r="AS12" s="1"/>
      <c r="AT12" s="1"/>
      <c r="AU12" s="1"/>
      <c r="AV12" s="1"/>
      <c r="AW12" s="14">
        <f t="shared" si="2"/>
        <v>6.9749999999999996</v>
      </c>
      <c r="AX12" s="1" t="str">
        <f t="shared" si="3"/>
        <v>Ling</v>
      </c>
      <c r="AY12" s="1"/>
      <c r="AZ12" t="s">
        <v>1321</v>
      </c>
      <c r="BA12" s="17"/>
    </row>
    <row r="13" spans="1:53" x14ac:dyDescent="0.25">
      <c r="A13" s="10" t="s">
        <v>271</v>
      </c>
      <c r="B13" s="8" t="s">
        <v>841</v>
      </c>
      <c r="C13" s="8" t="s">
        <v>884</v>
      </c>
      <c r="D13" s="1" t="s">
        <v>1102</v>
      </c>
      <c r="E13" s="8" t="s">
        <v>892</v>
      </c>
      <c r="F13" s="8" t="s">
        <v>272</v>
      </c>
      <c r="G13" s="8">
        <v>3000</v>
      </c>
      <c r="H13" s="8" t="s">
        <v>1174</v>
      </c>
      <c r="I13" s="8" t="s">
        <v>106</v>
      </c>
      <c r="J13" s="8">
        <v>273</v>
      </c>
      <c r="K13" s="8">
        <v>21</v>
      </c>
      <c r="L13" s="8" t="s">
        <v>1256</v>
      </c>
      <c r="M13" s="8" t="s">
        <v>695</v>
      </c>
      <c r="N13" s="1"/>
      <c r="O13" s="8" t="s">
        <v>1064</v>
      </c>
      <c r="P13" s="1">
        <v>3.4000000000000002E-2</v>
      </c>
      <c r="Q13" s="14">
        <v>102</v>
      </c>
      <c r="R13" s="8" t="s">
        <v>526</v>
      </c>
      <c r="S13" s="15">
        <v>21000</v>
      </c>
      <c r="T13" s="15" t="b">
        <f t="shared" si="0"/>
        <v>1</v>
      </c>
      <c r="U13" s="1">
        <v>9.75E-3</v>
      </c>
      <c r="V13" s="1">
        <v>29.25</v>
      </c>
      <c r="W13" s="1" t="s">
        <v>696</v>
      </c>
      <c r="X13" s="1">
        <v>29.25</v>
      </c>
      <c r="Y13" s="1"/>
      <c r="Z13" s="1"/>
      <c r="AA13" s="1"/>
      <c r="AB13" s="1">
        <v>3000</v>
      </c>
      <c r="AC13" s="1">
        <v>2.1000000000000001E-2</v>
      </c>
      <c r="AD13" s="1">
        <f>AC13*G13</f>
        <v>63.000000000000007</v>
      </c>
      <c r="AE13" s="1">
        <v>7.3500000000000006E-3</v>
      </c>
      <c r="AF13" s="1">
        <f>AE13*G13</f>
        <v>22.05</v>
      </c>
      <c r="AG13" s="1">
        <v>402000</v>
      </c>
      <c r="AH13" s="1">
        <v>3000</v>
      </c>
      <c r="AI13" s="1">
        <v>2.835E-2</v>
      </c>
      <c r="AJ13" s="1">
        <f>AI13*AH13</f>
        <v>85.05</v>
      </c>
      <c r="AK13" s="1">
        <v>6000</v>
      </c>
      <c r="AL13" s="1">
        <v>3000</v>
      </c>
      <c r="AM13" s="1">
        <v>2.2192E-2</v>
      </c>
      <c r="AN13" s="1">
        <f>AM13*AL13</f>
        <v>66.575999999999993</v>
      </c>
      <c r="AO13" s="1">
        <v>6000</v>
      </c>
      <c r="AP13" s="1">
        <v>3000</v>
      </c>
      <c r="AQ13" s="1">
        <v>2.9399999999999999E-2</v>
      </c>
      <c r="AR13" s="1">
        <f t="shared" si="1"/>
        <v>88.2</v>
      </c>
      <c r="AS13" s="1"/>
      <c r="AT13" s="1"/>
      <c r="AU13" s="1"/>
      <c r="AV13" s="1"/>
      <c r="AW13" s="14">
        <f t="shared" si="2"/>
        <v>22.05</v>
      </c>
      <c r="AX13" s="1" t="str">
        <f t="shared" si="3"/>
        <v>Ling</v>
      </c>
      <c r="AY13" s="1"/>
      <c r="AZ13" t="s">
        <v>1321</v>
      </c>
      <c r="BA13" s="17"/>
    </row>
    <row r="14" spans="1:53" x14ac:dyDescent="0.25">
      <c r="A14" s="10" t="s">
        <v>256</v>
      </c>
      <c r="B14" s="8" t="s">
        <v>781</v>
      </c>
      <c r="C14" s="8" t="s">
        <v>884</v>
      </c>
      <c r="D14" s="1" t="s">
        <v>1102</v>
      </c>
      <c r="E14" s="8" t="s">
        <v>892</v>
      </c>
      <c r="F14" s="8" t="s">
        <v>257</v>
      </c>
      <c r="G14" s="8">
        <v>4000</v>
      </c>
      <c r="H14" s="8" t="s">
        <v>1165</v>
      </c>
      <c r="I14" s="8" t="s">
        <v>194</v>
      </c>
      <c r="J14" s="8">
        <v>1073</v>
      </c>
      <c r="K14" s="8">
        <v>28</v>
      </c>
      <c r="L14" s="8" t="s">
        <v>1257</v>
      </c>
      <c r="M14" s="8" t="s">
        <v>695</v>
      </c>
      <c r="N14" s="1"/>
      <c r="O14" s="8" t="s">
        <v>1058</v>
      </c>
      <c r="P14" s="1">
        <v>2.1000000000000001E-2</v>
      </c>
      <c r="Q14" s="14">
        <v>84</v>
      </c>
      <c r="R14" s="8" t="s">
        <v>518</v>
      </c>
      <c r="S14" s="15">
        <v>48610</v>
      </c>
      <c r="T14" s="15" t="b">
        <f t="shared" si="0"/>
        <v>1</v>
      </c>
      <c r="U14" s="1">
        <v>6.150000000000001E-3</v>
      </c>
      <c r="V14" s="1">
        <v>24.600000000000005</v>
      </c>
      <c r="W14" s="1" t="s">
        <v>696</v>
      </c>
      <c r="X14" s="1">
        <v>24.600000000000005</v>
      </c>
      <c r="Y14" s="1"/>
      <c r="Z14" s="1"/>
      <c r="AA14" s="1"/>
      <c r="AB14" s="1"/>
      <c r="AC14" s="1"/>
      <c r="AD14" s="1"/>
      <c r="AE14" s="1"/>
      <c r="AF14" s="1"/>
      <c r="AG14" s="1">
        <v>452000</v>
      </c>
      <c r="AH14" s="1">
        <v>4000</v>
      </c>
      <c r="AI14" s="1">
        <v>1.7535000000000002E-2</v>
      </c>
      <c r="AJ14" s="1">
        <f>AI14*AH14</f>
        <v>70.140000000000015</v>
      </c>
      <c r="AK14" s="1"/>
      <c r="AL14" s="1"/>
      <c r="AM14" s="1"/>
      <c r="AN14" s="1"/>
      <c r="AO14" s="1">
        <v>60000</v>
      </c>
      <c r="AP14" s="1">
        <v>4000</v>
      </c>
      <c r="AQ14" s="1">
        <v>1.7850000000000001E-2</v>
      </c>
      <c r="AR14" s="1">
        <f t="shared" si="1"/>
        <v>71.400000000000006</v>
      </c>
      <c r="AS14" s="1"/>
      <c r="AT14" s="1"/>
      <c r="AU14" s="1"/>
      <c r="AV14" s="1"/>
      <c r="AW14" s="14">
        <f t="shared" si="2"/>
        <v>24.600000000000005</v>
      </c>
      <c r="AX14" s="1" t="str">
        <f t="shared" si="3"/>
        <v>LCSC</v>
      </c>
      <c r="AY14" s="1"/>
      <c r="AZ14" t="s">
        <v>1319</v>
      </c>
    </row>
    <row r="15" spans="1:53" x14ac:dyDescent="0.25">
      <c r="A15" s="10" t="s">
        <v>264</v>
      </c>
      <c r="B15" s="8" t="s">
        <v>810</v>
      </c>
      <c r="C15" s="8" t="s">
        <v>884</v>
      </c>
      <c r="D15" s="1" t="s">
        <v>1102</v>
      </c>
      <c r="E15" s="8" t="s">
        <v>892</v>
      </c>
      <c r="F15" s="8" t="s">
        <v>265</v>
      </c>
      <c r="G15" s="8">
        <v>4000</v>
      </c>
      <c r="H15" s="8" t="s">
        <v>1171</v>
      </c>
      <c r="I15" s="8" t="s">
        <v>194</v>
      </c>
      <c r="J15" s="8">
        <v>502</v>
      </c>
      <c r="K15" s="8">
        <v>23</v>
      </c>
      <c r="L15" s="8" t="s">
        <v>1258</v>
      </c>
      <c r="M15" s="8" t="s">
        <v>695</v>
      </c>
      <c r="N15" s="1"/>
      <c r="O15" s="8" t="s">
        <v>1061</v>
      </c>
      <c r="P15" s="1">
        <v>0.02</v>
      </c>
      <c r="Q15" s="14">
        <v>80</v>
      </c>
      <c r="R15" s="8" t="s">
        <v>522</v>
      </c>
      <c r="S15" s="15">
        <v>1839000</v>
      </c>
      <c r="T15" s="15" t="b">
        <f t="shared" si="0"/>
        <v>1</v>
      </c>
      <c r="U15" s="1">
        <v>4.5000000000000005E-3</v>
      </c>
      <c r="V15" s="1">
        <v>18.000000000000004</v>
      </c>
      <c r="W15" s="1" t="s">
        <v>696</v>
      </c>
      <c r="X15" s="1">
        <v>18.000000000000004</v>
      </c>
      <c r="Y15" s="1"/>
      <c r="Z15" s="1"/>
      <c r="AA15" s="1"/>
      <c r="AB15" s="1"/>
      <c r="AC15" s="1"/>
      <c r="AD15" s="1"/>
      <c r="AE15" s="1"/>
      <c r="AF15" s="1"/>
      <c r="AG15" s="1">
        <v>1488000</v>
      </c>
      <c r="AH15" s="1">
        <v>4000</v>
      </c>
      <c r="AI15" s="1">
        <v>1.8464999999999999E-2</v>
      </c>
      <c r="AJ15" s="1">
        <f>AI15*AH15</f>
        <v>73.86</v>
      </c>
      <c r="AK15" s="1"/>
      <c r="AL15" s="1"/>
      <c r="AM15" s="1"/>
      <c r="AN15" s="1"/>
      <c r="AO15" s="1">
        <v>3636000</v>
      </c>
      <c r="AP15" s="1">
        <v>4000</v>
      </c>
      <c r="AQ15" s="1">
        <v>1.7850000000000001E-2</v>
      </c>
      <c r="AR15" s="1">
        <f t="shared" si="1"/>
        <v>71.400000000000006</v>
      </c>
      <c r="AS15" s="1">
        <v>8000</v>
      </c>
      <c r="AT15" s="1">
        <v>4000</v>
      </c>
      <c r="AU15" s="1">
        <v>1.545E-2</v>
      </c>
      <c r="AV15" s="1">
        <f>AU15*AT15</f>
        <v>61.800000000000004</v>
      </c>
      <c r="AW15" s="14">
        <f t="shared" si="2"/>
        <v>18.000000000000004</v>
      </c>
      <c r="AX15" s="1" t="str">
        <f t="shared" si="3"/>
        <v>LCSC</v>
      </c>
      <c r="AY15" s="1"/>
      <c r="AZ15" t="s">
        <v>1319</v>
      </c>
    </row>
    <row r="16" spans="1:53" x14ac:dyDescent="0.25">
      <c r="A16" s="10" t="s">
        <v>422</v>
      </c>
      <c r="B16" s="8" t="s">
        <v>743</v>
      </c>
      <c r="C16" s="8" t="s">
        <v>884</v>
      </c>
      <c r="D16" s="1" t="s">
        <v>1102</v>
      </c>
      <c r="E16" s="8" t="s">
        <v>892</v>
      </c>
      <c r="F16" s="8" t="s">
        <v>423</v>
      </c>
      <c r="G16" s="8">
        <v>5000</v>
      </c>
      <c r="H16" s="8" t="s">
        <v>1136</v>
      </c>
      <c r="I16" s="8" t="s">
        <v>106</v>
      </c>
      <c r="J16" s="8">
        <v>2331</v>
      </c>
      <c r="K16" s="8">
        <v>21</v>
      </c>
      <c r="L16" s="8" t="s">
        <v>1260</v>
      </c>
      <c r="M16" s="8" t="s">
        <v>695</v>
      </c>
      <c r="N16" s="1"/>
      <c r="O16" s="8" t="s">
        <v>964</v>
      </c>
      <c r="P16" s="1">
        <v>6.3E-3</v>
      </c>
      <c r="Q16" s="14">
        <v>31.5</v>
      </c>
      <c r="R16" s="8" t="s">
        <v>634</v>
      </c>
      <c r="S16" s="15">
        <v>30800</v>
      </c>
      <c r="T16" s="15" t="b">
        <f t="shared" si="0"/>
        <v>1</v>
      </c>
      <c r="U16" s="1">
        <v>1.9499999999999999E-3</v>
      </c>
      <c r="V16" s="1">
        <v>9.75</v>
      </c>
      <c r="W16" s="1" t="s">
        <v>696</v>
      </c>
      <c r="X16" s="1">
        <v>9.75</v>
      </c>
      <c r="Y16" s="1"/>
      <c r="Z16" s="1"/>
      <c r="AA16" s="1"/>
      <c r="AB16" s="1">
        <v>35000</v>
      </c>
      <c r="AC16" s="1">
        <v>3.3E-3</v>
      </c>
      <c r="AD16" s="1">
        <f>AC16*G16</f>
        <v>16.5</v>
      </c>
      <c r="AE16" s="1">
        <v>1.245E-3</v>
      </c>
      <c r="AF16" s="1">
        <f>AE16*G16</f>
        <v>6.2249999999999996</v>
      </c>
      <c r="AG16" s="1">
        <v>2045000</v>
      </c>
      <c r="AH16" s="1">
        <v>10000</v>
      </c>
      <c r="AI16" s="1">
        <v>2.82E-3</v>
      </c>
      <c r="AJ16" s="1">
        <f>AI16*AH16</f>
        <v>28.2</v>
      </c>
      <c r="AK16" s="1">
        <v>12965000</v>
      </c>
      <c r="AL16" s="1">
        <v>10000</v>
      </c>
      <c r="AM16" s="1">
        <v>2.66E-3</v>
      </c>
      <c r="AN16" s="1">
        <f t="shared" ref="AN16:AN21" si="4">AM16*AL16</f>
        <v>26.6</v>
      </c>
      <c r="AO16" s="1">
        <v>80000</v>
      </c>
      <c r="AP16" s="1">
        <v>5000</v>
      </c>
      <c r="AQ16" s="1">
        <v>3.0000000000000001E-3</v>
      </c>
      <c r="AR16" s="1">
        <f t="shared" si="1"/>
        <v>15</v>
      </c>
      <c r="AS16" s="1">
        <v>40000</v>
      </c>
      <c r="AT16" s="1">
        <v>5000</v>
      </c>
      <c r="AU16" s="1">
        <v>2.7750000000000001E-3</v>
      </c>
      <c r="AV16" s="1">
        <f>AU16*AT16</f>
        <v>13.875</v>
      </c>
      <c r="AW16" s="14">
        <f t="shared" si="2"/>
        <v>6.2249999999999996</v>
      </c>
      <c r="AX16" s="1" t="str">
        <f t="shared" si="3"/>
        <v>Ling</v>
      </c>
      <c r="AY16" s="1"/>
      <c r="AZ16" t="s">
        <v>1321</v>
      </c>
      <c r="BA16" s="17"/>
    </row>
    <row r="17" spans="1:53" x14ac:dyDescent="0.25">
      <c r="A17" s="10" t="s">
        <v>449</v>
      </c>
      <c r="B17" s="8" t="s">
        <v>803</v>
      </c>
      <c r="C17" s="8" t="s">
        <v>884</v>
      </c>
      <c r="D17" s="1" t="s">
        <v>1102</v>
      </c>
      <c r="E17" s="8" t="s">
        <v>892</v>
      </c>
      <c r="F17" s="8" t="s">
        <v>450</v>
      </c>
      <c r="G17" s="8">
        <v>5000</v>
      </c>
      <c r="H17" s="8" t="s">
        <v>1137</v>
      </c>
      <c r="I17" s="8" t="s">
        <v>106</v>
      </c>
      <c r="J17" s="8">
        <v>636</v>
      </c>
      <c r="K17" s="8">
        <v>16</v>
      </c>
      <c r="L17" s="8" t="s">
        <v>1261</v>
      </c>
      <c r="M17" s="8" t="s">
        <v>695</v>
      </c>
      <c r="N17" s="1"/>
      <c r="O17" s="8" t="s">
        <v>965</v>
      </c>
      <c r="P17" s="1">
        <v>7.7999999999999996E-3</v>
      </c>
      <c r="Q17" s="14">
        <v>39</v>
      </c>
      <c r="R17" s="8" t="s">
        <v>648</v>
      </c>
      <c r="S17" s="15">
        <v>280900</v>
      </c>
      <c r="T17" s="15" t="b">
        <f t="shared" si="0"/>
        <v>1</v>
      </c>
      <c r="U17" s="1">
        <v>1.9499999999999999E-3</v>
      </c>
      <c r="V17" s="1">
        <v>9.75</v>
      </c>
      <c r="W17" s="1" t="s">
        <v>696</v>
      </c>
      <c r="X17" s="1">
        <v>9.75</v>
      </c>
      <c r="Y17" s="1"/>
      <c r="Z17" s="1"/>
      <c r="AA17" s="1"/>
      <c r="AB17" s="1">
        <v>90000</v>
      </c>
      <c r="AC17" s="1">
        <v>3.3E-3</v>
      </c>
      <c r="AD17" s="1">
        <f>AC17*G17</f>
        <v>16.5</v>
      </c>
      <c r="AE17" s="1">
        <v>1.245E-3</v>
      </c>
      <c r="AF17" s="1">
        <f>AE17*G17</f>
        <v>6.2249999999999996</v>
      </c>
      <c r="AG17" s="1"/>
      <c r="AH17" s="1"/>
      <c r="AI17" s="1"/>
      <c r="AJ17" s="1"/>
      <c r="AK17" s="1">
        <v>780000</v>
      </c>
      <c r="AL17" s="1">
        <v>10000</v>
      </c>
      <c r="AM17" s="1">
        <v>2.66E-3</v>
      </c>
      <c r="AN17" s="1">
        <f t="shared" si="4"/>
        <v>26.6</v>
      </c>
      <c r="AO17" s="1">
        <v>130000</v>
      </c>
      <c r="AP17" s="1">
        <v>5000</v>
      </c>
      <c r="AQ17" s="1">
        <v>3.0000000000000001E-3</v>
      </c>
      <c r="AR17" s="1">
        <f t="shared" si="1"/>
        <v>15</v>
      </c>
      <c r="AS17" s="1"/>
      <c r="AT17" s="1"/>
      <c r="AU17" s="1"/>
      <c r="AV17" s="1"/>
      <c r="AW17" s="14">
        <f t="shared" si="2"/>
        <v>6.2249999999999996</v>
      </c>
      <c r="AX17" s="1" t="str">
        <f t="shared" si="3"/>
        <v>Ling</v>
      </c>
      <c r="AY17" s="1"/>
      <c r="AZ17" t="s">
        <v>1321</v>
      </c>
      <c r="BA17" s="17"/>
    </row>
    <row r="18" spans="1:53" x14ac:dyDescent="0.25">
      <c r="A18" s="10" t="s">
        <v>475</v>
      </c>
      <c r="B18" s="8" t="s">
        <v>833</v>
      </c>
      <c r="C18" s="8" t="s">
        <v>884</v>
      </c>
      <c r="D18" s="1" t="s">
        <v>1102</v>
      </c>
      <c r="E18" s="8" t="s">
        <v>892</v>
      </c>
      <c r="F18" s="8" t="s">
        <v>476</v>
      </c>
      <c r="G18" s="8">
        <v>5000</v>
      </c>
      <c r="H18" s="8" t="s">
        <v>1138</v>
      </c>
      <c r="I18" s="8" t="s">
        <v>106</v>
      </c>
      <c r="J18" s="8">
        <v>328</v>
      </c>
      <c r="K18" s="8">
        <v>13</v>
      </c>
      <c r="L18" s="8" t="s">
        <v>1262</v>
      </c>
      <c r="M18" s="8" t="s">
        <v>695</v>
      </c>
      <c r="N18" s="1"/>
      <c r="O18" s="8" t="s">
        <v>966</v>
      </c>
      <c r="P18" s="1">
        <v>6.3E-3</v>
      </c>
      <c r="Q18" s="14">
        <v>31.5</v>
      </c>
      <c r="R18" s="8" t="s">
        <v>662</v>
      </c>
      <c r="S18" s="15">
        <v>202300</v>
      </c>
      <c r="T18" s="15" t="b">
        <f t="shared" si="0"/>
        <v>1</v>
      </c>
      <c r="U18" s="1">
        <v>1.9499999999999999E-3</v>
      </c>
      <c r="V18" s="1">
        <v>9.75</v>
      </c>
      <c r="W18" s="1" t="s">
        <v>696</v>
      </c>
      <c r="X18" s="1">
        <v>9.75</v>
      </c>
      <c r="Y18" s="1"/>
      <c r="Z18" s="1"/>
      <c r="AA18" s="1"/>
      <c r="AB18" s="1">
        <v>95000</v>
      </c>
      <c r="AC18" s="1">
        <v>3.3E-3</v>
      </c>
      <c r="AD18" s="1">
        <f>AC18*G18</f>
        <v>16.5</v>
      </c>
      <c r="AE18" s="1">
        <v>1.245E-3</v>
      </c>
      <c r="AF18" s="1">
        <f>AE18*G18</f>
        <v>6.2249999999999996</v>
      </c>
      <c r="AG18" s="1">
        <v>5895000</v>
      </c>
      <c r="AH18" s="1">
        <v>10000</v>
      </c>
      <c r="AI18" s="1">
        <v>2.82E-3</v>
      </c>
      <c r="AJ18" s="1">
        <f>AI18*AH18</f>
        <v>28.2</v>
      </c>
      <c r="AK18" s="1">
        <v>115000</v>
      </c>
      <c r="AL18" s="1">
        <v>10000</v>
      </c>
      <c r="AM18" s="1">
        <v>2.66E-3</v>
      </c>
      <c r="AN18" s="1">
        <f t="shared" si="4"/>
        <v>26.6</v>
      </c>
      <c r="AO18" s="1">
        <v>505000</v>
      </c>
      <c r="AP18" s="1">
        <v>5000</v>
      </c>
      <c r="AQ18" s="1">
        <v>3.0000000000000001E-3</v>
      </c>
      <c r="AR18" s="1">
        <f t="shared" si="1"/>
        <v>15</v>
      </c>
      <c r="AS18" s="1">
        <v>100000</v>
      </c>
      <c r="AT18" s="1">
        <v>5000</v>
      </c>
      <c r="AU18" s="1">
        <v>2.7750000000000001E-3</v>
      </c>
      <c r="AV18" s="1">
        <f>AU18*AT18</f>
        <v>13.875</v>
      </c>
      <c r="AW18" s="14">
        <f t="shared" si="2"/>
        <v>6.2249999999999996</v>
      </c>
      <c r="AX18" s="1" t="str">
        <f t="shared" si="3"/>
        <v>Ling</v>
      </c>
      <c r="AY18" s="1"/>
      <c r="AZ18" t="s">
        <v>1321</v>
      </c>
      <c r="BA18" s="17"/>
    </row>
    <row r="19" spans="1:53" x14ac:dyDescent="0.25">
      <c r="A19" s="10" t="s">
        <v>472</v>
      </c>
      <c r="B19" s="8" t="s">
        <v>860</v>
      </c>
      <c r="C19" s="8" t="s">
        <v>884</v>
      </c>
      <c r="D19" s="1" t="s">
        <v>1102</v>
      </c>
      <c r="E19" s="8" t="s">
        <v>892</v>
      </c>
      <c r="F19" s="8" t="s">
        <v>473</v>
      </c>
      <c r="G19" s="8">
        <v>5000</v>
      </c>
      <c r="H19" s="8" t="s">
        <v>1140</v>
      </c>
      <c r="I19" s="8" t="s">
        <v>106</v>
      </c>
      <c r="J19" s="8">
        <v>146</v>
      </c>
      <c r="K19" s="8">
        <v>13</v>
      </c>
      <c r="L19" s="8" t="s">
        <v>1263</v>
      </c>
      <c r="M19" s="8" t="s">
        <v>695</v>
      </c>
      <c r="N19" s="1"/>
      <c r="O19" s="8" t="s">
        <v>968</v>
      </c>
      <c r="P19" s="1">
        <v>6.3E-3</v>
      </c>
      <c r="Q19" s="14">
        <v>31.5</v>
      </c>
      <c r="R19" s="8" t="s">
        <v>660</v>
      </c>
      <c r="S19" s="15">
        <v>9700</v>
      </c>
      <c r="T19" s="15" t="b">
        <f t="shared" si="0"/>
        <v>1</v>
      </c>
      <c r="U19" s="1">
        <v>1.9499999999999999E-3</v>
      </c>
      <c r="V19" s="1">
        <v>9.75</v>
      </c>
      <c r="W19" s="1" t="s">
        <v>696</v>
      </c>
      <c r="X19" s="1">
        <v>9.75</v>
      </c>
      <c r="Y19" s="1"/>
      <c r="Z19" s="1"/>
      <c r="AA19" s="1"/>
      <c r="AB19" s="1"/>
      <c r="AC19" s="1"/>
      <c r="AD19" s="1"/>
      <c r="AE19" s="1">
        <v>1.245E-3</v>
      </c>
      <c r="AF19" s="1">
        <f>AE19*G19</f>
        <v>6.2249999999999996</v>
      </c>
      <c r="AG19" s="1">
        <v>10000</v>
      </c>
      <c r="AH19" s="1">
        <v>5000</v>
      </c>
      <c r="AI19" s="1">
        <v>4.9800000000000001E-3</v>
      </c>
      <c r="AJ19" s="1">
        <f>AI19*AH19</f>
        <v>24.9</v>
      </c>
      <c r="AK19" s="1">
        <v>55000</v>
      </c>
      <c r="AL19" s="1">
        <v>10000</v>
      </c>
      <c r="AM19" s="1">
        <v>2.6180000000000001E-3</v>
      </c>
      <c r="AN19" s="1">
        <f t="shared" si="4"/>
        <v>26.18</v>
      </c>
      <c r="AO19" s="1">
        <v>75000</v>
      </c>
      <c r="AP19" s="1">
        <v>5000</v>
      </c>
      <c r="AQ19" s="1">
        <v>3.0000000000000001E-3</v>
      </c>
      <c r="AR19" s="1">
        <f t="shared" si="1"/>
        <v>15</v>
      </c>
      <c r="AS19" s="1"/>
      <c r="AT19" s="1"/>
      <c r="AU19" s="1"/>
      <c r="AV19" s="1"/>
      <c r="AW19" s="14">
        <f t="shared" si="2"/>
        <v>6.2249999999999996</v>
      </c>
      <c r="AX19" s="1" t="str">
        <f t="shared" si="3"/>
        <v>Ling</v>
      </c>
      <c r="AY19" s="1"/>
      <c r="AZ19" t="s">
        <v>1321</v>
      </c>
    </row>
    <row r="20" spans="1:53" x14ac:dyDescent="0.25">
      <c r="A20" s="10" t="s">
        <v>433</v>
      </c>
      <c r="B20" s="8" t="s">
        <v>865</v>
      </c>
      <c r="C20" s="8" t="s">
        <v>884</v>
      </c>
      <c r="D20" s="1" t="s">
        <v>1102</v>
      </c>
      <c r="E20" s="8" t="s">
        <v>892</v>
      </c>
      <c r="F20" s="8" t="s">
        <v>434</v>
      </c>
      <c r="G20" s="8">
        <v>5000</v>
      </c>
      <c r="H20" s="8" t="s">
        <v>1141</v>
      </c>
      <c r="I20" s="8" t="s">
        <v>106</v>
      </c>
      <c r="J20" s="8">
        <v>116</v>
      </c>
      <c r="K20" s="8">
        <v>19</v>
      </c>
      <c r="L20" s="8" t="s">
        <v>1264</v>
      </c>
      <c r="M20" s="8" t="s">
        <v>695</v>
      </c>
      <c r="N20" s="1"/>
      <c r="O20" s="8" t="s">
        <v>969</v>
      </c>
      <c r="P20" s="1">
        <v>6.3E-3</v>
      </c>
      <c r="Q20" s="14">
        <v>31.5</v>
      </c>
      <c r="R20" s="8" t="s">
        <v>640</v>
      </c>
      <c r="S20" s="15">
        <v>15200</v>
      </c>
      <c r="T20" s="15" t="b">
        <f t="shared" si="0"/>
        <v>1</v>
      </c>
      <c r="U20" s="1">
        <v>1.8E-3</v>
      </c>
      <c r="V20" s="1">
        <v>9</v>
      </c>
      <c r="W20" s="1" t="s">
        <v>696</v>
      </c>
      <c r="X20" s="1">
        <v>9</v>
      </c>
      <c r="Y20" s="1"/>
      <c r="Z20" s="1"/>
      <c r="AA20" s="1"/>
      <c r="AB20" s="1">
        <v>75000</v>
      </c>
      <c r="AC20" s="1">
        <v>3.3E-3</v>
      </c>
      <c r="AD20" s="1">
        <f>AC20*G20</f>
        <v>16.5</v>
      </c>
      <c r="AE20" s="1">
        <v>1.245E-3</v>
      </c>
      <c r="AF20" s="1">
        <f>AE20*G20</f>
        <v>6.2249999999999996</v>
      </c>
      <c r="AG20" s="1"/>
      <c r="AH20" s="1"/>
      <c r="AI20" s="1"/>
      <c r="AJ20" s="1"/>
      <c r="AK20" s="1">
        <v>535000</v>
      </c>
      <c r="AL20" s="1">
        <v>10000</v>
      </c>
      <c r="AM20" s="1">
        <v>2.66E-3</v>
      </c>
      <c r="AN20" s="1">
        <f t="shared" si="4"/>
        <v>26.6</v>
      </c>
      <c r="AO20" s="1">
        <v>120000</v>
      </c>
      <c r="AP20" s="1">
        <v>5000</v>
      </c>
      <c r="AQ20" s="1">
        <v>3.0000000000000001E-3</v>
      </c>
      <c r="AR20" s="1">
        <f t="shared" si="1"/>
        <v>15</v>
      </c>
      <c r="AS20" s="1">
        <v>30000</v>
      </c>
      <c r="AT20" s="1">
        <v>5000</v>
      </c>
      <c r="AU20" s="1">
        <v>2.7750000000000001E-3</v>
      </c>
      <c r="AV20" s="1">
        <f>AU20*AT20</f>
        <v>13.875</v>
      </c>
      <c r="AW20" s="14">
        <f t="shared" si="2"/>
        <v>6.2249999999999996</v>
      </c>
      <c r="AX20" s="1" t="str">
        <f t="shared" si="3"/>
        <v>Ling</v>
      </c>
      <c r="AY20" s="1"/>
      <c r="AZ20" t="s">
        <v>1321</v>
      </c>
      <c r="BA20" s="17"/>
    </row>
    <row r="21" spans="1:53" x14ac:dyDescent="0.25">
      <c r="A21" s="10" t="s">
        <v>481</v>
      </c>
      <c r="B21" s="8" t="s">
        <v>878</v>
      </c>
      <c r="C21" s="8" t="s">
        <v>884</v>
      </c>
      <c r="D21" s="1" t="s">
        <v>1102</v>
      </c>
      <c r="E21" s="8" t="s">
        <v>894</v>
      </c>
      <c r="F21" s="8" t="s">
        <v>482</v>
      </c>
      <c r="G21" s="8">
        <v>5000</v>
      </c>
      <c r="H21" s="8" t="s">
        <v>1134</v>
      </c>
      <c r="I21" s="8" t="s">
        <v>1135</v>
      </c>
      <c r="J21" s="8">
        <v>30</v>
      </c>
      <c r="K21" s="8">
        <v>12</v>
      </c>
      <c r="L21" s="8" t="s">
        <v>1259</v>
      </c>
      <c r="M21" s="8" t="s">
        <v>695</v>
      </c>
      <c r="N21" s="1"/>
      <c r="O21" s="8" t="s">
        <v>915</v>
      </c>
      <c r="P21" s="1">
        <v>3.5999999999999999E-3</v>
      </c>
      <c r="Q21" s="14">
        <v>18</v>
      </c>
      <c r="R21" s="8" t="s">
        <v>1308</v>
      </c>
      <c r="S21" s="15">
        <v>49000</v>
      </c>
      <c r="T21" s="15" t="b">
        <f t="shared" si="0"/>
        <v>1</v>
      </c>
      <c r="U21" s="1">
        <f>0.0007*1.5</f>
        <v>1.0499999999999999E-3</v>
      </c>
      <c r="V21" s="1">
        <f>U21*G21</f>
        <v>5.25</v>
      </c>
      <c r="W21" s="1" t="s">
        <v>511</v>
      </c>
      <c r="X21" s="1">
        <v>18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15000</v>
      </c>
      <c r="AL21" s="1">
        <v>25000</v>
      </c>
      <c r="AM21" s="1">
        <v>2.9020000000000001E-3</v>
      </c>
      <c r="AN21" s="1">
        <f t="shared" si="4"/>
        <v>72.55</v>
      </c>
      <c r="AO21" s="1"/>
      <c r="AP21" s="1"/>
      <c r="AQ21" s="1"/>
      <c r="AR21" s="1"/>
      <c r="AS21" s="1"/>
      <c r="AT21" s="1"/>
      <c r="AU21" s="1"/>
      <c r="AV21" s="1"/>
      <c r="AW21" s="14">
        <f t="shared" si="2"/>
        <v>5.25</v>
      </c>
      <c r="AX21" s="1" t="str">
        <f t="shared" si="3"/>
        <v>LCSC</v>
      </c>
      <c r="AY21" s="1"/>
      <c r="AZ21" t="s">
        <v>1319</v>
      </c>
    </row>
    <row r="22" spans="1:53" x14ac:dyDescent="0.25">
      <c r="A22" s="10" t="s">
        <v>466</v>
      </c>
      <c r="B22" s="8" t="s">
        <v>877</v>
      </c>
      <c r="C22" s="8" t="s">
        <v>884</v>
      </c>
      <c r="D22" s="1" t="s">
        <v>1104</v>
      </c>
      <c r="E22" s="8" t="s">
        <v>888</v>
      </c>
      <c r="F22" s="8" t="s">
        <v>467</v>
      </c>
      <c r="G22" s="8">
        <v>4000</v>
      </c>
      <c r="H22" s="8" t="s">
        <v>1152</v>
      </c>
      <c r="I22" s="8" t="s">
        <v>159</v>
      </c>
      <c r="J22" s="8">
        <v>30</v>
      </c>
      <c r="K22" s="8">
        <v>13</v>
      </c>
      <c r="L22" s="8" t="s">
        <v>1226</v>
      </c>
      <c r="M22" s="8" t="s">
        <v>695</v>
      </c>
      <c r="N22" s="1"/>
      <c r="O22" s="8" t="s">
        <v>1002</v>
      </c>
      <c r="P22" s="1">
        <v>0.20399999999999999</v>
      </c>
      <c r="Q22" s="14">
        <v>816</v>
      </c>
      <c r="R22" s="8" t="s">
        <v>1304</v>
      </c>
      <c r="S22" s="15">
        <v>90000</v>
      </c>
      <c r="T22" s="15" t="b">
        <f t="shared" si="0"/>
        <v>1</v>
      </c>
      <c r="U22" s="1">
        <f>0.0095*1.5</f>
        <v>1.4249999999999999E-2</v>
      </c>
      <c r="V22" s="1">
        <f>U22*G22</f>
        <v>56.999999999999993</v>
      </c>
      <c r="W22" s="1" t="s">
        <v>696</v>
      </c>
      <c r="X22" s="1">
        <v>285.00000000000006</v>
      </c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4">
        <f t="shared" si="2"/>
        <v>56.999999999999993</v>
      </c>
      <c r="AX22" s="1" t="str">
        <f t="shared" si="3"/>
        <v>LCSC</v>
      </c>
      <c r="AY22" s="1"/>
      <c r="AZ22" t="s">
        <v>1319</v>
      </c>
    </row>
    <row r="23" spans="1:53" x14ac:dyDescent="0.25">
      <c r="A23" s="10" t="s">
        <v>479</v>
      </c>
      <c r="B23" s="8" t="s">
        <v>848</v>
      </c>
      <c r="C23" s="8" t="s">
        <v>884</v>
      </c>
      <c r="D23" s="1" t="s">
        <v>1103</v>
      </c>
      <c r="E23" s="8" t="s">
        <v>889</v>
      </c>
      <c r="F23" s="8" t="s">
        <v>480</v>
      </c>
      <c r="G23" s="8">
        <v>4000</v>
      </c>
      <c r="H23" s="8" t="s">
        <v>1147</v>
      </c>
      <c r="I23" s="8" t="s">
        <v>132</v>
      </c>
      <c r="J23" s="8">
        <v>203</v>
      </c>
      <c r="K23" s="8">
        <v>12</v>
      </c>
      <c r="L23" s="8" t="s">
        <v>1231</v>
      </c>
      <c r="M23" s="8" t="s">
        <v>695</v>
      </c>
      <c r="N23" s="1"/>
      <c r="O23" s="8" t="s">
        <v>992</v>
      </c>
      <c r="P23" s="1">
        <v>5.8999999999999997E-2</v>
      </c>
      <c r="Q23" s="14">
        <v>236</v>
      </c>
      <c r="R23" s="8" t="s">
        <v>1303</v>
      </c>
      <c r="S23" s="15">
        <v>6400</v>
      </c>
      <c r="T23" s="15" t="b">
        <f t="shared" si="0"/>
        <v>1</v>
      </c>
      <c r="U23" s="1">
        <f>0.0082*1.5</f>
        <v>1.2300000000000002E-2</v>
      </c>
      <c r="V23" s="1">
        <f>U23*G23</f>
        <v>49.20000000000001</v>
      </c>
      <c r="W23" s="1" t="s">
        <v>696</v>
      </c>
      <c r="X23" s="1">
        <v>198.6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4">
        <f t="shared" si="2"/>
        <v>49.20000000000001</v>
      </c>
      <c r="AX23" s="1" t="str">
        <f t="shared" si="3"/>
        <v>LCSC</v>
      </c>
      <c r="AY23" s="1"/>
      <c r="AZ23" t="s">
        <v>1319</v>
      </c>
    </row>
    <row r="24" spans="1:53" x14ac:dyDescent="0.25">
      <c r="A24" s="10" t="s">
        <v>302</v>
      </c>
      <c r="B24" s="8" t="s">
        <v>826</v>
      </c>
      <c r="C24" s="8" t="s">
        <v>884</v>
      </c>
      <c r="D24" s="1" t="s">
        <v>1105</v>
      </c>
      <c r="E24" s="8" t="s">
        <v>886</v>
      </c>
      <c r="F24" s="8" t="s">
        <v>303</v>
      </c>
      <c r="G24" s="8">
        <v>4000</v>
      </c>
      <c r="H24" s="8" t="s">
        <v>1188</v>
      </c>
      <c r="I24" s="8" t="s">
        <v>106</v>
      </c>
      <c r="J24" s="8">
        <v>407</v>
      </c>
      <c r="K24" s="8">
        <v>13</v>
      </c>
      <c r="L24" s="8" t="s">
        <v>1239</v>
      </c>
      <c r="M24" s="8" t="s">
        <v>695</v>
      </c>
      <c r="N24" s="1"/>
      <c r="O24" s="8" t="s">
        <v>1080</v>
      </c>
      <c r="P24" s="1">
        <v>5.8999999999999997E-2</v>
      </c>
      <c r="Q24" s="14">
        <v>236</v>
      </c>
      <c r="R24" s="8" t="s">
        <v>1305</v>
      </c>
      <c r="S24" s="15">
        <v>10000</v>
      </c>
      <c r="T24" s="15" t="b">
        <f t="shared" si="0"/>
        <v>1</v>
      </c>
      <c r="U24" s="1">
        <f>0.0104*1.5</f>
        <v>1.5599999999999999E-2</v>
      </c>
      <c r="V24" s="1">
        <f>U24*G24</f>
        <v>62.4</v>
      </c>
      <c r="W24" s="1" t="s">
        <v>696</v>
      </c>
      <c r="X24" s="1">
        <v>110.39999999999999</v>
      </c>
      <c r="Y24" s="1"/>
      <c r="Z24" s="1"/>
      <c r="AA24" s="1"/>
      <c r="AB24" s="1">
        <v>4000</v>
      </c>
      <c r="AC24" s="1">
        <v>4.4999999999999998E-2</v>
      </c>
      <c r="AD24" s="1">
        <f>AC24*G24</f>
        <v>180</v>
      </c>
      <c r="AE24" s="1">
        <v>2.6040000000000001E-2</v>
      </c>
      <c r="AF24" s="1">
        <f>AE24*G24</f>
        <v>104.16</v>
      </c>
      <c r="AG24" s="1">
        <v>4000</v>
      </c>
      <c r="AH24" s="1">
        <v>4000</v>
      </c>
      <c r="AI24" s="1">
        <v>4.0799999999999996E-2</v>
      </c>
      <c r="AJ24" s="1">
        <f>AI24*AH24</f>
        <v>163.19999999999999</v>
      </c>
      <c r="AK24" s="1">
        <v>4000</v>
      </c>
      <c r="AL24" s="1">
        <v>4000</v>
      </c>
      <c r="AM24" s="1">
        <v>3.3003999999999999E-2</v>
      </c>
      <c r="AN24" s="1">
        <f>AM24*AL24</f>
        <v>132.01599999999999</v>
      </c>
      <c r="AO24" s="1"/>
      <c r="AP24" s="1"/>
      <c r="AQ24" s="1"/>
      <c r="AR24" s="1"/>
      <c r="AS24" s="1"/>
      <c r="AT24" s="1"/>
      <c r="AU24" s="1"/>
      <c r="AV24" s="1"/>
      <c r="AW24" s="14">
        <f t="shared" si="2"/>
        <v>62.4</v>
      </c>
      <c r="AX24" s="1" t="str">
        <f t="shared" si="3"/>
        <v>LCSC</v>
      </c>
      <c r="AY24" s="1"/>
      <c r="AZ24" t="s">
        <v>1319</v>
      </c>
      <c r="BA24" s="17"/>
    </row>
    <row r="25" spans="1:53" x14ac:dyDescent="0.25">
      <c r="A25" s="10" t="s">
        <v>275</v>
      </c>
      <c r="B25" s="8" t="s">
        <v>815</v>
      </c>
      <c r="C25" s="8" t="s">
        <v>884</v>
      </c>
      <c r="D25" s="1" t="s">
        <v>1105</v>
      </c>
      <c r="E25" s="8" t="s">
        <v>886</v>
      </c>
      <c r="F25" s="8" t="s">
        <v>276</v>
      </c>
      <c r="G25" s="8">
        <v>4000</v>
      </c>
      <c r="H25" s="8" t="s">
        <v>1185</v>
      </c>
      <c r="I25" s="8" t="s">
        <v>106</v>
      </c>
      <c r="J25" s="8">
        <v>470</v>
      </c>
      <c r="K25" s="8">
        <v>20</v>
      </c>
      <c r="L25" s="8" t="s">
        <v>1240</v>
      </c>
      <c r="M25" s="8" t="s">
        <v>695</v>
      </c>
      <c r="N25" s="1"/>
      <c r="O25" s="8" t="s">
        <v>1079</v>
      </c>
      <c r="P25" s="1">
        <v>8.4000000000000005E-2</v>
      </c>
      <c r="Q25" s="14">
        <v>336</v>
      </c>
      <c r="R25" s="8" t="s">
        <v>1307</v>
      </c>
      <c r="S25" s="15">
        <v>5000</v>
      </c>
      <c r="T25" s="15" t="b">
        <f t="shared" si="0"/>
        <v>1</v>
      </c>
      <c r="U25" s="1">
        <f>0.0654*1.5</f>
        <v>9.8099999999999993E-2</v>
      </c>
      <c r="V25" s="1">
        <f>U25*3000</f>
        <v>294.29999999999995</v>
      </c>
      <c r="W25" s="1" t="s">
        <v>696</v>
      </c>
      <c r="X25" s="1">
        <v>107.39999999999999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4">
        <f t="shared" si="2"/>
        <v>294.29999999999995</v>
      </c>
      <c r="AX25" s="1" t="str">
        <f t="shared" si="3"/>
        <v>LCSC</v>
      </c>
      <c r="AY25" s="1"/>
      <c r="AZ25" t="s">
        <v>1319</v>
      </c>
    </row>
    <row r="26" spans="1:53" x14ac:dyDescent="0.25">
      <c r="A26" s="10" t="s">
        <v>298</v>
      </c>
      <c r="B26" s="8" t="s">
        <v>832</v>
      </c>
      <c r="C26" s="8" t="s">
        <v>884</v>
      </c>
      <c r="D26" s="1" t="s">
        <v>1105</v>
      </c>
      <c r="E26" s="8" t="s">
        <v>899</v>
      </c>
      <c r="F26" s="8" t="s">
        <v>299</v>
      </c>
      <c r="G26" s="8">
        <v>1000</v>
      </c>
      <c r="H26" s="8" t="s">
        <v>1196</v>
      </c>
      <c r="I26" s="8" t="s">
        <v>1197</v>
      </c>
      <c r="J26" s="8">
        <v>334</v>
      </c>
      <c r="K26" s="8">
        <v>14</v>
      </c>
      <c r="L26" s="8" t="s">
        <v>1241</v>
      </c>
      <c r="M26" s="8" t="s">
        <v>695</v>
      </c>
      <c r="N26" s="5"/>
      <c r="O26" s="8" t="s">
        <v>1089</v>
      </c>
      <c r="P26" s="1">
        <v>2.3039999999999998</v>
      </c>
      <c r="Q26" s="14">
        <v>2304</v>
      </c>
      <c r="R26" s="8" t="s">
        <v>1317</v>
      </c>
      <c r="S26" s="15">
        <v>2880</v>
      </c>
      <c r="T26" s="15" t="b">
        <f t="shared" si="0"/>
        <v>1</v>
      </c>
      <c r="U26" s="1">
        <v>8.0399999999999999E-2</v>
      </c>
      <c r="V26" s="1">
        <v>80.400000000000006</v>
      </c>
      <c r="W26" s="1" t="s">
        <v>696</v>
      </c>
      <c r="X26" s="1">
        <v>80.400000000000006</v>
      </c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4">
        <f t="shared" si="2"/>
        <v>80.400000000000006</v>
      </c>
      <c r="AX26" s="1" t="str">
        <f t="shared" si="3"/>
        <v>LCSC</v>
      </c>
      <c r="AY26" s="1"/>
      <c r="AZ26" t="s">
        <v>1319</v>
      </c>
    </row>
    <row r="27" spans="1:53" x14ac:dyDescent="0.25">
      <c r="A27" s="10" t="s">
        <v>294</v>
      </c>
      <c r="B27" s="8" t="s">
        <v>835</v>
      </c>
      <c r="C27" s="8" t="s">
        <v>884</v>
      </c>
      <c r="D27" s="1" t="s">
        <v>1105</v>
      </c>
      <c r="E27" s="8" t="s">
        <v>886</v>
      </c>
      <c r="F27" s="8" t="s">
        <v>295</v>
      </c>
      <c r="G27" s="8">
        <v>3000</v>
      </c>
      <c r="H27" s="8" t="s">
        <v>1189</v>
      </c>
      <c r="I27" s="8" t="s">
        <v>106</v>
      </c>
      <c r="J27" s="8">
        <v>317</v>
      </c>
      <c r="K27" s="8">
        <v>15</v>
      </c>
      <c r="L27" s="8" t="s">
        <v>1244</v>
      </c>
      <c r="M27" s="8" t="s">
        <v>695</v>
      </c>
      <c r="N27" s="1"/>
      <c r="O27" s="8" t="s">
        <v>1081</v>
      </c>
      <c r="P27" s="1">
        <v>0.06</v>
      </c>
      <c r="Q27" s="14">
        <v>180</v>
      </c>
      <c r="R27" s="8" t="s">
        <v>538</v>
      </c>
      <c r="S27" s="15">
        <v>4060</v>
      </c>
      <c r="T27" s="15" t="b">
        <f t="shared" si="0"/>
        <v>1</v>
      </c>
      <c r="U27" s="1">
        <v>2.4899999999999999E-2</v>
      </c>
      <c r="V27" s="1">
        <v>74.699999999999989</v>
      </c>
      <c r="W27" s="1" t="s">
        <v>696</v>
      </c>
      <c r="X27" s="1">
        <v>74.699999999999989</v>
      </c>
      <c r="Y27" s="1"/>
      <c r="Z27" s="1"/>
      <c r="AA27" s="1"/>
      <c r="AB27" s="1">
        <v>27000</v>
      </c>
      <c r="AC27" s="1">
        <v>0.05</v>
      </c>
      <c r="AD27" s="1">
        <f>AC27*G27</f>
        <v>150</v>
      </c>
      <c r="AE27" s="1">
        <v>1.9529999999999999E-2</v>
      </c>
      <c r="AF27" s="1"/>
      <c r="AG27" s="1">
        <v>18000</v>
      </c>
      <c r="AH27" s="1">
        <v>3000</v>
      </c>
      <c r="AI27" s="1">
        <v>4.4400000000000002E-2</v>
      </c>
      <c r="AJ27" s="1">
        <f>AI27*AH27</f>
        <v>133.20000000000002</v>
      </c>
      <c r="AK27" s="1">
        <v>1203000</v>
      </c>
      <c r="AL27" s="1">
        <v>3000</v>
      </c>
      <c r="AM27" s="1">
        <v>3.8837000000000003E-2</v>
      </c>
      <c r="AN27" s="1">
        <f>AM27*AL27</f>
        <v>116.51100000000001</v>
      </c>
      <c r="AO27" s="1"/>
      <c r="AP27" s="1"/>
      <c r="AQ27" s="1"/>
      <c r="AR27" s="1"/>
      <c r="AS27" s="1"/>
      <c r="AT27" s="1"/>
      <c r="AU27" s="1"/>
      <c r="AV27" s="1"/>
      <c r="AW27" s="14">
        <f t="shared" si="2"/>
        <v>74.699999999999989</v>
      </c>
      <c r="AX27" s="1" t="str">
        <f t="shared" si="3"/>
        <v>LCSC</v>
      </c>
      <c r="AY27" s="1"/>
      <c r="AZ27" t="s">
        <v>1319</v>
      </c>
      <c r="BA27" s="17"/>
    </row>
    <row r="28" spans="1:53" x14ac:dyDescent="0.25">
      <c r="A28" s="10" t="s">
        <v>458</v>
      </c>
      <c r="B28" s="8" t="s">
        <v>754</v>
      </c>
      <c r="C28" s="8" t="s">
        <v>884</v>
      </c>
      <c r="D28" s="1" t="s">
        <v>1102</v>
      </c>
      <c r="E28" s="8" t="s">
        <v>893</v>
      </c>
      <c r="F28" s="8" t="s">
        <v>459</v>
      </c>
      <c r="G28" s="8">
        <v>5000</v>
      </c>
      <c r="H28" s="8" t="s">
        <v>1142</v>
      </c>
      <c r="I28" s="8" t="s">
        <v>106</v>
      </c>
      <c r="J28" s="8">
        <v>1787</v>
      </c>
      <c r="K28" s="8">
        <v>15</v>
      </c>
      <c r="L28" s="8" t="s">
        <v>1245</v>
      </c>
      <c r="M28" s="8" t="s">
        <v>695</v>
      </c>
      <c r="N28" s="1"/>
      <c r="O28" s="8" t="s">
        <v>981</v>
      </c>
      <c r="P28" s="1">
        <v>6.3E-2</v>
      </c>
      <c r="Q28" s="14">
        <v>315</v>
      </c>
      <c r="R28" s="8" t="s">
        <v>1311</v>
      </c>
      <c r="S28" s="15">
        <v>10000</v>
      </c>
      <c r="T28" s="15" t="b">
        <f t="shared" si="0"/>
        <v>1</v>
      </c>
      <c r="U28" s="1">
        <v>1.4850000000000002E-2</v>
      </c>
      <c r="V28" s="1">
        <v>74.250000000000014</v>
      </c>
      <c r="W28" s="1" t="s">
        <v>696</v>
      </c>
      <c r="X28" s="1">
        <v>74.250000000000014</v>
      </c>
      <c r="Y28" s="1"/>
      <c r="Z28" s="1"/>
      <c r="AA28" s="1"/>
      <c r="AB28" s="1">
        <v>40000</v>
      </c>
      <c r="AC28" s="1">
        <v>0.02</v>
      </c>
      <c r="AD28" s="1">
        <f>AC28*G28</f>
        <v>100</v>
      </c>
      <c r="AE28" s="1">
        <v>1.5705E-2</v>
      </c>
      <c r="AF28" s="1">
        <f>AE28*G28</f>
        <v>78.525000000000006</v>
      </c>
      <c r="AG28" s="1">
        <v>70000</v>
      </c>
      <c r="AH28" s="1">
        <v>5000</v>
      </c>
      <c r="AI28" s="1">
        <v>3.2399999999999998E-2</v>
      </c>
      <c r="AJ28" s="1">
        <f>AI28*AH28</f>
        <v>162</v>
      </c>
      <c r="AK28" s="1">
        <v>220000</v>
      </c>
      <c r="AL28" s="1">
        <v>5000</v>
      </c>
      <c r="AM28" s="1">
        <v>2.3615000000000001E-2</v>
      </c>
      <c r="AN28" s="1">
        <f>AM28*AL28</f>
        <v>118.075</v>
      </c>
      <c r="AO28" s="1"/>
      <c r="AP28" s="1"/>
      <c r="AQ28" s="1"/>
      <c r="AR28" s="1"/>
      <c r="AS28" s="1">
        <v>5000</v>
      </c>
      <c r="AT28" s="1">
        <v>5000</v>
      </c>
      <c r="AU28" s="1">
        <v>2.7374999999999997E-2</v>
      </c>
      <c r="AV28" s="1">
        <f>AU28*AT28</f>
        <v>136.87499999999997</v>
      </c>
      <c r="AW28" s="14">
        <f t="shared" si="2"/>
        <v>74.250000000000014</v>
      </c>
      <c r="AX28" s="1" t="str">
        <f t="shared" si="3"/>
        <v>LCSC</v>
      </c>
      <c r="AY28" s="1"/>
      <c r="AZ28" t="s">
        <v>1319</v>
      </c>
      <c r="BA28" s="17"/>
    </row>
    <row r="29" spans="1:53" x14ac:dyDescent="0.25">
      <c r="A29" s="10" t="s">
        <v>443</v>
      </c>
      <c r="B29" s="8" t="s">
        <v>859</v>
      </c>
      <c r="C29" s="8" t="s">
        <v>884</v>
      </c>
      <c r="D29" s="1" t="s">
        <v>1103</v>
      </c>
      <c r="E29" s="8" t="s">
        <v>889</v>
      </c>
      <c r="F29" s="8" t="s">
        <v>444</v>
      </c>
      <c r="G29" s="8">
        <v>4000</v>
      </c>
      <c r="H29" s="8" t="s">
        <v>1148</v>
      </c>
      <c r="I29" s="8" t="s">
        <v>106</v>
      </c>
      <c r="J29" s="8">
        <v>153</v>
      </c>
      <c r="K29" s="8">
        <v>16</v>
      </c>
      <c r="L29" s="8" t="s">
        <v>1247</v>
      </c>
      <c r="M29" s="8" t="s">
        <v>695</v>
      </c>
      <c r="N29" s="1"/>
      <c r="O29" s="8" t="s">
        <v>994</v>
      </c>
      <c r="P29" s="1">
        <v>2.9000000000000001E-2</v>
      </c>
      <c r="Q29" s="14">
        <v>116</v>
      </c>
      <c r="R29" s="8" t="s">
        <v>1306</v>
      </c>
      <c r="S29" s="15">
        <v>14000</v>
      </c>
      <c r="T29" s="15" t="b">
        <f t="shared" si="0"/>
        <v>1</v>
      </c>
      <c r="U29" s="1">
        <f>0.0079*1.5</f>
        <v>1.1850000000000001E-2</v>
      </c>
      <c r="V29" s="1">
        <f>U29*G29</f>
        <v>47.400000000000006</v>
      </c>
      <c r="W29" s="1" t="s">
        <v>696</v>
      </c>
      <c r="X29" s="1">
        <v>62.4</v>
      </c>
      <c r="Y29" s="1"/>
      <c r="Z29" s="1"/>
      <c r="AA29" s="1"/>
      <c r="AB29" s="1">
        <v>4000</v>
      </c>
      <c r="AC29" s="1">
        <v>2.5000000000000001E-2</v>
      </c>
      <c r="AD29" s="1">
        <f>AC29*G29</f>
        <v>100</v>
      </c>
      <c r="AE29" s="1">
        <v>1.6289999999999999E-2</v>
      </c>
      <c r="AF29" s="1">
        <f>AE29*G29</f>
        <v>65.16</v>
      </c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4">
        <f t="shared" si="2"/>
        <v>47.400000000000006</v>
      </c>
      <c r="AX29" s="1" t="str">
        <f t="shared" si="3"/>
        <v>LCSC</v>
      </c>
      <c r="AY29" s="1"/>
      <c r="AZ29" t="s">
        <v>1319</v>
      </c>
      <c r="BA29" s="17"/>
    </row>
    <row r="30" spans="1:53" x14ac:dyDescent="0.25">
      <c r="A30" s="10" t="s">
        <v>288</v>
      </c>
      <c r="B30" s="8" t="s">
        <v>867</v>
      </c>
      <c r="C30" s="8" t="s">
        <v>884</v>
      </c>
      <c r="D30" s="1" t="s">
        <v>1102</v>
      </c>
      <c r="E30" s="8" t="s">
        <v>892</v>
      </c>
      <c r="F30" s="8" t="s">
        <v>289</v>
      </c>
      <c r="G30" s="8">
        <v>4000</v>
      </c>
      <c r="H30" s="8" t="s">
        <v>1182</v>
      </c>
      <c r="I30" s="8" t="s">
        <v>106</v>
      </c>
      <c r="J30" s="8">
        <v>90</v>
      </c>
      <c r="K30" s="8">
        <v>15</v>
      </c>
      <c r="L30" s="8" t="s">
        <v>1250</v>
      </c>
      <c r="M30" s="8" t="s">
        <v>695</v>
      </c>
      <c r="N30" s="1"/>
      <c r="O30" s="8" t="s">
        <v>1067</v>
      </c>
      <c r="P30" s="1">
        <v>5.1999999999999998E-2</v>
      </c>
      <c r="Q30" s="14">
        <v>208</v>
      </c>
      <c r="R30" s="8" t="s">
        <v>535</v>
      </c>
      <c r="S30" s="15">
        <v>50</v>
      </c>
      <c r="T30" s="15" t="b">
        <f t="shared" si="0"/>
        <v>0</v>
      </c>
      <c r="U30" s="1">
        <v>1.14E-2</v>
      </c>
      <c r="V30" s="1">
        <v>45.6</v>
      </c>
      <c r="W30" s="1" t="s">
        <v>696</v>
      </c>
      <c r="X30" s="1">
        <v>45.6</v>
      </c>
      <c r="Y30" s="1"/>
      <c r="Z30" s="1"/>
      <c r="AA30" s="1"/>
      <c r="AB30" s="1"/>
      <c r="AC30" s="1"/>
      <c r="AD30" s="1"/>
      <c r="AE30" s="1">
        <v>1.0290000000000001E-2</v>
      </c>
      <c r="AF30" s="1">
        <f>AE30*G30</f>
        <v>41.160000000000004</v>
      </c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4">
        <f t="shared" si="2"/>
        <v>41.160000000000004</v>
      </c>
      <c r="AX30" s="1" t="str">
        <f t="shared" si="3"/>
        <v>Ling</v>
      </c>
      <c r="AY30" s="1"/>
      <c r="AZ30" t="s">
        <v>1321</v>
      </c>
    </row>
    <row r="31" spans="1:53" x14ac:dyDescent="0.25">
      <c r="A31" s="10" t="s">
        <v>460</v>
      </c>
      <c r="B31" s="8" t="s">
        <v>757</v>
      </c>
      <c r="C31" s="8" t="s">
        <v>884</v>
      </c>
      <c r="D31" s="1" t="s">
        <v>1103</v>
      </c>
      <c r="E31" s="8" t="s">
        <v>889</v>
      </c>
      <c r="F31" s="8" t="s">
        <v>461</v>
      </c>
      <c r="G31" s="8">
        <v>4000</v>
      </c>
      <c r="H31" s="8" t="s">
        <v>1144</v>
      </c>
      <c r="I31" s="8" t="s">
        <v>222</v>
      </c>
      <c r="J31" s="8">
        <v>1684</v>
      </c>
      <c r="K31" s="8">
        <v>14</v>
      </c>
      <c r="L31" s="8" t="s">
        <v>1252</v>
      </c>
      <c r="M31" s="8" t="s">
        <v>695</v>
      </c>
      <c r="N31" s="1"/>
      <c r="O31" s="8" t="s">
        <v>988</v>
      </c>
      <c r="P31" s="1">
        <v>5.6000000000000001E-2</v>
      </c>
      <c r="Q31" s="14">
        <v>224</v>
      </c>
      <c r="R31" s="8" t="s">
        <v>654</v>
      </c>
      <c r="S31" s="15">
        <v>4650</v>
      </c>
      <c r="T31" s="15" t="b">
        <f t="shared" si="0"/>
        <v>1</v>
      </c>
      <c r="U31" s="1">
        <v>9.4500000000000001E-3</v>
      </c>
      <c r="V31" s="1">
        <v>37.799999999999997</v>
      </c>
      <c r="W31" s="1" t="s">
        <v>696</v>
      </c>
      <c r="X31" s="1">
        <v>37.799999999999997</v>
      </c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4">
        <f t="shared" si="2"/>
        <v>37.799999999999997</v>
      </c>
      <c r="AX31" s="1" t="str">
        <f t="shared" si="3"/>
        <v>LCSC</v>
      </c>
      <c r="AY31" s="1"/>
      <c r="AZ31" t="s">
        <v>1319</v>
      </c>
    </row>
    <row r="32" spans="1:53" x14ac:dyDescent="0.25">
      <c r="A32" s="10" t="s">
        <v>285</v>
      </c>
      <c r="B32" s="8" t="s">
        <v>861</v>
      </c>
      <c r="C32" s="8" t="s">
        <v>884</v>
      </c>
      <c r="D32" s="1" t="s">
        <v>1102</v>
      </c>
      <c r="E32" s="8" t="s">
        <v>892</v>
      </c>
      <c r="F32" s="8" t="s">
        <v>286</v>
      </c>
      <c r="G32" s="8">
        <v>4000</v>
      </c>
      <c r="H32" s="8" t="s">
        <v>1177</v>
      </c>
      <c r="I32" s="8" t="s">
        <v>106</v>
      </c>
      <c r="J32" s="8">
        <v>142</v>
      </c>
      <c r="K32" s="8">
        <v>16</v>
      </c>
      <c r="L32" s="8" t="s">
        <v>1253</v>
      </c>
      <c r="M32" s="8" t="s">
        <v>695</v>
      </c>
      <c r="N32" s="1"/>
      <c r="O32" s="8" t="s">
        <v>1065</v>
      </c>
      <c r="P32" s="1">
        <v>0.03</v>
      </c>
      <c r="Q32" s="14">
        <v>120</v>
      </c>
      <c r="R32" s="8" t="s">
        <v>533</v>
      </c>
      <c r="S32" s="15">
        <v>13350</v>
      </c>
      <c r="T32" s="15" t="b">
        <f t="shared" si="0"/>
        <v>1</v>
      </c>
      <c r="U32" s="1">
        <v>8.8500000000000002E-3</v>
      </c>
      <c r="V32" s="1">
        <v>35.4</v>
      </c>
      <c r="W32" s="1" t="s">
        <v>696</v>
      </c>
      <c r="X32" s="1">
        <v>35.4</v>
      </c>
      <c r="Y32" s="1"/>
      <c r="Z32" s="1"/>
      <c r="AA32" s="1"/>
      <c r="AB32" s="1">
        <v>44000</v>
      </c>
      <c r="AC32" s="1">
        <v>1.7999999999999999E-2</v>
      </c>
      <c r="AD32" s="1">
        <f>AC32*G32</f>
        <v>72</v>
      </c>
      <c r="AE32" s="1">
        <v>5.5500000000000002E-3</v>
      </c>
      <c r="AF32" s="1"/>
      <c r="AG32" s="1">
        <v>56000</v>
      </c>
      <c r="AH32" s="1">
        <v>4000</v>
      </c>
      <c r="AI32" s="1">
        <v>1.7309999999999999E-2</v>
      </c>
      <c r="AJ32" s="1">
        <f>AI32*AH32</f>
        <v>69.239999999999995</v>
      </c>
      <c r="AK32" s="1">
        <v>68000</v>
      </c>
      <c r="AL32" s="1">
        <v>4000</v>
      </c>
      <c r="AM32" s="1">
        <v>1.3572000000000001E-2</v>
      </c>
      <c r="AN32" s="1">
        <f>AM32*AL32</f>
        <v>54.288000000000004</v>
      </c>
      <c r="AO32" s="1"/>
      <c r="AP32" s="1"/>
      <c r="AQ32" s="1"/>
      <c r="AR32" s="1"/>
      <c r="AS32" s="1"/>
      <c r="AT32" s="1"/>
      <c r="AU32" s="1"/>
      <c r="AV32" s="1"/>
      <c r="AW32" s="14">
        <f t="shared" si="2"/>
        <v>35.4</v>
      </c>
      <c r="AX32" s="1" t="str">
        <f t="shared" si="3"/>
        <v>LCSC</v>
      </c>
      <c r="AY32" s="1"/>
      <c r="AZ32" t="s">
        <v>1319</v>
      </c>
      <c r="BA32" s="17"/>
    </row>
    <row r="33" spans="1:53" x14ac:dyDescent="0.25">
      <c r="A33" s="10" t="s">
        <v>435</v>
      </c>
      <c r="B33" s="8" t="s">
        <v>775</v>
      </c>
      <c r="C33" s="8" t="s">
        <v>884</v>
      </c>
      <c r="D33" s="1" t="s">
        <v>1103</v>
      </c>
      <c r="E33" s="8" t="s">
        <v>889</v>
      </c>
      <c r="F33" s="8" t="s">
        <v>436</v>
      </c>
      <c r="G33" s="8">
        <v>4000</v>
      </c>
      <c r="H33" s="8" t="s">
        <v>1145</v>
      </c>
      <c r="I33" s="8" t="s">
        <v>1135</v>
      </c>
      <c r="J33" s="8">
        <v>1265</v>
      </c>
      <c r="K33" s="8">
        <v>19</v>
      </c>
      <c r="L33" s="8" t="s">
        <v>1254</v>
      </c>
      <c r="M33" s="8" t="s">
        <v>695</v>
      </c>
      <c r="N33" s="1"/>
      <c r="O33" s="8" t="s">
        <v>989</v>
      </c>
      <c r="P33" s="1">
        <v>4.3999999999999997E-2</v>
      </c>
      <c r="Q33" s="14">
        <v>176</v>
      </c>
      <c r="R33" s="8" t="s">
        <v>641</v>
      </c>
      <c r="S33" s="15">
        <v>20050</v>
      </c>
      <c r="T33" s="15" t="b">
        <f t="shared" si="0"/>
        <v>1</v>
      </c>
      <c r="U33" s="1">
        <v>8.0999999999999996E-3</v>
      </c>
      <c r="V33" s="1">
        <v>32.4</v>
      </c>
      <c r="W33" s="1" t="s">
        <v>696</v>
      </c>
      <c r="X33" s="1">
        <v>32.4</v>
      </c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4">
        <f t="shared" si="2"/>
        <v>32.4</v>
      </c>
      <c r="AX33" s="1" t="str">
        <f t="shared" si="3"/>
        <v>LCSC</v>
      </c>
      <c r="AY33" s="1"/>
      <c r="AZ33" t="s">
        <v>1319</v>
      </c>
    </row>
    <row r="34" spans="1:53" x14ac:dyDescent="0.25">
      <c r="A34" s="10" t="s">
        <v>337</v>
      </c>
      <c r="B34" s="8" t="s">
        <v>794</v>
      </c>
      <c r="C34" s="8" t="s">
        <v>884</v>
      </c>
      <c r="D34" s="1" t="s">
        <v>1103</v>
      </c>
      <c r="E34" s="8" t="s">
        <v>897</v>
      </c>
      <c r="F34" s="8" t="s">
        <v>338</v>
      </c>
      <c r="G34" s="8">
        <v>5000</v>
      </c>
      <c r="H34" s="8" t="s">
        <v>1155</v>
      </c>
      <c r="I34" s="8" t="s">
        <v>175</v>
      </c>
      <c r="J34" s="8">
        <v>758</v>
      </c>
      <c r="K34" s="8">
        <v>17</v>
      </c>
      <c r="L34" s="8" t="s">
        <v>1227</v>
      </c>
      <c r="M34" s="8" t="s">
        <v>695</v>
      </c>
      <c r="N34" s="1"/>
      <c r="O34" s="8" t="s">
        <v>1013</v>
      </c>
      <c r="P34" s="1">
        <v>0.104</v>
      </c>
      <c r="Q34" s="14">
        <v>520</v>
      </c>
      <c r="R34" s="8" t="s">
        <v>568</v>
      </c>
      <c r="S34" s="15">
        <v>14405</v>
      </c>
      <c r="T34" s="15" t="b">
        <f t="shared" si="0"/>
        <v>1</v>
      </c>
      <c r="U34" s="1">
        <v>5.5650000000000005E-2</v>
      </c>
      <c r="V34" s="1">
        <v>278.25</v>
      </c>
      <c r="W34" s="1" t="s">
        <v>696</v>
      </c>
      <c r="X34" s="1">
        <v>278.25</v>
      </c>
      <c r="Y34" s="1"/>
      <c r="Z34" s="1"/>
      <c r="AA34" s="1"/>
      <c r="AB34" s="1"/>
      <c r="AC34" s="1"/>
      <c r="AD34" s="1"/>
      <c r="AE34" s="1">
        <v>5.4164999999999991E-2</v>
      </c>
      <c r="AF34" s="1">
        <f t="shared" ref="AF34:AF44" si="5">AE34*G34</f>
        <v>270.82499999999993</v>
      </c>
      <c r="AG34" s="1"/>
      <c r="AH34" s="1"/>
      <c r="AI34" s="1"/>
      <c r="AJ34" s="1"/>
      <c r="AK34" s="1">
        <v>435000</v>
      </c>
      <c r="AL34" s="1">
        <v>5000</v>
      </c>
      <c r="AM34" s="1">
        <v>7.5255000000000002E-2</v>
      </c>
      <c r="AN34" s="1">
        <f>AM34*AL34</f>
        <v>376.27500000000003</v>
      </c>
      <c r="AO34" s="1"/>
      <c r="AP34" s="1"/>
      <c r="AQ34" s="1"/>
      <c r="AR34" s="1"/>
      <c r="AS34" s="1">
        <v>5000</v>
      </c>
      <c r="AT34" s="1">
        <v>5000</v>
      </c>
      <c r="AU34" s="1">
        <v>9.7470000000000001E-2</v>
      </c>
      <c r="AV34" s="1">
        <f>AU34*AT34</f>
        <v>487.35</v>
      </c>
      <c r="AW34" s="14">
        <f t="shared" si="2"/>
        <v>270.82499999999993</v>
      </c>
      <c r="AX34" s="1" t="str">
        <f t="shared" si="3"/>
        <v>Ling</v>
      </c>
      <c r="AY34" s="1"/>
      <c r="AZ34" t="s">
        <v>1321</v>
      </c>
    </row>
    <row r="35" spans="1:53" x14ac:dyDescent="0.25">
      <c r="A35" s="10" t="s">
        <v>454</v>
      </c>
      <c r="B35" s="8" t="s">
        <v>838</v>
      </c>
      <c r="C35" s="8" t="s">
        <v>884</v>
      </c>
      <c r="D35" s="1" t="s">
        <v>1104</v>
      </c>
      <c r="E35" s="8" t="s">
        <v>888</v>
      </c>
      <c r="F35" s="8" t="s">
        <v>455</v>
      </c>
      <c r="G35" s="8">
        <v>4000</v>
      </c>
      <c r="H35" s="8" t="s">
        <v>1150</v>
      </c>
      <c r="I35" s="8" t="s">
        <v>106</v>
      </c>
      <c r="J35" s="8">
        <v>288</v>
      </c>
      <c r="K35" s="8">
        <v>16</v>
      </c>
      <c r="L35" s="8" t="s">
        <v>1230</v>
      </c>
      <c r="M35" s="8" t="s">
        <v>695</v>
      </c>
      <c r="N35" s="1"/>
      <c r="O35" s="8" t="s">
        <v>1000</v>
      </c>
      <c r="P35" s="1">
        <v>5.2999999999999999E-2</v>
      </c>
      <c r="Q35" s="14">
        <v>212</v>
      </c>
      <c r="R35" s="8" t="s">
        <v>651</v>
      </c>
      <c r="S35" s="15">
        <v>1550</v>
      </c>
      <c r="T35" s="15" t="b">
        <f t="shared" si="0"/>
        <v>0</v>
      </c>
      <c r="U35" s="1">
        <v>6.2850000000000003E-2</v>
      </c>
      <c r="V35" s="1">
        <v>251.4</v>
      </c>
      <c r="W35" s="1" t="s">
        <v>511</v>
      </c>
      <c r="X35" s="1">
        <v>212</v>
      </c>
      <c r="Y35" s="1"/>
      <c r="Z35" s="1"/>
      <c r="AA35" s="1"/>
      <c r="AB35" s="1">
        <v>12000</v>
      </c>
      <c r="AC35" s="1">
        <v>0.04</v>
      </c>
      <c r="AD35" s="1">
        <f>AC35*G35</f>
        <v>160</v>
      </c>
      <c r="AE35" s="1">
        <v>3.0464999999999999E-2</v>
      </c>
      <c r="AF35" s="1">
        <f t="shared" si="5"/>
        <v>121.86</v>
      </c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4">
        <f t="shared" si="2"/>
        <v>121.86</v>
      </c>
      <c r="AX35" s="1" t="str">
        <f t="shared" si="3"/>
        <v>Ling</v>
      </c>
      <c r="AY35" s="1"/>
      <c r="AZ35" t="s">
        <v>1321</v>
      </c>
      <c r="BA35" s="17"/>
    </row>
    <row r="36" spans="1:53" x14ac:dyDescent="0.25">
      <c r="A36" s="10" t="s">
        <v>437</v>
      </c>
      <c r="B36" s="8" t="s">
        <v>825</v>
      </c>
      <c r="C36" s="8" t="s">
        <v>884</v>
      </c>
      <c r="D36" s="1" t="s">
        <v>1103</v>
      </c>
      <c r="E36" s="8" t="s">
        <v>889</v>
      </c>
      <c r="F36" s="8" t="s">
        <v>438</v>
      </c>
      <c r="G36" s="8">
        <v>4000</v>
      </c>
      <c r="H36" s="8" t="s">
        <v>1146</v>
      </c>
      <c r="I36" s="8" t="s">
        <v>106</v>
      </c>
      <c r="J36" s="8">
        <v>417</v>
      </c>
      <c r="K36" s="8">
        <v>18</v>
      </c>
      <c r="L36" s="8" t="s">
        <v>1234</v>
      </c>
      <c r="M36" s="8" t="s">
        <v>695</v>
      </c>
      <c r="N36" s="1"/>
      <c r="O36" s="8" t="s">
        <v>991</v>
      </c>
      <c r="P36" s="1">
        <v>3.1E-2</v>
      </c>
      <c r="Q36" s="14">
        <v>124</v>
      </c>
      <c r="R36" s="8" t="s">
        <v>642</v>
      </c>
      <c r="S36" s="15">
        <v>132000</v>
      </c>
      <c r="T36" s="15" t="b">
        <f t="shared" si="0"/>
        <v>1</v>
      </c>
      <c r="U36" s="1">
        <v>3.2250000000000001E-2</v>
      </c>
      <c r="V36" s="1">
        <v>129</v>
      </c>
      <c r="W36" s="1" t="s">
        <v>511</v>
      </c>
      <c r="X36" s="1">
        <v>124</v>
      </c>
      <c r="Y36" s="1"/>
      <c r="Z36" s="1"/>
      <c r="AA36" s="1"/>
      <c r="AB36" s="1">
        <v>4000</v>
      </c>
      <c r="AC36" s="1">
        <v>1.6E-2</v>
      </c>
      <c r="AD36" s="1">
        <f>AC36*G36</f>
        <v>64</v>
      </c>
      <c r="AE36" s="1">
        <v>1.5674999999999998E-2</v>
      </c>
      <c r="AF36" s="1">
        <f t="shared" si="5"/>
        <v>62.699999999999989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4">
        <f t="shared" si="2"/>
        <v>62.699999999999989</v>
      </c>
      <c r="AX36" s="1" t="str">
        <f t="shared" si="3"/>
        <v>Ling</v>
      </c>
      <c r="AY36" s="1"/>
      <c r="AZ36" t="s">
        <v>1321</v>
      </c>
      <c r="BA36" s="17"/>
    </row>
    <row r="37" spans="1:53" x14ac:dyDescent="0.25">
      <c r="A37" s="10" t="s">
        <v>412</v>
      </c>
      <c r="B37" s="8" t="s">
        <v>774</v>
      </c>
      <c r="C37" s="8" t="s">
        <v>884</v>
      </c>
      <c r="D37" s="1" t="s">
        <v>1104</v>
      </c>
      <c r="E37" s="8" t="s">
        <v>888</v>
      </c>
      <c r="F37" s="8" t="s">
        <v>413</v>
      </c>
      <c r="G37" s="8">
        <v>4000</v>
      </c>
      <c r="H37" s="8" t="s">
        <v>1149</v>
      </c>
      <c r="I37" s="8" t="s">
        <v>106</v>
      </c>
      <c r="J37" s="8">
        <v>1283</v>
      </c>
      <c r="K37" s="8">
        <v>39</v>
      </c>
      <c r="L37" s="8" t="s">
        <v>1235</v>
      </c>
      <c r="M37" s="8" t="s">
        <v>695</v>
      </c>
      <c r="N37" s="1"/>
      <c r="O37" s="8" t="s">
        <v>998</v>
      </c>
      <c r="P37" s="1">
        <v>6.0999999999999999E-2</v>
      </c>
      <c r="Q37" s="14">
        <v>244</v>
      </c>
      <c r="R37" s="8" t="s">
        <v>629</v>
      </c>
      <c r="S37" s="15">
        <v>4000</v>
      </c>
      <c r="T37" s="15" t="b">
        <f t="shared" si="0"/>
        <v>1</v>
      </c>
      <c r="U37" s="1">
        <v>2.955E-2</v>
      </c>
      <c r="V37" s="1">
        <v>118.2</v>
      </c>
      <c r="W37" s="1" t="s">
        <v>696</v>
      </c>
      <c r="X37" s="1">
        <v>118.2</v>
      </c>
      <c r="Y37" s="1"/>
      <c r="Z37" s="1"/>
      <c r="AA37" s="1"/>
      <c r="AB37" s="1">
        <v>8000</v>
      </c>
      <c r="AC37" s="1">
        <v>0.03</v>
      </c>
      <c r="AD37" s="1">
        <f>AC37*G37</f>
        <v>120</v>
      </c>
      <c r="AE37" s="1">
        <v>2.6040000000000001E-2</v>
      </c>
      <c r="AF37" s="1">
        <f t="shared" si="5"/>
        <v>104.16</v>
      </c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4">
        <f t="shared" si="2"/>
        <v>104.16</v>
      </c>
      <c r="AX37" s="1" t="str">
        <f t="shared" si="3"/>
        <v>Ling</v>
      </c>
      <c r="AY37" s="1"/>
      <c r="AZ37" t="s">
        <v>1321</v>
      </c>
      <c r="BA37" s="17"/>
    </row>
    <row r="38" spans="1:53" x14ac:dyDescent="0.25">
      <c r="A38" s="10" t="s">
        <v>470</v>
      </c>
      <c r="B38" s="8" t="s">
        <v>847</v>
      </c>
      <c r="C38" s="8" t="s">
        <v>884</v>
      </c>
      <c r="D38" s="1" t="s">
        <v>1104</v>
      </c>
      <c r="E38" s="8" t="s">
        <v>888</v>
      </c>
      <c r="F38" s="8" t="s">
        <v>471</v>
      </c>
      <c r="G38" s="8">
        <v>4000</v>
      </c>
      <c r="H38" s="8" t="s">
        <v>1151</v>
      </c>
      <c r="I38" s="8" t="s">
        <v>106</v>
      </c>
      <c r="J38" s="8">
        <v>207</v>
      </c>
      <c r="K38" s="8">
        <v>13</v>
      </c>
      <c r="L38" s="8" t="s">
        <v>1236</v>
      </c>
      <c r="M38" s="8" t="s">
        <v>695</v>
      </c>
      <c r="N38" s="1"/>
      <c r="O38" s="8" t="s">
        <v>1001</v>
      </c>
      <c r="P38" s="1">
        <v>4.8000000000000001E-2</v>
      </c>
      <c r="Q38" s="14">
        <v>192</v>
      </c>
      <c r="R38" s="8" t="s">
        <v>659</v>
      </c>
      <c r="S38" s="15">
        <v>4320</v>
      </c>
      <c r="T38" s="15" t="b">
        <f t="shared" si="0"/>
        <v>1</v>
      </c>
      <c r="U38" s="1">
        <v>2.8200000000000003E-2</v>
      </c>
      <c r="V38" s="1">
        <v>112.80000000000001</v>
      </c>
      <c r="W38" s="1" t="s">
        <v>696</v>
      </c>
      <c r="X38" s="1">
        <v>112.80000000000001</v>
      </c>
      <c r="Y38" s="1"/>
      <c r="Z38" s="1"/>
      <c r="AA38" s="1"/>
      <c r="AB38" s="1">
        <v>24000</v>
      </c>
      <c r="AC38" s="1">
        <v>3.2000000000000001E-2</v>
      </c>
      <c r="AD38" s="1">
        <f>AC38*G38</f>
        <v>128</v>
      </c>
      <c r="AE38" s="1">
        <v>2.7224999999999999E-2</v>
      </c>
      <c r="AF38" s="1">
        <f t="shared" si="5"/>
        <v>108.89999999999999</v>
      </c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4">
        <f t="shared" si="2"/>
        <v>108.89999999999999</v>
      </c>
      <c r="AX38" s="1" t="str">
        <f t="shared" si="3"/>
        <v>Ling</v>
      </c>
      <c r="AY38" s="1"/>
      <c r="AZ38" t="s">
        <v>1321</v>
      </c>
      <c r="BA38" s="17"/>
    </row>
    <row r="39" spans="1:53" x14ac:dyDescent="0.25">
      <c r="A39" s="10" t="s">
        <v>341</v>
      </c>
      <c r="B39" s="8" t="s">
        <v>710</v>
      </c>
      <c r="C39" s="8" t="s">
        <v>884</v>
      </c>
      <c r="D39" s="1" t="s">
        <v>1105</v>
      </c>
      <c r="E39" s="8" t="s">
        <v>886</v>
      </c>
      <c r="F39" s="8" t="s">
        <v>342</v>
      </c>
      <c r="G39" s="8">
        <v>3000</v>
      </c>
      <c r="H39" s="8" t="s">
        <v>1153</v>
      </c>
      <c r="I39" s="8" t="s">
        <v>179</v>
      </c>
      <c r="J39" s="8">
        <v>10657</v>
      </c>
      <c r="K39" s="8">
        <v>13</v>
      </c>
      <c r="L39" s="8" t="s">
        <v>1237</v>
      </c>
      <c r="M39" s="8" t="s">
        <v>695</v>
      </c>
      <c r="N39" s="1"/>
      <c r="O39" s="8" t="s">
        <v>1006</v>
      </c>
      <c r="P39" s="1">
        <v>7.6999999999999999E-2</v>
      </c>
      <c r="Q39" s="14">
        <v>231</v>
      </c>
      <c r="R39" s="8" t="s">
        <v>570</v>
      </c>
      <c r="S39" s="15">
        <v>410</v>
      </c>
      <c r="T39" s="15" t="b">
        <f t="shared" si="0"/>
        <v>0</v>
      </c>
      <c r="U39" s="1">
        <v>3.7349999999999994E-2</v>
      </c>
      <c r="V39" s="1">
        <v>112.04999999999998</v>
      </c>
      <c r="W39" s="1" t="s">
        <v>696</v>
      </c>
      <c r="X39" s="1">
        <v>112.04999999999998</v>
      </c>
      <c r="Y39" s="1"/>
      <c r="Z39" s="1"/>
      <c r="AA39" s="1"/>
      <c r="AB39" s="1"/>
      <c r="AC39" s="1"/>
      <c r="AD39" s="1"/>
      <c r="AE39" s="1">
        <v>3.4500000000000003E-2</v>
      </c>
      <c r="AF39" s="1">
        <f t="shared" si="5"/>
        <v>103.50000000000001</v>
      </c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4">
        <f t="shared" si="2"/>
        <v>103.50000000000001</v>
      </c>
      <c r="AX39" s="1" t="str">
        <f t="shared" si="3"/>
        <v>Ling</v>
      </c>
      <c r="AY39" s="1"/>
      <c r="AZ39" t="s">
        <v>1321</v>
      </c>
    </row>
    <row r="40" spans="1:53" x14ac:dyDescent="0.25">
      <c r="A40" s="10" t="s">
        <v>343</v>
      </c>
      <c r="B40" s="8" t="s">
        <v>718</v>
      </c>
      <c r="C40" s="8" t="s">
        <v>884</v>
      </c>
      <c r="D40" s="1" t="s">
        <v>1105</v>
      </c>
      <c r="E40" s="8" t="s">
        <v>887</v>
      </c>
      <c r="F40" s="8" t="s">
        <v>344</v>
      </c>
      <c r="G40" s="8">
        <v>3000</v>
      </c>
      <c r="H40" s="8" t="s">
        <v>1156</v>
      </c>
      <c r="I40" s="8" t="s">
        <v>175</v>
      </c>
      <c r="J40" s="8">
        <v>8888</v>
      </c>
      <c r="K40" s="8">
        <v>13</v>
      </c>
      <c r="L40" s="8" t="s">
        <v>1242</v>
      </c>
      <c r="M40" s="8" t="s">
        <v>695</v>
      </c>
      <c r="N40" s="1"/>
      <c r="O40" s="8" t="s">
        <v>1017</v>
      </c>
      <c r="P40" s="1">
        <v>3.2000000000000001E-2</v>
      </c>
      <c r="Q40" s="14">
        <v>96</v>
      </c>
      <c r="R40" s="8" t="s">
        <v>571</v>
      </c>
      <c r="S40" s="15">
        <v>4560</v>
      </c>
      <c r="T40" s="15" t="b">
        <f t="shared" si="0"/>
        <v>1</v>
      </c>
      <c r="U40" s="1">
        <v>2.6250000000000002E-2</v>
      </c>
      <c r="V40" s="1">
        <v>78.750000000000014</v>
      </c>
      <c r="W40" s="1" t="s">
        <v>696</v>
      </c>
      <c r="X40" s="1">
        <v>78.750000000000014</v>
      </c>
      <c r="Y40" s="1"/>
      <c r="Z40" s="1"/>
      <c r="AA40" s="1"/>
      <c r="AB40" s="1"/>
      <c r="AC40" s="1"/>
      <c r="AD40" s="1"/>
      <c r="AE40" s="1">
        <v>2.1090000000000001E-2</v>
      </c>
      <c r="AF40" s="1">
        <f t="shared" si="5"/>
        <v>63.27</v>
      </c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>
        <v>26856</v>
      </c>
      <c r="AT40" s="1">
        <v>3000</v>
      </c>
      <c r="AU40" s="1">
        <v>2.2095E-2</v>
      </c>
      <c r="AV40" s="1">
        <f>AU40*AT40</f>
        <v>66.284999999999997</v>
      </c>
      <c r="AW40" s="14">
        <f t="shared" si="2"/>
        <v>63.27</v>
      </c>
      <c r="AX40" s="1" t="str">
        <f t="shared" si="3"/>
        <v>Ling</v>
      </c>
      <c r="AY40" s="1"/>
      <c r="AZ40" t="s">
        <v>1321</v>
      </c>
    </row>
    <row r="41" spans="1:53" x14ac:dyDescent="0.25">
      <c r="A41" s="10" t="s">
        <v>345</v>
      </c>
      <c r="B41" s="8" t="s">
        <v>876</v>
      </c>
      <c r="C41" s="8" t="s">
        <v>884</v>
      </c>
      <c r="D41" s="1" t="s">
        <v>1105</v>
      </c>
      <c r="E41" s="8" t="s">
        <v>903</v>
      </c>
      <c r="F41" s="8" t="s">
        <v>346</v>
      </c>
      <c r="G41" s="8">
        <v>3000</v>
      </c>
      <c r="H41" s="8" t="s">
        <v>1158</v>
      </c>
      <c r="I41" s="8" t="s">
        <v>183</v>
      </c>
      <c r="J41" s="8">
        <v>35</v>
      </c>
      <c r="K41" s="8">
        <v>12</v>
      </c>
      <c r="L41" s="8" t="s">
        <v>1246</v>
      </c>
      <c r="M41" s="8" t="s">
        <v>695</v>
      </c>
      <c r="N41" s="1"/>
      <c r="O41" s="8" t="s">
        <v>1025</v>
      </c>
      <c r="P41" s="1">
        <v>4.7E-2</v>
      </c>
      <c r="Q41" s="14">
        <v>141</v>
      </c>
      <c r="R41" s="8" t="s">
        <v>572</v>
      </c>
      <c r="S41" s="15">
        <v>3000</v>
      </c>
      <c r="T41" s="15" t="b">
        <f t="shared" si="0"/>
        <v>1</v>
      </c>
      <c r="U41" s="1">
        <v>2.445E-2</v>
      </c>
      <c r="V41" s="1">
        <v>73.349999999999994</v>
      </c>
      <c r="W41" s="1" t="s">
        <v>696</v>
      </c>
      <c r="X41" s="1">
        <v>73.349999999999994</v>
      </c>
      <c r="Y41" s="1"/>
      <c r="Z41" s="1"/>
      <c r="AA41" s="1"/>
      <c r="AB41" s="1"/>
      <c r="AC41" s="1"/>
      <c r="AD41" s="1"/>
      <c r="AE41" s="1">
        <v>2.1870000000000001E-2</v>
      </c>
      <c r="AF41" s="1">
        <f t="shared" si="5"/>
        <v>65.61</v>
      </c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4">
        <f t="shared" si="2"/>
        <v>65.61</v>
      </c>
      <c r="AX41" s="1" t="str">
        <f t="shared" si="3"/>
        <v>Ling</v>
      </c>
      <c r="AY41" s="1"/>
      <c r="AZ41" t="s">
        <v>1321</v>
      </c>
    </row>
    <row r="42" spans="1:53" x14ac:dyDescent="0.25">
      <c r="A42" s="10" t="s">
        <v>430</v>
      </c>
      <c r="B42" s="8" t="s">
        <v>872</v>
      </c>
      <c r="C42" s="8" t="s">
        <v>884</v>
      </c>
      <c r="D42" s="1" t="s">
        <v>1102</v>
      </c>
      <c r="E42" s="8" t="s">
        <v>893</v>
      </c>
      <c r="F42" s="8" t="s">
        <v>431</v>
      </c>
      <c r="G42" s="8">
        <v>5000</v>
      </c>
      <c r="H42" s="8" t="s">
        <v>1143</v>
      </c>
      <c r="I42" s="8" t="s">
        <v>106</v>
      </c>
      <c r="J42" s="8">
        <v>50</v>
      </c>
      <c r="K42" s="8">
        <v>19</v>
      </c>
      <c r="L42" s="8" t="s">
        <v>1248</v>
      </c>
      <c r="M42" s="8" t="s">
        <v>695</v>
      </c>
      <c r="N42" s="1"/>
      <c r="O42" s="8" t="s">
        <v>982</v>
      </c>
      <c r="P42" s="1">
        <v>0.03</v>
      </c>
      <c r="Q42" s="14">
        <v>150</v>
      </c>
      <c r="R42" s="8" t="s">
        <v>638</v>
      </c>
      <c r="S42" s="15">
        <v>0</v>
      </c>
      <c r="T42" s="15" t="b">
        <f t="shared" si="0"/>
        <v>0</v>
      </c>
      <c r="U42" s="1">
        <v>1.2149999999999999E-2</v>
      </c>
      <c r="V42" s="1">
        <v>60.75</v>
      </c>
      <c r="W42" s="1" t="s">
        <v>696</v>
      </c>
      <c r="X42" s="1">
        <v>60.75</v>
      </c>
      <c r="Y42" s="1"/>
      <c r="Z42" s="1"/>
      <c r="AA42" s="1"/>
      <c r="AB42" s="1">
        <v>50000</v>
      </c>
      <c r="AC42" s="1">
        <v>1.6E-2</v>
      </c>
      <c r="AD42" s="1">
        <f>AC42*G42</f>
        <v>80</v>
      </c>
      <c r="AE42" s="1">
        <v>1.0095000000000002E-2</v>
      </c>
      <c r="AF42" s="1">
        <f t="shared" si="5"/>
        <v>50.475000000000009</v>
      </c>
      <c r="AG42" s="1">
        <v>315000</v>
      </c>
      <c r="AH42" s="1">
        <v>5000</v>
      </c>
      <c r="AI42" s="1">
        <v>1.8464999999999999E-2</v>
      </c>
      <c r="AJ42" s="1">
        <f>AI42*AH42</f>
        <v>92.324999999999989</v>
      </c>
      <c r="AK42" s="1">
        <v>260000</v>
      </c>
      <c r="AL42" s="1">
        <v>5000</v>
      </c>
      <c r="AM42" s="1">
        <v>1.2377000000000001E-2</v>
      </c>
      <c r="AN42" s="1">
        <f>AM42*AL42</f>
        <v>61.885000000000005</v>
      </c>
      <c r="AO42" s="1"/>
      <c r="AP42" s="1"/>
      <c r="AQ42" s="1"/>
      <c r="AR42" s="1"/>
      <c r="AS42" s="1">
        <v>5000</v>
      </c>
      <c r="AT42" s="1">
        <v>5000</v>
      </c>
      <c r="AU42" s="1">
        <v>1.3650000000000001E-2</v>
      </c>
      <c r="AV42" s="1">
        <f>AU42*AT42</f>
        <v>68.25</v>
      </c>
      <c r="AW42" s="14">
        <f t="shared" si="2"/>
        <v>50.475000000000009</v>
      </c>
      <c r="AX42" s="1" t="str">
        <f t="shared" si="3"/>
        <v>Ling</v>
      </c>
      <c r="AY42" s="1"/>
      <c r="AZ42" t="s">
        <v>1321</v>
      </c>
      <c r="BA42" s="17"/>
    </row>
    <row r="43" spans="1:53" x14ac:dyDescent="0.25">
      <c r="A43" s="10" t="s">
        <v>439</v>
      </c>
      <c r="B43" s="8" t="s">
        <v>870</v>
      </c>
      <c r="C43" s="8" t="s">
        <v>884</v>
      </c>
      <c r="D43" s="1" t="s">
        <v>1102</v>
      </c>
      <c r="E43" s="8" t="s">
        <v>894</v>
      </c>
      <c r="F43" s="8" t="s">
        <v>440</v>
      </c>
      <c r="G43" s="8">
        <v>5000</v>
      </c>
      <c r="H43" s="8" t="s">
        <v>1132</v>
      </c>
      <c r="I43" s="8" t="s">
        <v>106</v>
      </c>
      <c r="J43" s="8">
        <v>57</v>
      </c>
      <c r="K43" s="8">
        <v>17</v>
      </c>
      <c r="L43" s="8" t="s">
        <v>1265</v>
      </c>
      <c r="M43" s="8" t="s">
        <v>695</v>
      </c>
      <c r="N43" s="1"/>
      <c r="O43" s="8" t="s">
        <v>913</v>
      </c>
      <c r="P43" s="1">
        <v>3.0999999999999999E-3</v>
      </c>
      <c r="Q43" s="14">
        <v>15.5</v>
      </c>
      <c r="R43" s="8" t="s">
        <v>643</v>
      </c>
      <c r="S43" s="15">
        <v>307700</v>
      </c>
      <c r="T43" s="15" t="b">
        <f t="shared" si="0"/>
        <v>1</v>
      </c>
      <c r="U43" s="1">
        <v>1.2000000000000001E-3</v>
      </c>
      <c r="V43" s="1">
        <v>6.0000000000000009</v>
      </c>
      <c r="W43" s="1" t="s">
        <v>696</v>
      </c>
      <c r="X43" s="1">
        <v>6.0000000000000009</v>
      </c>
      <c r="Y43" s="1"/>
      <c r="Z43" s="1"/>
      <c r="AA43" s="1"/>
      <c r="AB43" s="1">
        <v>50000</v>
      </c>
      <c r="AC43" s="1">
        <v>2.2000000000000001E-3</v>
      </c>
      <c r="AD43" s="1">
        <f>AC43*G43</f>
        <v>11</v>
      </c>
      <c r="AE43" s="1">
        <v>7.1999999999999994E-4</v>
      </c>
      <c r="AF43" s="1">
        <f t="shared" si="5"/>
        <v>3.5999999999999996</v>
      </c>
      <c r="AG43" s="1"/>
      <c r="AH43" s="1"/>
      <c r="AI43" s="1"/>
      <c r="AJ43" s="1"/>
      <c r="AK43" s="1">
        <v>480000</v>
      </c>
      <c r="AL43" s="1">
        <v>15000</v>
      </c>
      <c r="AM43" s="1">
        <v>1.3799999999999999E-3</v>
      </c>
      <c r="AN43" s="1">
        <f>AM43*AL43</f>
        <v>20.7</v>
      </c>
      <c r="AO43" s="1"/>
      <c r="AP43" s="1"/>
      <c r="AQ43" s="1"/>
      <c r="AR43" s="1"/>
      <c r="AS43" s="1"/>
      <c r="AT43" s="1"/>
      <c r="AU43" s="1"/>
      <c r="AV43" s="1"/>
      <c r="AW43" s="14">
        <f t="shared" si="2"/>
        <v>3.5999999999999996</v>
      </c>
      <c r="AX43" s="1" t="str">
        <f t="shared" si="3"/>
        <v>Ling</v>
      </c>
      <c r="AY43" s="1"/>
      <c r="AZ43" t="s">
        <v>1321</v>
      </c>
      <c r="BA43" s="17"/>
    </row>
    <row r="44" spans="1:53" x14ac:dyDescent="0.25">
      <c r="A44" s="10" t="s">
        <v>364</v>
      </c>
      <c r="B44" s="8" t="s">
        <v>839</v>
      </c>
      <c r="C44" s="8" t="s">
        <v>884</v>
      </c>
      <c r="D44" s="1" t="s">
        <v>1105</v>
      </c>
      <c r="E44" s="8" t="s">
        <v>896</v>
      </c>
      <c r="F44" s="8" t="s">
        <v>365</v>
      </c>
      <c r="G44" s="8">
        <v>3000</v>
      </c>
      <c r="H44" s="8" t="s">
        <v>1162</v>
      </c>
      <c r="I44" s="8" t="s">
        <v>1163</v>
      </c>
      <c r="J44" s="8">
        <v>287</v>
      </c>
      <c r="K44" s="8">
        <v>17</v>
      </c>
      <c r="L44" s="8" t="s">
        <v>1233</v>
      </c>
      <c r="M44" s="8" t="s">
        <v>695</v>
      </c>
      <c r="N44" s="1"/>
      <c r="O44" s="8" t="s">
        <v>1039</v>
      </c>
      <c r="P44" s="1">
        <v>5.1999999999999998E-2</v>
      </c>
      <c r="Q44" s="14">
        <v>156</v>
      </c>
      <c r="R44" s="8" t="s">
        <v>587</v>
      </c>
      <c r="S44" s="15">
        <v>7430</v>
      </c>
      <c r="T44" s="15" t="b">
        <f t="shared" si="0"/>
        <v>1</v>
      </c>
      <c r="U44" s="1">
        <v>5.4150000000000004E-2</v>
      </c>
      <c r="V44" s="1">
        <v>162.45000000000002</v>
      </c>
      <c r="W44" s="1" t="s">
        <v>511</v>
      </c>
      <c r="X44" s="1">
        <v>156</v>
      </c>
      <c r="Y44" s="1"/>
      <c r="Z44" s="1"/>
      <c r="AA44" s="1"/>
      <c r="AB44" s="1"/>
      <c r="AC44" s="1"/>
      <c r="AD44" s="1"/>
      <c r="AE44" s="1">
        <v>4.8000000000000001E-2</v>
      </c>
      <c r="AF44" s="1">
        <f t="shared" si="5"/>
        <v>144</v>
      </c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4">
        <f t="shared" si="2"/>
        <v>144</v>
      </c>
      <c r="AX44" s="1" t="s">
        <v>700</v>
      </c>
      <c r="AY44" s="1" t="s">
        <v>1292</v>
      </c>
      <c r="AZ44" t="s">
        <v>1320</v>
      </c>
    </row>
    <row r="45" spans="1:53" x14ac:dyDescent="0.25">
      <c r="A45" s="10" t="s">
        <v>368</v>
      </c>
      <c r="B45" s="8" t="s">
        <v>796</v>
      </c>
      <c r="C45" s="8" t="s">
        <v>884</v>
      </c>
      <c r="D45" s="1" t="s">
        <v>1105</v>
      </c>
      <c r="E45" s="8" t="s">
        <v>886</v>
      </c>
      <c r="F45" s="8" t="s">
        <v>369</v>
      </c>
      <c r="G45" s="8">
        <v>3000</v>
      </c>
      <c r="H45" s="8" t="s">
        <v>1184</v>
      </c>
      <c r="I45" s="8" t="s">
        <v>209</v>
      </c>
      <c r="J45" s="8">
        <v>741</v>
      </c>
      <c r="K45" s="8">
        <v>28</v>
      </c>
      <c r="L45" s="8" t="s">
        <v>1223</v>
      </c>
      <c r="M45" s="8" t="s">
        <v>695</v>
      </c>
      <c r="N45" s="1"/>
      <c r="O45" s="8" t="s">
        <v>1078</v>
      </c>
      <c r="P45" s="1">
        <v>0.107</v>
      </c>
      <c r="Q45" s="14">
        <v>321</v>
      </c>
      <c r="R45" s="8" t="s">
        <v>1218</v>
      </c>
      <c r="S45" s="15">
        <v>0</v>
      </c>
      <c r="T45" s="15" t="b">
        <f t="shared" si="0"/>
        <v>0</v>
      </c>
      <c r="U45" s="1"/>
      <c r="V45" s="1"/>
      <c r="W45" s="1" t="s">
        <v>511</v>
      </c>
      <c r="X45" s="1">
        <v>321</v>
      </c>
      <c r="Y45" s="1"/>
      <c r="Z45" s="1"/>
      <c r="AA45" s="1"/>
      <c r="AB45" s="1"/>
      <c r="AC45" s="1"/>
      <c r="AD45" s="1"/>
      <c r="AE45" s="1"/>
      <c r="AF45" s="1"/>
      <c r="AG45" s="1">
        <v>93000</v>
      </c>
      <c r="AH45" s="1">
        <v>3000</v>
      </c>
      <c r="AI45" s="1">
        <v>7.5449999999999989E-2</v>
      </c>
      <c r="AJ45" s="1">
        <f>AI45*AH45</f>
        <v>226.34999999999997</v>
      </c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4">
        <f t="shared" si="2"/>
        <v>226.34999999999997</v>
      </c>
      <c r="AX45" s="1" t="str">
        <f>IF(AW45=Q45,"Digikey",IF(AW45=V45,"LCSC",IF(AW45=AD45,"Diverse",IF(AW45=AF45,"Ling",IF(AW45=AJ45,"TTI",IF(AW45=AN45,"Future",IF(AW45=AR45,"Arrow",IF(AW45=AV45,"Avnet",""))))))))</f>
        <v>TTI</v>
      </c>
      <c r="AY45" s="1"/>
      <c r="AZ45" t="s">
        <v>1321</v>
      </c>
    </row>
    <row r="46" spans="1:53" x14ac:dyDescent="0.25">
      <c r="A46" s="10" t="s">
        <v>366</v>
      </c>
      <c r="B46" s="8" t="s">
        <v>795</v>
      </c>
      <c r="C46" s="8" t="s">
        <v>884</v>
      </c>
      <c r="D46" s="1" t="s">
        <v>1105</v>
      </c>
      <c r="E46" s="8" t="s">
        <v>892</v>
      </c>
      <c r="F46" s="8" t="s">
        <v>367</v>
      </c>
      <c r="G46" s="8">
        <v>4000</v>
      </c>
      <c r="H46" s="8" t="s">
        <v>1166</v>
      </c>
      <c r="I46" s="8" t="s">
        <v>209</v>
      </c>
      <c r="J46" s="8">
        <v>746</v>
      </c>
      <c r="K46" s="8">
        <v>29</v>
      </c>
      <c r="L46" s="8" t="s">
        <v>1225</v>
      </c>
      <c r="M46" s="8" t="s">
        <v>695</v>
      </c>
      <c r="N46" s="1"/>
      <c r="O46" s="8" t="s">
        <v>1059</v>
      </c>
      <c r="P46" s="1">
        <v>7.5600000000000001E-2</v>
      </c>
      <c r="Q46" s="14">
        <v>302.39999999999998</v>
      </c>
      <c r="R46" s="8" t="s">
        <v>588</v>
      </c>
      <c r="S46" s="15">
        <v>0</v>
      </c>
      <c r="T46" s="15" t="b">
        <f t="shared" si="0"/>
        <v>0</v>
      </c>
      <c r="U46" s="1">
        <v>0.19380000000000003</v>
      </c>
      <c r="V46" s="1">
        <v>775.20000000000016</v>
      </c>
      <c r="W46" s="1" t="s">
        <v>511</v>
      </c>
      <c r="X46" s="1">
        <v>302.39999999999998</v>
      </c>
      <c r="Y46" s="1"/>
      <c r="Z46" s="1"/>
      <c r="AA46" s="1"/>
      <c r="AB46" s="1"/>
      <c r="AC46" s="1"/>
      <c r="AD46" s="1"/>
      <c r="AE46" s="1"/>
      <c r="AF46" s="1"/>
      <c r="AG46" s="1">
        <v>340000</v>
      </c>
      <c r="AH46" s="1">
        <v>4000</v>
      </c>
      <c r="AI46" s="1">
        <v>2.76E-2</v>
      </c>
      <c r="AJ46" s="1">
        <f>AI46*AH46</f>
        <v>110.39999999999999</v>
      </c>
      <c r="AK46" s="1"/>
      <c r="AL46" s="1"/>
      <c r="AM46" s="1"/>
      <c r="AN46" s="1"/>
      <c r="AO46" s="1"/>
      <c r="AP46" s="1"/>
      <c r="AQ46" s="1"/>
      <c r="AR46" s="1"/>
      <c r="AS46" s="1">
        <v>12000</v>
      </c>
      <c r="AT46" s="1">
        <v>4000</v>
      </c>
      <c r="AU46" s="1">
        <v>4.3679999999999997E-2</v>
      </c>
      <c r="AV46" s="1">
        <f>AU46*AT46</f>
        <v>174.72</v>
      </c>
      <c r="AW46" s="14">
        <f t="shared" si="2"/>
        <v>110.39999999999999</v>
      </c>
      <c r="AX46" s="1" t="str">
        <f>IF(AW46=Q46,"Digikey",IF(AW46=V46,"LCSC",IF(AW46=AD46,"Diverse",IF(AW46=AF46,"Ling",IF(AW46=AJ46,"TTI",IF(AW46=AN46,"Future",IF(AW46=AR46,"Arrow",IF(AW46=AV46,"Avnet",""))))))))</f>
        <v>TTI</v>
      </c>
      <c r="AY46" s="1"/>
      <c r="AZ46" t="s">
        <v>1321</v>
      </c>
    </row>
  </sheetData>
  <autoFilter ref="A1:AZ46" xr:uid="{B959606D-CDAE-4FF2-95C8-F86674ABF2E8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7B60-8C27-42B8-8E43-E8B011C8F238}">
  <sheetPr codeName="Sheet5">
    <pageSetUpPr fitToPage="1"/>
  </sheetPr>
  <dimension ref="A1:H185"/>
  <sheetViews>
    <sheetView workbookViewId="0">
      <selection activeCell="L1" sqref="L1"/>
    </sheetView>
  </sheetViews>
  <sheetFormatPr defaultRowHeight="21" x14ac:dyDescent="0.35"/>
  <cols>
    <col min="1" max="1" width="28.42578125" style="22" bestFit="1" customWidth="1"/>
    <col min="2" max="2" width="11.42578125" style="22" bestFit="1" customWidth="1"/>
    <col min="3" max="3" width="50.5703125" style="22" bestFit="1" customWidth="1"/>
    <col min="4" max="4" width="34.140625" style="22" bestFit="1" customWidth="1"/>
    <col min="5" max="5" width="19.5703125" style="22" bestFit="1" customWidth="1"/>
    <col min="6" max="6" width="29.42578125" style="22" bestFit="1" customWidth="1"/>
    <col min="7" max="7" width="16.42578125" style="22" bestFit="1" customWidth="1"/>
    <col min="8" max="8" width="42.5703125" bestFit="1" customWidth="1"/>
  </cols>
  <sheetData>
    <row r="1" spans="1:8" x14ac:dyDescent="0.35">
      <c r="A1" s="20" t="s">
        <v>247</v>
      </c>
      <c r="B1" s="20" t="s">
        <v>249</v>
      </c>
      <c r="C1" s="20" t="s">
        <v>248</v>
      </c>
      <c r="D1" s="20" t="s">
        <v>1119</v>
      </c>
      <c r="E1" s="20" t="s">
        <v>1324</v>
      </c>
      <c r="F1" s="20" t="s">
        <v>1323</v>
      </c>
      <c r="G1" s="20" t="s">
        <v>1334</v>
      </c>
      <c r="H1" s="23" t="s">
        <v>1117</v>
      </c>
    </row>
    <row r="2" spans="1:8" x14ac:dyDescent="0.35">
      <c r="A2" s="21" t="s">
        <v>1</v>
      </c>
      <c r="B2" s="21" t="s">
        <v>250</v>
      </c>
      <c r="C2" s="21" t="s">
        <v>702</v>
      </c>
      <c r="D2" s="21" t="s">
        <v>107</v>
      </c>
      <c r="E2" s="21" t="s">
        <v>696</v>
      </c>
      <c r="F2" s="21" t="s">
        <v>512</v>
      </c>
      <c r="G2" s="21"/>
      <c r="H2" s="21" t="s">
        <v>1046</v>
      </c>
    </row>
    <row r="3" spans="1:8" x14ac:dyDescent="0.35">
      <c r="A3" s="21" t="s">
        <v>2</v>
      </c>
      <c r="B3" s="21" t="s">
        <v>266</v>
      </c>
      <c r="C3" s="21" t="s">
        <v>750</v>
      </c>
      <c r="D3" s="21" t="s">
        <v>109</v>
      </c>
      <c r="E3" s="21"/>
      <c r="F3" s="21"/>
      <c r="G3" s="21"/>
      <c r="H3" s="21" t="s">
        <v>1053</v>
      </c>
    </row>
    <row r="4" spans="1:8" x14ac:dyDescent="0.35">
      <c r="A4" s="21" t="s">
        <v>3</v>
      </c>
      <c r="B4" s="21" t="s">
        <v>287</v>
      </c>
      <c r="C4" s="21" t="s">
        <v>709</v>
      </c>
      <c r="D4" s="21" t="s">
        <v>110</v>
      </c>
      <c r="E4" s="21"/>
      <c r="F4" s="21"/>
      <c r="G4" s="21"/>
      <c r="H4" s="21" t="s">
        <v>1048</v>
      </c>
    </row>
    <row r="5" spans="1:8" x14ac:dyDescent="0.35">
      <c r="A5" s="21" t="s">
        <v>7</v>
      </c>
      <c r="B5" s="21" t="s">
        <v>307</v>
      </c>
      <c r="C5" s="21" t="s">
        <v>704</v>
      </c>
      <c r="D5" s="21" t="s">
        <v>115</v>
      </c>
      <c r="E5" s="21"/>
      <c r="F5" s="21"/>
      <c r="G5" s="21"/>
      <c r="H5" s="21" t="s">
        <v>1047</v>
      </c>
    </row>
    <row r="6" spans="1:8" x14ac:dyDescent="0.35">
      <c r="A6" s="21" t="s">
        <v>8</v>
      </c>
      <c r="B6" s="21" t="s">
        <v>311</v>
      </c>
      <c r="C6" s="21" t="s">
        <v>722</v>
      </c>
      <c r="D6" s="21" t="s">
        <v>116</v>
      </c>
      <c r="E6" s="21"/>
      <c r="F6" s="21"/>
      <c r="G6" s="21"/>
      <c r="H6" s="21" t="s">
        <v>1049</v>
      </c>
    </row>
    <row r="7" spans="1:8" x14ac:dyDescent="0.35">
      <c r="A7" s="21" t="s">
        <v>55</v>
      </c>
      <c r="B7" s="21" t="s">
        <v>312</v>
      </c>
      <c r="C7" s="21" t="s">
        <v>762</v>
      </c>
      <c r="D7" s="21" t="s">
        <v>166</v>
      </c>
      <c r="E7" s="21"/>
      <c r="F7" s="21"/>
      <c r="G7" s="21"/>
      <c r="H7" s="21" t="s">
        <v>1054</v>
      </c>
    </row>
    <row r="8" spans="1:8" x14ac:dyDescent="0.35">
      <c r="A8" s="21" t="s">
        <v>56</v>
      </c>
      <c r="B8" s="21" t="s">
        <v>313</v>
      </c>
      <c r="C8" s="21" t="s">
        <v>742</v>
      </c>
      <c r="D8" s="21" t="s">
        <v>168</v>
      </c>
      <c r="E8" s="21"/>
      <c r="F8" s="21"/>
      <c r="G8" s="21"/>
      <c r="H8" s="21" t="s">
        <v>1052</v>
      </c>
    </row>
    <row r="9" spans="1:8" x14ac:dyDescent="0.35">
      <c r="A9" s="21" t="s">
        <v>57</v>
      </c>
      <c r="B9" s="21" t="s">
        <v>314</v>
      </c>
      <c r="C9" s="21" t="s">
        <v>768</v>
      </c>
      <c r="D9" s="21" t="s">
        <v>169</v>
      </c>
      <c r="E9" s="21"/>
      <c r="F9" s="21"/>
      <c r="G9" s="21"/>
      <c r="H9" s="21" t="s">
        <v>1055</v>
      </c>
    </row>
    <row r="10" spans="1:8" x14ac:dyDescent="0.35">
      <c r="A10" s="21" t="s">
        <v>58</v>
      </c>
      <c r="B10" s="21" t="s">
        <v>315</v>
      </c>
      <c r="C10" s="21" t="s">
        <v>724</v>
      </c>
      <c r="D10" s="21" t="s">
        <v>171</v>
      </c>
      <c r="E10" s="21"/>
      <c r="F10" s="21"/>
      <c r="G10" s="21"/>
      <c r="H10" s="21" t="s">
        <v>1050</v>
      </c>
    </row>
    <row r="11" spans="1:8" x14ac:dyDescent="0.35">
      <c r="A11" s="21" t="s">
        <v>75</v>
      </c>
      <c r="B11" s="21" t="s">
        <v>251</v>
      </c>
      <c r="C11" s="21" t="s">
        <v>827</v>
      </c>
      <c r="D11" s="21" t="s">
        <v>192</v>
      </c>
      <c r="E11" s="21"/>
      <c r="F11" s="21"/>
      <c r="G11" s="21"/>
      <c r="H11" s="21" t="s">
        <v>1073</v>
      </c>
    </row>
    <row r="12" spans="1:8" x14ac:dyDescent="0.35">
      <c r="A12" s="21" t="s">
        <v>76</v>
      </c>
      <c r="B12" s="21" t="s">
        <v>252</v>
      </c>
      <c r="C12" s="21" t="s">
        <v>814</v>
      </c>
      <c r="D12" s="21" t="s">
        <v>193</v>
      </c>
      <c r="E12" s="21"/>
      <c r="F12" s="21"/>
      <c r="G12" s="21"/>
      <c r="H12" s="21" t="s">
        <v>1071</v>
      </c>
    </row>
    <row r="13" spans="1:8" x14ac:dyDescent="0.35">
      <c r="A13" s="21" t="s">
        <v>77</v>
      </c>
      <c r="B13" s="21" t="s">
        <v>253</v>
      </c>
      <c r="C13" s="21" t="s">
        <v>730</v>
      </c>
      <c r="D13" s="21" t="s">
        <v>1214</v>
      </c>
      <c r="E13" s="21"/>
      <c r="F13" s="21"/>
      <c r="G13" s="21"/>
      <c r="H13" s="21" t="s">
        <v>1070</v>
      </c>
    </row>
    <row r="14" spans="1:8" x14ac:dyDescent="0.35">
      <c r="A14" s="21" t="s">
        <v>78</v>
      </c>
      <c r="B14" s="21" t="s">
        <v>254</v>
      </c>
      <c r="C14" s="21" t="s">
        <v>822</v>
      </c>
      <c r="D14" s="21" t="s">
        <v>195</v>
      </c>
      <c r="E14" s="21"/>
      <c r="F14" s="21"/>
      <c r="G14" s="21"/>
      <c r="H14" s="21" t="s">
        <v>1072</v>
      </c>
    </row>
    <row r="15" spans="1:8" x14ac:dyDescent="0.35">
      <c r="A15" s="21" t="s">
        <v>230</v>
      </c>
      <c r="B15" s="21" t="s">
        <v>255</v>
      </c>
      <c r="C15" s="21" t="s">
        <v>725</v>
      </c>
      <c r="D15" s="21" t="s">
        <v>1124</v>
      </c>
      <c r="E15" s="21"/>
      <c r="F15" s="21"/>
      <c r="G15" s="21"/>
      <c r="H15" s="21" t="s">
        <v>1051</v>
      </c>
    </row>
    <row r="16" spans="1:8" x14ac:dyDescent="0.35">
      <c r="A16" s="21" t="s">
        <v>256</v>
      </c>
      <c r="B16" s="21" t="s">
        <v>257</v>
      </c>
      <c r="C16" s="21" t="s">
        <v>781</v>
      </c>
      <c r="D16" s="21" t="s">
        <v>1165</v>
      </c>
      <c r="E16" s="21" t="s">
        <v>696</v>
      </c>
      <c r="F16" s="21" t="s">
        <v>518</v>
      </c>
      <c r="G16" s="21"/>
      <c r="H16" s="21" t="s">
        <v>1058</v>
      </c>
    </row>
    <row r="17" spans="1:8" x14ac:dyDescent="0.35">
      <c r="A17" s="21" t="s">
        <v>258</v>
      </c>
      <c r="B17" s="21" t="s">
        <v>259</v>
      </c>
      <c r="C17" s="21" t="s">
        <v>748</v>
      </c>
      <c r="D17" s="21" t="s">
        <v>1205</v>
      </c>
      <c r="E17" s="21" t="s">
        <v>696</v>
      </c>
      <c r="F17" s="21" t="s">
        <v>519</v>
      </c>
      <c r="G17" s="21"/>
      <c r="H17" s="21" t="s">
        <v>1056</v>
      </c>
    </row>
    <row r="18" spans="1:8" x14ac:dyDescent="0.35">
      <c r="A18" s="21" t="s">
        <v>260</v>
      </c>
      <c r="B18" s="21" t="s">
        <v>261</v>
      </c>
      <c r="C18" s="21" t="s">
        <v>736</v>
      </c>
      <c r="D18" s="21" t="s">
        <v>1208</v>
      </c>
      <c r="E18" s="21" t="s">
        <v>696</v>
      </c>
      <c r="F18" s="21" t="s">
        <v>520</v>
      </c>
      <c r="G18" s="21"/>
      <c r="H18" s="21" t="s">
        <v>1076</v>
      </c>
    </row>
    <row r="19" spans="1:8" x14ac:dyDescent="0.35">
      <c r="A19" s="21" t="s">
        <v>262</v>
      </c>
      <c r="B19" s="21" t="s">
        <v>263</v>
      </c>
      <c r="C19" s="21" t="s">
        <v>866</v>
      </c>
      <c r="D19" s="21" t="s">
        <v>1193</v>
      </c>
      <c r="E19" s="21" t="s">
        <v>696</v>
      </c>
      <c r="F19" s="21" t="s">
        <v>521</v>
      </c>
      <c r="G19" s="21"/>
      <c r="H19" s="21" t="s">
        <v>1085</v>
      </c>
    </row>
    <row r="20" spans="1:8" x14ac:dyDescent="0.35">
      <c r="A20" s="21" t="s">
        <v>264</v>
      </c>
      <c r="B20" s="21" t="s">
        <v>265</v>
      </c>
      <c r="C20" s="21" t="s">
        <v>810</v>
      </c>
      <c r="D20" s="21" t="s">
        <v>1171</v>
      </c>
      <c r="E20" s="21" t="s">
        <v>696</v>
      </c>
      <c r="F20" s="21" t="s">
        <v>522</v>
      </c>
      <c r="G20" s="21"/>
      <c r="H20" s="21" t="s">
        <v>1061</v>
      </c>
    </row>
    <row r="21" spans="1:8" x14ac:dyDescent="0.35">
      <c r="A21" s="21" t="s">
        <v>267</v>
      </c>
      <c r="B21" s="21" t="s">
        <v>268</v>
      </c>
      <c r="C21" s="21" t="s">
        <v>784</v>
      </c>
      <c r="D21" s="21" t="s">
        <v>1210</v>
      </c>
      <c r="E21" s="21" t="s">
        <v>699</v>
      </c>
      <c r="F21" s="21" t="s">
        <v>1210</v>
      </c>
      <c r="G21" s="21"/>
      <c r="H21" s="21" t="s">
        <v>1087</v>
      </c>
    </row>
    <row r="22" spans="1:8" x14ac:dyDescent="0.35">
      <c r="A22" s="21" t="s">
        <v>269</v>
      </c>
      <c r="B22" s="21" t="s">
        <v>270</v>
      </c>
      <c r="C22" s="21" t="s">
        <v>845</v>
      </c>
      <c r="D22" s="21" t="s">
        <v>1194</v>
      </c>
      <c r="E22" s="21" t="s">
        <v>696</v>
      </c>
      <c r="F22" s="21" t="s">
        <v>525</v>
      </c>
      <c r="G22" s="21"/>
      <c r="H22" s="21" t="s">
        <v>1086</v>
      </c>
    </row>
    <row r="23" spans="1:8" x14ac:dyDescent="0.35">
      <c r="A23" s="21" t="s">
        <v>271</v>
      </c>
      <c r="B23" s="21" t="s">
        <v>272</v>
      </c>
      <c r="C23" s="21" t="s">
        <v>841</v>
      </c>
      <c r="D23" s="21" t="s">
        <v>1174</v>
      </c>
      <c r="E23" s="21" t="s">
        <v>698</v>
      </c>
      <c r="F23" s="21" t="s">
        <v>1174</v>
      </c>
      <c r="G23" s="21"/>
      <c r="H23" s="21" t="s">
        <v>1064</v>
      </c>
    </row>
    <row r="24" spans="1:8" x14ac:dyDescent="0.35">
      <c r="A24" s="21" t="s">
        <v>273</v>
      </c>
      <c r="B24" s="21" t="s">
        <v>274</v>
      </c>
      <c r="C24" s="21" t="s">
        <v>850</v>
      </c>
      <c r="D24" s="21" t="s">
        <v>1204</v>
      </c>
      <c r="E24" s="21" t="s">
        <v>696</v>
      </c>
      <c r="F24" s="21" t="s">
        <v>527</v>
      </c>
      <c r="G24" s="21" t="s">
        <v>1335</v>
      </c>
      <c r="H24" s="21" t="s">
        <v>1043</v>
      </c>
    </row>
    <row r="25" spans="1:8" x14ac:dyDescent="0.35">
      <c r="A25" s="21" t="s">
        <v>275</v>
      </c>
      <c r="B25" s="21" t="s">
        <v>276</v>
      </c>
      <c r="C25" s="21" t="s">
        <v>815</v>
      </c>
      <c r="D25" s="21" t="s">
        <v>1185</v>
      </c>
      <c r="E25" s="21" t="s">
        <v>696</v>
      </c>
      <c r="F25" s="21" t="s">
        <v>1307</v>
      </c>
      <c r="G25" s="21"/>
      <c r="H25" s="21" t="s">
        <v>1079</v>
      </c>
    </row>
    <row r="26" spans="1:8" x14ac:dyDescent="0.35">
      <c r="A26" s="21" t="s">
        <v>277</v>
      </c>
      <c r="B26" s="21" t="s">
        <v>278</v>
      </c>
      <c r="C26" s="21" t="s">
        <v>778</v>
      </c>
      <c r="D26" s="21" t="s">
        <v>1206</v>
      </c>
      <c r="E26" s="21" t="s">
        <v>696</v>
      </c>
      <c r="F26" s="21" t="s">
        <v>529</v>
      </c>
      <c r="G26" s="21"/>
      <c r="H26" s="21" t="s">
        <v>1057</v>
      </c>
    </row>
    <row r="27" spans="1:8" x14ac:dyDescent="0.35">
      <c r="A27" s="21" t="s">
        <v>279</v>
      </c>
      <c r="B27" s="21" t="s">
        <v>280</v>
      </c>
      <c r="C27" s="21" t="s">
        <v>834</v>
      </c>
      <c r="D27" s="21" t="s">
        <v>1173</v>
      </c>
      <c r="E27" s="21" t="s">
        <v>696</v>
      </c>
      <c r="F27" s="21" t="s">
        <v>1293</v>
      </c>
      <c r="G27" s="21"/>
      <c r="H27" s="21" t="s">
        <v>1063</v>
      </c>
    </row>
    <row r="28" spans="1:8" x14ac:dyDescent="0.35">
      <c r="A28" s="21" t="s">
        <v>281</v>
      </c>
      <c r="B28" s="21" t="s">
        <v>282</v>
      </c>
      <c r="C28" s="21" t="s">
        <v>808</v>
      </c>
      <c r="D28" s="21" t="s">
        <v>1170</v>
      </c>
      <c r="E28" s="21" t="s">
        <v>696</v>
      </c>
      <c r="F28" s="21" t="s">
        <v>531</v>
      </c>
      <c r="G28" s="21"/>
      <c r="H28" s="21" t="s">
        <v>1060</v>
      </c>
    </row>
    <row r="29" spans="1:8" x14ac:dyDescent="0.35">
      <c r="A29" s="21" t="s">
        <v>283</v>
      </c>
      <c r="B29" s="21" t="s">
        <v>284</v>
      </c>
      <c r="C29" s="21" t="s">
        <v>816</v>
      </c>
      <c r="D29" s="21" t="s">
        <v>1207</v>
      </c>
      <c r="E29" s="21" t="s">
        <v>696</v>
      </c>
      <c r="F29" s="21" t="s">
        <v>532</v>
      </c>
      <c r="G29" s="21"/>
      <c r="H29" s="21" t="s">
        <v>1062</v>
      </c>
    </row>
    <row r="30" spans="1:8" x14ac:dyDescent="0.35">
      <c r="A30" s="21" t="s">
        <v>285</v>
      </c>
      <c r="B30" s="21" t="s">
        <v>286</v>
      </c>
      <c r="C30" s="21" t="s">
        <v>861</v>
      </c>
      <c r="D30" s="21" t="s">
        <v>1177</v>
      </c>
      <c r="E30" s="21" t="s">
        <v>696</v>
      </c>
      <c r="F30" s="21" t="s">
        <v>533</v>
      </c>
      <c r="G30" s="21"/>
      <c r="H30" s="21" t="s">
        <v>1065</v>
      </c>
    </row>
    <row r="31" spans="1:8" x14ac:dyDescent="0.35">
      <c r="A31" s="21" t="s">
        <v>288</v>
      </c>
      <c r="B31" s="21" t="s">
        <v>289</v>
      </c>
      <c r="C31" s="21" t="s">
        <v>867</v>
      </c>
      <c r="D31" s="21" t="s">
        <v>1182</v>
      </c>
      <c r="E31" s="21" t="s">
        <v>698</v>
      </c>
      <c r="F31" s="21" t="s">
        <v>1182</v>
      </c>
      <c r="G31" s="21"/>
      <c r="H31" s="21" t="s">
        <v>1067</v>
      </c>
    </row>
    <row r="32" spans="1:8" x14ac:dyDescent="0.35">
      <c r="A32" s="21" t="s">
        <v>290</v>
      </c>
      <c r="B32" s="21" t="s">
        <v>291</v>
      </c>
      <c r="C32" s="21" t="s">
        <v>862</v>
      </c>
      <c r="D32" s="21" t="s">
        <v>1180</v>
      </c>
      <c r="E32" s="21" t="s">
        <v>696</v>
      </c>
      <c r="F32" s="21" t="s">
        <v>1309</v>
      </c>
      <c r="G32" s="21"/>
      <c r="H32" s="21" t="s">
        <v>1066</v>
      </c>
    </row>
    <row r="33" spans="1:8" x14ac:dyDescent="0.35">
      <c r="A33" s="21" t="s">
        <v>292</v>
      </c>
      <c r="B33" s="21" t="s">
        <v>293</v>
      </c>
      <c r="C33" s="21" t="s">
        <v>735</v>
      </c>
      <c r="D33" s="21" t="s">
        <v>1183</v>
      </c>
      <c r="E33" s="21" t="s">
        <v>696</v>
      </c>
      <c r="F33" s="21" t="s">
        <v>537</v>
      </c>
      <c r="G33" s="21"/>
      <c r="H33" s="21" t="s">
        <v>1075</v>
      </c>
    </row>
    <row r="34" spans="1:8" x14ac:dyDescent="0.35">
      <c r="A34" s="21" t="s">
        <v>294</v>
      </c>
      <c r="B34" s="21" t="s">
        <v>295</v>
      </c>
      <c r="C34" s="21" t="s">
        <v>835</v>
      </c>
      <c r="D34" s="21" t="s">
        <v>1189</v>
      </c>
      <c r="E34" s="21" t="s">
        <v>696</v>
      </c>
      <c r="F34" s="21" t="s">
        <v>538</v>
      </c>
      <c r="G34" s="21"/>
      <c r="H34" s="21" t="s">
        <v>1081</v>
      </c>
    </row>
    <row r="35" spans="1:8" x14ac:dyDescent="0.35">
      <c r="A35" s="21" t="s">
        <v>296</v>
      </c>
      <c r="B35" s="21" t="s">
        <v>297</v>
      </c>
      <c r="C35" s="21" t="s">
        <v>751</v>
      </c>
      <c r="D35" s="21" t="s">
        <v>1191</v>
      </c>
      <c r="E35" s="21" t="s">
        <v>696</v>
      </c>
      <c r="F35" s="21" t="s">
        <v>539</v>
      </c>
      <c r="G35" s="21"/>
      <c r="H35" s="21" t="s">
        <v>1084</v>
      </c>
    </row>
    <row r="36" spans="1:8" x14ac:dyDescent="0.35">
      <c r="A36" s="21" t="s">
        <v>298</v>
      </c>
      <c r="B36" s="21" t="s">
        <v>299</v>
      </c>
      <c r="C36" s="21" t="s">
        <v>832</v>
      </c>
      <c r="D36" s="21" t="s">
        <v>1196</v>
      </c>
      <c r="E36" s="21" t="s">
        <v>696</v>
      </c>
      <c r="F36" s="21" t="s">
        <v>1317</v>
      </c>
      <c r="G36" s="21"/>
      <c r="H36" s="21" t="s">
        <v>1089</v>
      </c>
    </row>
    <row r="37" spans="1:8" x14ac:dyDescent="0.35">
      <c r="A37" s="21" t="s">
        <v>300</v>
      </c>
      <c r="B37" s="21" t="s">
        <v>301</v>
      </c>
      <c r="C37" s="21" t="s">
        <v>763</v>
      </c>
      <c r="D37" s="21" t="s">
        <v>1190</v>
      </c>
      <c r="E37" s="21" t="s">
        <v>696</v>
      </c>
      <c r="F37" s="21" t="s">
        <v>541</v>
      </c>
      <c r="G37" s="21"/>
      <c r="H37" s="21" t="s">
        <v>1082</v>
      </c>
    </row>
    <row r="38" spans="1:8" x14ac:dyDescent="0.35">
      <c r="A38" s="21" t="s">
        <v>302</v>
      </c>
      <c r="B38" s="21" t="s">
        <v>303</v>
      </c>
      <c r="C38" s="21" t="s">
        <v>826</v>
      </c>
      <c r="D38" s="21" t="s">
        <v>1188</v>
      </c>
      <c r="E38" s="21" t="s">
        <v>696</v>
      </c>
      <c r="F38" s="21" t="s">
        <v>1305</v>
      </c>
      <c r="G38" s="21"/>
      <c r="H38" s="21" t="s">
        <v>1080</v>
      </c>
    </row>
    <row r="39" spans="1:8" x14ac:dyDescent="0.35">
      <c r="A39" s="21" t="s">
        <v>304</v>
      </c>
      <c r="B39" s="21" t="s">
        <v>305</v>
      </c>
      <c r="C39" s="21" t="s">
        <v>763</v>
      </c>
      <c r="D39" s="21" t="s">
        <v>1209</v>
      </c>
      <c r="E39" s="21" t="s">
        <v>696</v>
      </c>
      <c r="F39" s="21" t="s">
        <v>543</v>
      </c>
      <c r="G39" s="21"/>
      <c r="H39" s="21" t="s">
        <v>1077</v>
      </c>
    </row>
    <row r="40" spans="1:8" x14ac:dyDescent="0.35">
      <c r="A40" s="21" t="s">
        <v>308</v>
      </c>
      <c r="B40" s="21" t="s">
        <v>306</v>
      </c>
      <c r="C40" s="21" t="s">
        <v>855</v>
      </c>
      <c r="D40" s="21" t="s">
        <v>1195</v>
      </c>
      <c r="E40" s="21" t="s">
        <v>699</v>
      </c>
      <c r="F40" s="21" t="s">
        <v>1195</v>
      </c>
      <c r="G40" s="21"/>
      <c r="H40" s="21" t="s">
        <v>1088</v>
      </c>
    </row>
    <row r="41" spans="1:8" x14ac:dyDescent="0.35">
      <c r="A41" s="21" t="s">
        <v>74</v>
      </c>
      <c r="B41" s="21" t="s">
        <v>1333</v>
      </c>
      <c r="C41" s="21" t="s">
        <v>880</v>
      </c>
      <c r="D41" s="21" t="s">
        <v>191</v>
      </c>
      <c r="E41" s="21"/>
      <c r="F41" s="21"/>
      <c r="G41" s="21"/>
      <c r="H41" s="21" t="s">
        <v>1068</v>
      </c>
    </row>
    <row r="42" spans="1:8" x14ac:dyDescent="0.35">
      <c r="A42" s="21" t="s">
        <v>72</v>
      </c>
      <c r="B42" s="21" t="s">
        <v>309</v>
      </c>
      <c r="C42" s="21" t="s">
        <v>879</v>
      </c>
      <c r="D42" s="21" t="s">
        <v>188</v>
      </c>
      <c r="E42" s="21"/>
      <c r="F42" s="21"/>
      <c r="G42" s="21"/>
      <c r="H42" s="21" t="s">
        <v>1045</v>
      </c>
    </row>
    <row r="43" spans="1:8" x14ac:dyDescent="0.35">
      <c r="A43" s="21" t="s">
        <v>73</v>
      </c>
      <c r="B43" s="21" t="s">
        <v>310</v>
      </c>
      <c r="C43" s="21" t="s">
        <v>864</v>
      </c>
      <c r="D43" s="21" t="s">
        <v>189</v>
      </c>
      <c r="E43" s="21"/>
      <c r="F43" s="21"/>
      <c r="G43" s="21"/>
      <c r="H43" s="21" t="s">
        <v>1044</v>
      </c>
    </row>
    <row r="44" spans="1:8" x14ac:dyDescent="0.35">
      <c r="A44" s="21" t="s">
        <v>9</v>
      </c>
      <c r="B44" s="21" t="s">
        <v>316</v>
      </c>
      <c r="C44" s="21" t="s">
        <v>759</v>
      </c>
      <c r="D44" s="21" t="s">
        <v>120</v>
      </c>
      <c r="E44" s="21"/>
      <c r="F44" s="21"/>
      <c r="G44" s="21"/>
      <c r="H44" s="21" t="s">
        <v>1011</v>
      </c>
    </row>
    <row r="45" spans="1:8" x14ac:dyDescent="0.35">
      <c r="A45" s="21" t="s">
        <v>10</v>
      </c>
      <c r="B45" s="21" t="s">
        <v>332</v>
      </c>
      <c r="C45" s="21" t="s">
        <v>717</v>
      </c>
      <c r="D45" s="21" t="s">
        <v>121</v>
      </c>
      <c r="E45" s="21" t="s">
        <v>696</v>
      </c>
      <c r="F45" s="21" t="s">
        <v>565</v>
      </c>
      <c r="G45" s="21"/>
      <c r="H45" s="21" t="s">
        <v>1010</v>
      </c>
    </row>
    <row r="46" spans="1:8" x14ac:dyDescent="0.35">
      <c r="A46" s="21" t="s">
        <v>60</v>
      </c>
      <c r="B46" s="21" t="s">
        <v>350</v>
      </c>
      <c r="C46" s="21" t="s">
        <v>716</v>
      </c>
      <c r="D46" s="21" t="s">
        <v>174</v>
      </c>
      <c r="E46" s="21"/>
      <c r="F46" s="21"/>
      <c r="G46" s="21"/>
      <c r="H46" s="21" t="s">
        <v>1033</v>
      </c>
    </row>
    <row r="47" spans="1:8" x14ac:dyDescent="0.35">
      <c r="A47" s="21" t="s">
        <v>61</v>
      </c>
      <c r="B47" s="21" t="s">
        <v>353</v>
      </c>
      <c r="C47" s="21" t="s">
        <v>719</v>
      </c>
      <c r="D47" s="21" t="s">
        <v>176</v>
      </c>
      <c r="E47" s="21"/>
      <c r="F47" s="21"/>
      <c r="G47" s="21"/>
      <c r="H47" s="21" t="s">
        <v>1022</v>
      </c>
    </row>
    <row r="48" spans="1:8" x14ac:dyDescent="0.35">
      <c r="A48" s="21" t="s">
        <v>62</v>
      </c>
      <c r="B48" s="21" t="s">
        <v>354</v>
      </c>
      <c r="C48" s="21" t="s">
        <v>767</v>
      </c>
      <c r="D48" s="21" t="s">
        <v>178</v>
      </c>
      <c r="E48" s="21"/>
      <c r="F48" s="21"/>
      <c r="G48" s="21"/>
      <c r="H48" s="21" t="s">
        <v>1005</v>
      </c>
    </row>
    <row r="49" spans="1:8" x14ac:dyDescent="0.35">
      <c r="A49" s="21" t="s">
        <v>63</v>
      </c>
      <c r="B49" s="21" t="s">
        <v>355</v>
      </c>
      <c r="C49" s="21" t="s">
        <v>727</v>
      </c>
      <c r="D49" s="21" t="s">
        <v>180</v>
      </c>
      <c r="E49" s="21"/>
      <c r="F49" s="21"/>
      <c r="G49" s="21"/>
      <c r="H49" s="21" t="s">
        <v>1004</v>
      </c>
    </row>
    <row r="50" spans="1:8" x14ac:dyDescent="0.35">
      <c r="A50" s="21" t="s">
        <v>64</v>
      </c>
      <c r="B50" s="21" t="s">
        <v>356</v>
      </c>
      <c r="C50" s="21" t="s">
        <v>771</v>
      </c>
      <c r="D50" s="21" t="s">
        <v>181</v>
      </c>
      <c r="E50" s="21"/>
      <c r="F50" s="21"/>
      <c r="G50" s="21"/>
      <c r="H50" s="21" t="s">
        <v>1034</v>
      </c>
    </row>
    <row r="51" spans="1:8" x14ac:dyDescent="0.35">
      <c r="A51" s="21" t="s">
        <v>66</v>
      </c>
      <c r="B51" s="21" t="s">
        <v>357</v>
      </c>
      <c r="C51" s="21" t="s">
        <v>733</v>
      </c>
      <c r="D51" s="21" t="s">
        <v>1213</v>
      </c>
      <c r="E51" s="21" t="s">
        <v>696</v>
      </c>
      <c r="F51" s="21" t="s">
        <v>582</v>
      </c>
      <c r="G51" s="21"/>
      <c r="H51" s="21" t="s">
        <v>1027</v>
      </c>
    </row>
    <row r="52" spans="1:8" x14ac:dyDescent="0.35">
      <c r="A52" s="21" t="s">
        <v>79</v>
      </c>
      <c r="B52" s="21" t="s">
        <v>358</v>
      </c>
      <c r="C52" s="21" t="s">
        <v>716</v>
      </c>
      <c r="D52" s="21" t="s">
        <v>196</v>
      </c>
      <c r="E52" s="21"/>
      <c r="F52" s="21"/>
      <c r="G52" s="21"/>
      <c r="H52" s="21" t="s">
        <v>1030</v>
      </c>
    </row>
    <row r="53" spans="1:8" x14ac:dyDescent="0.35">
      <c r="A53" s="21" t="s">
        <v>81</v>
      </c>
      <c r="B53" s="21" t="s">
        <v>317</v>
      </c>
      <c r="C53" s="21" t="s">
        <v>772</v>
      </c>
      <c r="D53" s="21" t="s">
        <v>198</v>
      </c>
      <c r="E53" s="21"/>
      <c r="F53" s="21"/>
      <c r="G53" s="21"/>
      <c r="H53" s="21" t="s">
        <v>1016</v>
      </c>
    </row>
    <row r="54" spans="1:8" x14ac:dyDescent="0.35">
      <c r="A54" s="21" t="s">
        <v>82</v>
      </c>
      <c r="B54" s="21" t="s">
        <v>318</v>
      </c>
      <c r="C54" s="21" t="s">
        <v>760</v>
      </c>
      <c r="D54" s="21" t="s">
        <v>199</v>
      </c>
      <c r="E54" s="21"/>
      <c r="F54" s="21"/>
      <c r="G54" s="21"/>
      <c r="H54" s="21" t="s">
        <v>1023</v>
      </c>
    </row>
    <row r="55" spans="1:8" x14ac:dyDescent="0.35">
      <c r="A55" s="21" t="s">
        <v>84</v>
      </c>
      <c r="B55" s="21" t="s">
        <v>319</v>
      </c>
      <c r="C55" s="21" t="s">
        <v>840</v>
      </c>
      <c r="D55" s="21" t="s">
        <v>201</v>
      </c>
      <c r="E55" s="21"/>
      <c r="F55" s="21"/>
      <c r="G55" s="21"/>
      <c r="H55" s="21" t="s">
        <v>1024</v>
      </c>
    </row>
    <row r="56" spans="1:8" x14ac:dyDescent="0.35">
      <c r="A56" s="21" t="s">
        <v>85</v>
      </c>
      <c r="B56" s="21" t="s">
        <v>320</v>
      </c>
      <c r="C56" s="21" t="s">
        <v>846</v>
      </c>
      <c r="D56" s="21" t="s">
        <v>202</v>
      </c>
      <c r="E56" s="21"/>
      <c r="F56" s="21"/>
      <c r="G56" s="21"/>
      <c r="H56" s="21" t="s">
        <v>1026</v>
      </c>
    </row>
    <row r="57" spans="1:8" x14ac:dyDescent="0.35">
      <c r="A57" s="21" t="s">
        <v>229</v>
      </c>
      <c r="B57" s="21" t="s">
        <v>321</v>
      </c>
      <c r="C57" s="21" t="s">
        <v>738</v>
      </c>
      <c r="D57" s="21" t="s">
        <v>1125</v>
      </c>
      <c r="E57" s="21"/>
      <c r="F57" s="21"/>
      <c r="G57" s="21"/>
      <c r="H57" s="21" t="s">
        <v>1015</v>
      </c>
    </row>
    <row r="58" spans="1:8" x14ac:dyDescent="0.35">
      <c r="A58" s="21" t="s">
        <v>322</v>
      </c>
      <c r="B58" s="21" t="s">
        <v>323</v>
      </c>
      <c r="C58" s="21" t="s">
        <v>737</v>
      </c>
      <c r="D58" s="21" t="s">
        <v>1186</v>
      </c>
      <c r="E58" s="21" t="s">
        <v>696</v>
      </c>
      <c r="F58" s="21" t="s">
        <v>560</v>
      </c>
      <c r="G58" s="21"/>
      <c r="H58" s="21" t="s">
        <v>1007</v>
      </c>
    </row>
    <row r="59" spans="1:8" x14ac:dyDescent="0.35">
      <c r="A59" s="21" t="s">
        <v>324</v>
      </c>
      <c r="B59" s="21" t="s">
        <v>325</v>
      </c>
      <c r="C59" s="21" t="s">
        <v>740</v>
      </c>
      <c r="D59" s="21" t="s">
        <v>1198</v>
      </c>
      <c r="E59" s="21" t="s">
        <v>696</v>
      </c>
      <c r="F59" s="21" t="s">
        <v>561</v>
      </c>
      <c r="G59" s="21"/>
      <c r="H59" s="21" t="s">
        <v>1031</v>
      </c>
    </row>
    <row r="60" spans="1:8" x14ac:dyDescent="0.35">
      <c r="A60" s="21" t="s">
        <v>326</v>
      </c>
      <c r="B60" s="21" t="s">
        <v>327</v>
      </c>
      <c r="C60" s="21" t="s">
        <v>786</v>
      </c>
      <c r="D60" s="21" t="s">
        <v>1160</v>
      </c>
      <c r="E60" s="21" t="s">
        <v>696</v>
      </c>
      <c r="F60" s="21" t="s">
        <v>562</v>
      </c>
      <c r="G60" s="21"/>
      <c r="H60" s="21" t="s">
        <v>1036</v>
      </c>
    </row>
    <row r="61" spans="1:8" x14ac:dyDescent="0.35">
      <c r="A61" s="21" t="s">
        <v>328</v>
      </c>
      <c r="B61" s="21" t="s">
        <v>329</v>
      </c>
      <c r="C61" s="21" t="s">
        <v>801</v>
      </c>
      <c r="D61" s="21" t="s">
        <v>1192</v>
      </c>
      <c r="E61" s="20" t="s">
        <v>698</v>
      </c>
      <c r="F61" s="21" t="s">
        <v>1192</v>
      </c>
      <c r="G61" s="21"/>
      <c r="H61" s="21" t="s">
        <v>1014</v>
      </c>
    </row>
    <row r="62" spans="1:8" x14ac:dyDescent="0.35">
      <c r="A62" s="21" t="s">
        <v>330</v>
      </c>
      <c r="B62" s="21" t="s">
        <v>331</v>
      </c>
      <c r="C62" s="21" t="s">
        <v>719</v>
      </c>
      <c r="D62" s="21" t="s">
        <v>1157</v>
      </c>
      <c r="E62" s="21" t="s">
        <v>696</v>
      </c>
      <c r="F62" s="21" t="s">
        <v>564</v>
      </c>
      <c r="G62" s="21"/>
      <c r="H62" s="21" t="s">
        <v>1018</v>
      </c>
    </row>
    <row r="63" spans="1:8" x14ac:dyDescent="0.35">
      <c r="A63" s="21" t="s">
        <v>333</v>
      </c>
      <c r="B63" s="21" t="s">
        <v>334</v>
      </c>
      <c r="C63" s="21" t="s">
        <v>783</v>
      </c>
      <c r="D63" s="21" t="s">
        <v>1159</v>
      </c>
      <c r="E63" s="21" t="s">
        <v>698</v>
      </c>
      <c r="F63" s="21" t="s">
        <v>1159</v>
      </c>
      <c r="G63" s="21"/>
      <c r="H63" s="21" t="s">
        <v>1028</v>
      </c>
    </row>
    <row r="64" spans="1:8" x14ac:dyDescent="0.35">
      <c r="A64" s="21" t="s">
        <v>335</v>
      </c>
      <c r="B64" s="21" t="s">
        <v>336</v>
      </c>
      <c r="C64" s="21" t="s">
        <v>844</v>
      </c>
      <c r="D64" s="21" t="s">
        <v>1201</v>
      </c>
      <c r="E64" s="21" t="s">
        <v>511</v>
      </c>
      <c r="F64" s="21" t="s">
        <v>1040</v>
      </c>
      <c r="G64" s="21"/>
      <c r="H64" s="21" t="s">
        <v>1040</v>
      </c>
    </row>
    <row r="65" spans="1:8" x14ac:dyDescent="0.35">
      <c r="A65" s="21" t="s">
        <v>337</v>
      </c>
      <c r="B65" s="21" t="s">
        <v>338</v>
      </c>
      <c r="C65" s="21" t="s">
        <v>794</v>
      </c>
      <c r="D65" s="21" t="s">
        <v>1155</v>
      </c>
      <c r="E65" s="21" t="s">
        <v>698</v>
      </c>
      <c r="F65" s="21" t="s">
        <v>1155</v>
      </c>
      <c r="G65" s="21"/>
      <c r="H65" s="21" t="s">
        <v>1013</v>
      </c>
    </row>
    <row r="66" spans="1:8" x14ac:dyDescent="0.35">
      <c r="A66" s="21" t="s">
        <v>339</v>
      </c>
      <c r="B66" s="21" t="s">
        <v>340</v>
      </c>
      <c r="C66" s="21" t="s">
        <v>797</v>
      </c>
      <c r="D66" s="21" t="s">
        <v>1154</v>
      </c>
      <c r="E66" s="21" t="s">
        <v>1316</v>
      </c>
      <c r="F66" s="21" t="s">
        <v>1325</v>
      </c>
      <c r="G66" s="21"/>
      <c r="H66" s="21" t="s">
        <v>1012</v>
      </c>
    </row>
    <row r="67" spans="1:8" x14ac:dyDescent="0.35">
      <c r="A67" s="21" t="s">
        <v>341</v>
      </c>
      <c r="B67" s="21" t="s">
        <v>342</v>
      </c>
      <c r="C67" s="21" t="s">
        <v>710</v>
      </c>
      <c r="D67" s="21" t="s">
        <v>1153</v>
      </c>
      <c r="E67" s="21" t="s">
        <v>698</v>
      </c>
      <c r="F67" s="21" t="s">
        <v>1153</v>
      </c>
      <c r="G67" s="21"/>
      <c r="H67" s="21" t="s">
        <v>1006</v>
      </c>
    </row>
    <row r="68" spans="1:8" x14ac:dyDescent="0.35">
      <c r="A68" s="21" t="s">
        <v>343</v>
      </c>
      <c r="B68" s="21" t="s">
        <v>344</v>
      </c>
      <c r="C68" s="21" t="s">
        <v>718</v>
      </c>
      <c r="D68" s="21" t="s">
        <v>1156</v>
      </c>
      <c r="E68" s="21" t="s">
        <v>698</v>
      </c>
      <c r="F68" s="21" t="s">
        <v>1156</v>
      </c>
      <c r="G68" s="21"/>
      <c r="H68" s="21" t="s">
        <v>1017</v>
      </c>
    </row>
    <row r="69" spans="1:8" x14ac:dyDescent="0.35">
      <c r="A69" s="21" t="s">
        <v>345</v>
      </c>
      <c r="B69" s="21" t="s">
        <v>346</v>
      </c>
      <c r="C69" s="21" t="s">
        <v>876</v>
      </c>
      <c r="D69" s="21" t="s">
        <v>1158</v>
      </c>
      <c r="E69" s="21" t="s">
        <v>698</v>
      </c>
      <c r="F69" s="21" t="s">
        <v>1158</v>
      </c>
      <c r="G69" s="21"/>
      <c r="H69" s="21" t="s">
        <v>1025</v>
      </c>
    </row>
    <row r="70" spans="1:8" x14ac:dyDescent="0.35">
      <c r="A70" s="21" t="s">
        <v>65</v>
      </c>
      <c r="B70" s="21" t="s">
        <v>347</v>
      </c>
      <c r="C70" s="21" t="s">
        <v>837</v>
      </c>
      <c r="D70" s="21" t="s">
        <v>182</v>
      </c>
      <c r="E70" s="21"/>
      <c r="F70" s="21"/>
      <c r="G70" s="21"/>
      <c r="H70" s="21" t="s">
        <v>1019</v>
      </c>
    </row>
    <row r="71" spans="1:8" x14ac:dyDescent="0.35">
      <c r="A71" s="21" t="s">
        <v>80</v>
      </c>
      <c r="B71" s="21" t="s">
        <v>348</v>
      </c>
      <c r="C71" s="21" t="s">
        <v>868</v>
      </c>
      <c r="D71" s="21" t="s">
        <v>197</v>
      </c>
      <c r="E71" s="21"/>
      <c r="F71" s="21"/>
      <c r="G71" s="21"/>
      <c r="H71" s="21" t="s">
        <v>1021</v>
      </c>
    </row>
    <row r="72" spans="1:8" x14ac:dyDescent="0.35">
      <c r="A72" s="21" t="s">
        <v>83</v>
      </c>
      <c r="B72" s="21" t="s">
        <v>349</v>
      </c>
      <c r="C72" s="21" t="s">
        <v>868</v>
      </c>
      <c r="D72" s="21" t="s">
        <v>200</v>
      </c>
      <c r="E72" s="21"/>
      <c r="F72" s="21"/>
      <c r="G72" s="21"/>
      <c r="H72" s="21" t="s">
        <v>1020</v>
      </c>
    </row>
    <row r="73" spans="1:8" x14ac:dyDescent="0.35">
      <c r="A73" s="21" t="s">
        <v>86</v>
      </c>
      <c r="B73" s="21" t="s">
        <v>351</v>
      </c>
      <c r="C73" s="21" t="s">
        <v>869</v>
      </c>
      <c r="D73" s="21" t="s">
        <v>204</v>
      </c>
      <c r="E73" s="21"/>
      <c r="F73" s="21"/>
      <c r="G73" s="21"/>
      <c r="H73" s="21" t="s">
        <v>1008</v>
      </c>
    </row>
    <row r="74" spans="1:8" x14ac:dyDescent="0.35">
      <c r="A74" s="21" t="s">
        <v>87</v>
      </c>
      <c r="B74" s="21" t="s">
        <v>352</v>
      </c>
      <c r="C74" s="21" t="s">
        <v>863</v>
      </c>
      <c r="D74" s="21" t="s">
        <v>206</v>
      </c>
      <c r="E74" s="21"/>
      <c r="F74" s="21"/>
      <c r="G74" s="21"/>
      <c r="H74" s="21" t="s">
        <v>1009</v>
      </c>
    </row>
    <row r="75" spans="1:8" x14ac:dyDescent="0.35">
      <c r="A75" s="21" t="s">
        <v>89</v>
      </c>
      <c r="B75" s="21" t="s">
        <v>359</v>
      </c>
      <c r="C75" s="21" t="s">
        <v>734</v>
      </c>
      <c r="D75" s="21" t="s">
        <v>210</v>
      </c>
      <c r="E75" s="21"/>
      <c r="F75" s="21"/>
      <c r="G75" s="21"/>
      <c r="H75" s="21" t="s">
        <v>1083</v>
      </c>
    </row>
    <row r="76" spans="1:8" x14ac:dyDescent="0.35">
      <c r="A76" s="21" t="s">
        <v>366</v>
      </c>
      <c r="B76" s="21" t="s">
        <v>367</v>
      </c>
      <c r="C76" s="21" t="s">
        <v>795</v>
      </c>
      <c r="D76" s="21" t="s">
        <v>1166</v>
      </c>
      <c r="E76" s="21" t="s">
        <v>699</v>
      </c>
      <c r="F76" s="21" t="s">
        <v>1166</v>
      </c>
      <c r="G76" s="21"/>
      <c r="H76" s="21" t="s">
        <v>1059</v>
      </c>
    </row>
    <row r="77" spans="1:8" x14ac:dyDescent="0.35">
      <c r="A77" s="21" t="s">
        <v>368</v>
      </c>
      <c r="B77" s="21" t="s">
        <v>369</v>
      </c>
      <c r="C77" s="21" t="s">
        <v>796</v>
      </c>
      <c r="D77" s="21" t="s">
        <v>1184</v>
      </c>
      <c r="E77" s="21" t="s">
        <v>699</v>
      </c>
      <c r="F77" s="21" t="s">
        <v>1184</v>
      </c>
      <c r="G77" s="21"/>
      <c r="H77" s="21" t="s">
        <v>1078</v>
      </c>
    </row>
    <row r="78" spans="1:8" x14ac:dyDescent="0.35">
      <c r="A78" s="21" t="s">
        <v>370</v>
      </c>
      <c r="B78" s="21" t="s">
        <v>371</v>
      </c>
      <c r="C78" s="21" t="s">
        <v>773</v>
      </c>
      <c r="D78" s="21" t="s">
        <v>1164</v>
      </c>
      <c r="E78" s="21" t="s">
        <v>696</v>
      </c>
      <c r="F78" s="21" t="s">
        <v>589</v>
      </c>
      <c r="G78" s="21"/>
      <c r="H78" s="21" t="s">
        <v>1042</v>
      </c>
    </row>
    <row r="79" spans="1:8" x14ac:dyDescent="0.35">
      <c r="A79" s="21" t="s">
        <v>88</v>
      </c>
      <c r="B79" s="21" t="s">
        <v>372</v>
      </c>
      <c r="C79" s="21" t="s">
        <v>881</v>
      </c>
      <c r="D79" s="21" t="s">
        <v>208</v>
      </c>
      <c r="E79" s="21"/>
      <c r="F79" s="21"/>
      <c r="G79" s="21"/>
      <c r="H79" s="21" t="s">
        <v>1069</v>
      </c>
    </row>
    <row r="80" spans="1:8" x14ac:dyDescent="0.35">
      <c r="A80" s="21" t="s">
        <v>67</v>
      </c>
      <c r="B80" s="21" t="s">
        <v>373</v>
      </c>
      <c r="C80" s="21" t="s">
        <v>791</v>
      </c>
      <c r="D80" s="21" t="s">
        <v>184</v>
      </c>
      <c r="E80" s="21"/>
      <c r="F80" s="21"/>
      <c r="G80" s="21"/>
      <c r="H80" s="21" t="s">
        <v>1035</v>
      </c>
    </row>
    <row r="81" spans="1:8" x14ac:dyDescent="0.35">
      <c r="A81" s="21" t="s">
        <v>68</v>
      </c>
      <c r="B81" s="21" t="s">
        <v>374</v>
      </c>
      <c r="C81" s="21" t="s">
        <v>708</v>
      </c>
      <c r="D81" s="21" t="s">
        <v>185</v>
      </c>
      <c r="E81" s="21"/>
      <c r="F81" s="21"/>
      <c r="G81" s="21"/>
      <c r="H81" s="21" t="s">
        <v>1032</v>
      </c>
    </row>
    <row r="82" spans="1:8" x14ac:dyDescent="0.35">
      <c r="A82" s="21" t="s">
        <v>69</v>
      </c>
      <c r="B82" s="21" t="s">
        <v>375</v>
      </c>
      <c r="C82" s="21" t="s">
        <v>715</v>
      </c>
      <c r="D82" s="21" t="s">
        <v>186</v>
      </c>
      <c r="E82" s="21"/>
      <c r="F82" s="21"/>
      <c r="G82" s="21"/>
      <c r="H82" s="21" t="s">
        <v>1029</v>
      </c>
    </row>
    <row r="83" spans="1:8" x14ac:dyDescent="0.35">
      <c r="A83" s="21" t="s">
        <v>71</v>
      </c>
      <c r="B83" s="21" t="s">
        <v>376</v>
      </c>
      <c r="C83" s="21" t="s">
        <v>871</v>
      </c>
      <c r="D83" s="21" t="s">
        <v>187</v>
      </c>
      <c r="E83" s="21"/>
      <c r="F83" s="21"/>
      <c r="G83" s="21"/>
      <c r="H83" s="21" t="s">
        <v>1074</v>
      </c>
    </row>
    <row r="84" spans="1:8" x14ac:dyDescent="0.35">
      <c r="A84" s="21" t="s">
        <v>360</v>
      </c>
      <c r="B84" s="21" t="s">
        <v>361</v>
      </c>
      <c r="C84" s="21" t="s">
        <v>849</v>
      </c>
      <c r="D84" s="21" t="s">
        <v>1203</v>
      </c>
      <c r="E84" s="21" t="s">
        <v>700</v>
      </c>
      <c r="F84" s="21" t="s">
        <v>1203</v>
      </c>
      <c r="G84" s="21"/>
      <c r="H84" s="21" t="s">
        <v>1041</v>
      </c>
    </row>
    <row r="85" spans="1:8" x14ac:dyDescent="0.35">
      <c r="A85" s="21" t="s">
        <v>362</v>
      </c>
      <c r="B85" s="21" t="s">
        <v>363</v>
      </c>
      <c r="C85" s="21" t="s">
        <v>817</v>
      </c>
      <c r="D85" s="21" t="s">
        <v>1200</v>
      </c>
      <c r="E85" s="21" t="s">
        <v>696</v>
      </c>
      <c r="F85" s="21" t="s">
        <v>586</v>
      </c>
      <c r="G85" s="21"/>
      <c r="H85" s="21" t="s">
        <v>1038</v>
      </c>
    </row>
    <row r="86" spans="1:8" x14ac:dyDescent="0.35">
      <c r="A86" s="21" t="s">
        <v>364</v>
      </c>
      <c r="B86" s="21" t="s">
        <v>365</v>
      </c>
      <c r="C86" s="21" t="s">
        <v>839</v>
      </c>
      <c r="D86" s="21" t="s">
        <v>1162</v>
      </c>
      <c r="E86" s="21" t="s">
        <v>700</v>
      </c>
      <c r="F86" s="21" t="s">
        <v>1162</v>
      </c>
      <c r="G86" s="21"/>
      <c r="H86" s="21" t="s">
        <v>1039</v>
      </c>
    </row>
    <row r="87" spans="1:8" x14ac:dyDescent="0.35">
      <c r="A87" s="21" t="s">
        <v>693</v>
      </c>
      <c r="B87" s="21" t="s">
        <v>701</v>
      </c>
      <c r="C87" s="21" t="s">
        <v>806</v>
      </c>
      <c r="D87" s="21" t="s">
        <v>1199</v>
      </c>
      <c r="E87" s="21" t="s">
        <v>700</v>
      </c>
      <c r="F87" s="21" t="s">
        <v>1199</v>
      </c>
      <c r="G87" s="21"/>
      <c r="H87" s="21" t="s">
        <v>1037</v>
      </c>
    </row>
    <row r="88" spans="1:8" x14ac:dyDescent="0.35">
      <c r="A88" s="21" t="s">
        <v>4</v>
      </c>
      <c r="B88" s="21" t="s">
        <v>377</v>
      </c>
      <c r="C88" s="21" t="s">
        <v>723</v>
      </c>
      <c r="D88" s="21" t="s">
        <v>111</v>
      </c>
      <c r="E88" s="21"/>
      <c r="F88" s="21"/>
      <c r="G88" s="21"/>
      <c r="H88" s="21" t="s">
        <v>943</v>
      </c>
    </row>
    <row r="89" spans="1:8" x14ac:dyDescent="0.35">
      <c r="A89" s="21" t="s">
        <v>5</v>
      </c>
      <c r="B89" s="21" t="s">
        <v>389</v>
      </c>
      <c r="C89" s="21" t="s">
        <v>711</v>
      </c>
      <c r="D89" s="21" t="s">
        <v>112</v>
      </c>
      <c r="E89" s="21"/>
      <c r="F89" s="21"/>
      <c r="G89" s="21"/>
      <c r="H89" s="21" t="s">
        <v>940</v>
      </c>
    </row>
    <row r="90" spans="1:8" x14ac:dyDescent="0.35">
      <c r="A90" s="21" t="s">
        <v>6</v>
      </c>
      <c r="B90" s="21" t="s">
        <v>400</v>
      </c>
      <c r="C90" s="21" t="s">
        <v>752</v>
      </c>
      <c r="D90" s="21" t="s">
        <v>113</v>
      </c>
      <c r="E90" s="21"/>
      <c r="F90" s="21"/>
      <c r="G90" s="21"/>
      <c r="H90" s="21" t="s">
        <v>946</v>
      </c>
    </row>
    <row r="91" spans="1:8" x14ac:dyDescent="0.35">
      <c r="A91" s="21" t="s">
        <v>11</v>
      </c>
      <c r="B91" s="21" t="s">
        <v>411</v>
      </c>
      <c r="C91" s="21" t="s">
        <v>792</v>
      </c>
      <c r="D91" s="21" t="s">
        <v>122</v>
      </c>
      <c r="E91" s="21"/>
      <c r="F91" s="21"/>
      <c r="G91" s="21"/>
      <c r="H91" s="21" t="s">
        <v>956</v>
      </c>
    </row>
    <row r="92" spans="1:8" x14ac:dyDescent="0.35">
      <c r="A92" s="21" t="s">
        <v>12</v>
      </c>
      <c r="B92" s="21" t="s">
        <v>432</v>
      </c>
      <c r="C92" s="21" t="s">
        <v>761</v>
      </c>
      <c r="D92" s="21" t="s">
        <v>1211</v>
      </c>
      <c r="E92" s="21"/>
      <c r="F92" s="21"/>
      <c r="G92" s="21"/>
      <c r="H92" s="21" t="s">
        <v>947</v>
      </c>
    </row>
    <row r="93" spans="1:8" x14ac:dyDescent="0.35">
      <c r="A93" s="21" t="s">
        <v>13</v>
      </c>
      <c r="B93" s="21" t="s">
        <v>453</v>
      </c>
      <c r="C93" s="21" t="s">
        <v>777</v>
      </c>
      <c r="D93" s="21" t="s">
        <v>123</v>
      </c>
      <c r="E93" s="21"/>
      <c r="F93" s="21"/>
      <c r="G93" s="21"/>
      <c r="H93" s="21" t="s">
        <v>953</v>
      </c>
    </row>
    <row r="94" spans="1:8" x14ac:dyDescent="0.35">
      <c r="A94" s="21" t="s">
        <v>15</v>
      </c>
      <c r="B94" s="21" t="s">
        <v>474</v>
      </c>
      <c r="C94" s="21" t="s">
        <v>780</v>
      </c>
      <c r="D94" s="21" t="s">
        <v>125</v>
      </c>
      <c r="E94" s="21"/>
      <c r="F94" s="21"/>
      <c r="G94" s="21"/>
      <c r="H94" s="21" t="s">
        <v>954</v>
      </c>
    </row>
    <row r="95" spans="1:8" x14ac:dyDescent="0.35">
      <c r="A95" s="21" t="s">
        <v>18</v>
      </c>
      <c r="B95" s="21" t="s">
        <v>487</v>
      </c>
      <c r="C95" s="21" t="s">
        <v>726</v>
      </c>
      <c r="D95" s="21" t="s">
        <v>128</v>
      </c>
      <c r="E95" s="21"/>
      <c r="F95" s="21"/>
      <c r="G95" s="21"/>
      <c r="H95" s="21" t="s">
        <v>944</v>
      </c>
    </row>
    <row r="96" spans="1:8" x14ac:dyDescent="0.35">
      <c r="A96" s="21" t="s">
        <v>20</v>
      </c>
      <c r="B96" s="21" t="s">
        <v>498</v>
      </c>
      <c r="C96" s="21" t="s">
        <v>705</v>
      </c>
      <c r="D96" s="21" t="s">
        <v>130</v>
      </c>
      <c r="E96" s="21"/>
      <c r="F96" s="21"/>
      <c r="G96" s="21"/>
      <c r="H96" s="21" t="s">
        <v>937</v>
      </c>
    </row>
    <row r="97" spans="1:8" x14ac:dyDescent="0.35">
      <c r="A97" s="21" t="s">
        <v>24</v>
      </c>
      <c r="B97" s="21" t="s">
        <v>378</v>
      </c>
      <c r="C97" s="21" t="s">
        <v>776</v>
      </c>
      <c r="D97" s="21" t="s">
        <v>135</v>
      </c>
      <c r="E97" s="21"/>
      <c r="F97" s="21"/>
      <c r="G97" s="21"/>
      <c r="H97" s="21" t="s">
        <v>952</v>
      </c>
    </row>
    <row r="98" spans="1:8" x14ac:dyDescent="0.35">
      <c r="A98" s="21" t="s">
        <v>26</v>
      </c>
      <c r="B98" s="21" t="s">
        <v>380</v>
      </c>
      <c r="C98" s="21" t="s">
        <v>821</v>
      </c>
      <c r="D98" s="21" t="s">
        <v>137</v>
      </c>
      <c r="E98" s="21"/>
      <c r="F98" s="21"/>
      <c r="G98" s="21"/>
      <c r="H98" s="21" t="s">
        <v>961</v>
      </c>
    </row>
    <row r="99" spans="1:8" x14ac:dyDescent="0.35">
      <c r="A99" s="21" t="s">
        <v>27</v>
      </c>
      <c r="B99" s="21" t="s">
        <v>381</v>
      </c>
      <c r="C99" s="21" t="s">
        <v>703</v>
      </c>
      <c r="D99" s="21" t="s">
        <v>138</v>
      </c>
      <c r="E99" s="21"/>
      <c r="F99" s="21"/>
      <c r="G99" s="21"/>
      <c r="H99" s="21" t="s">
        <v>936</v>
      </c>
    </row>
    <row r="100" spans="1:8" x14ac:dyDescent="0.35">
      <c r="A100" s="21" t="s">
        <v>28</v>
      </c>
      <c r="B100" s="21" t="s">
        <v>382</v>
      </c>
      <c r="C100" s="21" t="s">
        <v>813</v>
      </c>
      <c r="D100" s="21" t="s">
        <v>139</v>
      </c>
      <c r="E100" s="21"/>
      <c r="F100" s="21"/>
      <c r="G100" s="21"/>
      <c r="H100" s="21" t="s">
        <v>959</v>
      </c>
    </row>
    <row r="101" spans="1:8" x14ac:dyDescent="0.35">
      <c r="A101" s="21" t="s">
        <v>29</v>
      </c>
      <c r="B101" s="21" t="s">
        <v>383</v>
      </c>
      <c r="C101" s="21" t="s">
        <v>765</v>
      </c>
      <c r="D101" s="21" t="s">
        <v>140</v>
      </c>
      <c r="E101" s="21"/>
      <c r="F101" s="21"/>
      <c r="G101" s="21"/>
      <c r="H101" s="21" t="s">
        <v>949</v>
      </c>
    </row>
    <row r="102" spans="1:8" x14ac:dyDescent="0.35">
      <c r="A102" s="21" t="s">
        <v>32</v>
      </c>
      <c r="B102" s="21" t="s">
        <v>384</v>
      </c>
      <c r="C102" s="21" t="s">
        <v>830</v>
      </c>
      <c r="D102" s="21" t="s">
        <v>143</v>
      </c>
      <c r="E102" s="21"/>
      <c r="F102" s="21"/>
      <c r="G102" s="21"/>
      <c r="H102" s="21" t="s">
        <v>963</v>
      </c>
    </row>
    <row r="103" spans="1:8" x14ac:dyDescent="0.35">
      <c r="A103" s="21" t="s">
        <v>36</v>
      </c>
      <c r="B103" s="21" t="s">
        <v>385</v>
      </c>
      <c r="C103" s="21" t="s">
        <v>706</v>
      </c>
      <c r="D103" s="21" t="s">
        <v>147</v>
      </c>
      <c r="E103" s="21" t="s">
        <v>696</v>
      </c>
      <c r="F103" s="21" t="s">
        <v>602</v>
      </c>
      <c r="G103" s="21"/>
      <c r="H103" s="21" t="s">
        <v>938</v>
      </c>
    </row>
    <row r="104" spans="1:8" x14ac:dyDescent="0.35">
      <c r="A104" s="21" t="s">
        <v>38</v>
      </c>
      <c r="B104" s="21" t="s">
        <v>386</v>
      </c>
      <c r="C104" s="21" t="s">
        <v>714</v>
      </c>
      <c r="D104" s="21" t="s">
        <v>149</v>
      </c>
      <c r="E104" s="21"/>
      <c r="F104" s="21"/>
      <c r="G104" s="21"/>
      <c r="H104" s="21" t="s">
        <v>941</v>
      </c>
    </row>
    <row r="105" spans="1:8" x14ac:dyDescent="0.35">
      <c r="A105" s="21" t="s">
        <v>39</v>
      </c>
      <c r="B105" s="21" t="s">
        <v>387</v>
      </c>
      <c r="C105" s="21" t="s">
        <v>764</v>
      </c>
      <c r="D105" s="21" t="s">
        <v>150</v>
      </c>
      <c r="E105" s="21"/>
      <c r="F105" s="21"/>
      <c r="G105" s="21"/>
      <c r="H105" s="21" t="s">
        <v>948</v>
      </c>
    </row>
    <row r="106" spans="1:8" x14ac:dyDescent="0.35">
      <c r="A106" s="21" t="s">
        <v>40</v>
      </c>
      <c r="B106" s="21" t="s">
        <v>388</v>
      </c>
      <c r="C106" s="21" t="s">
        <v>799</v>
      </c>
      <c r="D106" s="21" t="s">
        <v>151</v>
      </c>
      <c r="E106" s="21"/>
      <c r="F106" s="21"/>
      <c r="G106" s="21"/>
      <c r="H106" s="21" t="s">
        <v>957</v>
      </c>
    </row>
    <row r="107" spans="1:8" x14ac:dyDescent="0.35">
      <c r="A107" s="21" t="s">
        <v>41</v>
      </c>
      <c r="B107" s="21" t="s">
        <v>390</v>
      </c>
      <c r="C107" s="21" t="s">
        <v>828</v>
      </c>
      <c r="D107" s="21" t="s">
        <v>152</v>
      </c>
      <c r="E107" s="21"/>
      <c r="F107" s="21"/>
      <c r="G107" s="21"/>
      <c r="H107" s="21" t="s">
        <v>962</v>
      </c>
    </row>
    <row r="108" spans="1:8" x14ac:dyDescent="0.35">
      <c r="A108" s="21" t="s">
        <v>42</v>
      </c>
      <c r="B108" s="21" t="s">
        <v>391</v>
      </c>
      <c r="C108" s="21" t="s">
        <v>744</v>
      </c>
      <c r="D108" s="21" t="s">
        <v>153</v>
      </c>
      <c r="E108" s="21"/>
      <c r="F108" s="21"/>
      <c r="G108" s="21"/>
      <c r="H108" s="21" t="s">
        <v>945</v>
      </c>
    </row>
    <row r="109" spans="1:8" x14ac:dyDescent="0.35">
      <c r="A109" s="21" t="s">
        <v>44</v>
      </c>
      <c r="B109" s="21" t="s">
        <v>392</v>
      </c>
      <c r="C109" s="21" t="s">
        <v>721</v>
      </c>
      <c r="D109" s="21" t="s">
        <v>155</v>
      </c>
      <c r="E109" s="21"/>
      <c r="F109" s="21"/>
      <c r="G109" s="21"/>
      <c r="H109" s="21" t="s">
        <v>942</v>
      </c>
    </row>
    <row r="110" spans="1:8" x14ac:dyDescent="0.35">
      <c r="A110" s="21" t="s">
        <v>45</v>
      </c>
      <c r="B110" s="21" t="s">
        <v>393</v>
      </c>
      <c r="C110" s="21" t="s">
        <v>820</v>
      </c>
      <c r="D110" s="21" t="s">
        <v>156</v>
      </c>
      <c r="E110" s="21"/>
      <c r="F110" s="21"/>
      <c r="G110" s="21"/>
      <c r="H110" s="21" t="s">
        <v>960</v>
      </c>
    </row>
    <row r="111" spans="1:8" x14ac:dyDescent="0.35">
      <c r="A111" s="21" t="s">
        <v>46</v>
      </c>
      <c r="B111" s="21" t="s">
        <v>394</v>
      </c>
      <c r="C111" s="21" t="s">
        <v>812</v>
      </c>
      <c r="D111" s="21" t="s">
        <v>157</v>
      </c>
      <c r="E111" s="21"/>
      <c r="F111" s="21"/>
      <c r="G111" s="21"/>
      <c r="H111" s="21" t="s">
        <v>958</v>
      </c>
    </row>
    <row r="112" spans="1:8" x14ac:dyDescent="0.35">
      <c r="A112" s="21" t="s">
        <v>47</v>
      </c>
      <c r="B112" s="21" t="s">
        <v>395</v>
      </c>
      <c r="C112" s="21" t="s">
        <v>707</v>
      </c>
      <c r="D112" s="21" t="s">
        <v>158</v>
      </c>
      <c r="E112" s="21"/>
      <c r="F112" s="21"/>
      <c r="G112" s="21"/>
      <c r="H112" s="21" t="s">
        <v>939</v>
      </c>
    </row>
    <row r="113" spans="1:8" x14ac:dyDescent="0.35">
      <c r="A113" s="21" t="s">
        <v>48</v>
      </c>
      <c r="B113" s="21" t="s">
        <v>396</v>
      </c>
      <c r="C113" s="21" t="s">
        <v>755</v>
      </c>
      <c r="D113" s="21" t="s">
        <v>160</v>
      </c>
      <c r="E113" s="21"/>
      <c r="F113" s="21"/>
      <c r="G113" s="21"/>
      <c r="H113" s="21" t="s">
        <v>976</v>
      </c>
    </row>
    <row r="114" spans="1:8" x14ac:dyDescent="0.35">
      <c r="A114" s="21" t="s">
        <v>52</v>
      </c>
      <c r="B114" s="21" t="s">
        <v>397</v>
      </c>
      <c r="C114" s="21" t="s">
        <v>802</v>
      </c>
      <c r="D114" s="21" t="s">
        <v>1212</v>
      </c>
      <c r="E114" s="21"/>
      <c r="F114" s="21"/>
      <c r="G114" s="21"/>
      <c r="H114" s="21" t="s">
        <v>978</v>
      </c>
    </row>
    <row r="115" spans="1:8" x14ac:dyDescent="0.35">
      <c r="A115" s="21" t="s">
        <v>53</v>
      </c>
      <c r="B115" s="21" t="s">
        <v>398</v>
      </c>
      <c r="C115" s="21" t="s">
        <v>747</v>
      </c>
      <c r="D115" s="21" t="s">
        <v>164</v>
      </c>
      <c r="E115" s="21"/>
      <c r="F115" s="21"/>
      <c r="G115" s="21"/>
      <c r="H115" s="21" t="s">
        <v>975</v>
      </c>
    </row>
    <row r="116" spans="1:8" x14ac:dyDescent="0.35">
      <c r="A116" s="21" t="s">
        <v>54</v>
      </c>
      <c r="B116" s="21" t="s">
        <v>399</v>
      </c>
      <c r="C116" s="21" t="s">
        <v>731</v>
      </c>
      <c r="D116" s="21" t="s">
        <v>165</v>
      </c>
      <c r="E116" s="21"/>
      <c r="F116" s="21"/>
      <c r="G116" s="21"/>
      <c r="H116" s="21" t="s">
        <v>974</v>
      </c>
    </row>
    <row r="117" spans="1:8" x14ac:dyDescent="0.35">
      <c r="A117" s="21" t="s">
        <v>59</v>
      </c>
      <c r="B117" s="21" t="s">
        <v>401</v>
      </c>
      <c r="C117" s="21" t="s">
        <v>732</v>
      </c>
      <c r="D117" s="21" t="s">
        <v>172</v>
      </c>
      <c r="E117" s="21"/>
      <c r="F117" s="21"/>
      <c r="G117" s="21"/>
      <c r="H117" s="21" t="s">
        <v>995</v>
      </c>
    </row>
    <row r="118" spans="1:8" x14ac:dyDescent="0.35">
      <c r="A118" s="21" t="s">
        <v>70</v>
      </c>
      <c r="B118" s="21" t="s">
        <v>402</v>
      </c>
      <c r="C118" s="21" t="s">
        <v>713</v>
      </c>
      <c r="D118" s="21" t="s">
        <v>118</v>
      </c>
      <c r="E118" s="21"/>
      <c r="F118" s="21"/>
      <c r="G118" s="21"/>
      <c r="H118" s="21" t="s">
        <v>935</v>
      </c>
    </row>
    <row r="119" spans="1:8" x14ac:dyDescent="0.35">
      <c r="A119" s="21" t="s">
        <v>92</v>
      </c>
      <c r="B119" s="21" t="s">
        <v>403</v>
      </c>
      <c r="C119" s="21" t="s">
        <v>769</v>
      </c>
      <c r="D119" s="21" t="s">
        <v>213</v>
      </c>
      <c r="E119" s="21"/>
      <c r="F119" s="21"/>
      <c r="G119" s="21"/>
      <c r="H119" s="21" t="s">
        <v>950</v>
      </c>
    </row>
    <row r="120" spans="1:8" x14ac:dyDescent="0.35">
      <c r="A120" s="21" t="s">
        <v>94</v>
      </c>
      <c r="B120" s="21" t="s">
        <v>404</v>
      </c>
      <c r="C120" s="21" t="s">
        <v>728</v>
      </c>
      <c r="D120" s="21" t="s">
        <v>117</v>
      </c>
      <c r="E120" s="21"/>
      <c r="F120" s="21"/>
      <c r="G120" s="21"/>
      <c r="H120" s="21" t="s">
        <v>934</v>
      </c>
    </row>
    <row r="121" spans="1:8" x14ac:dyDescent="0.35">
      <c r="A121" s="21" t="s">
        <v>95</v>
      </c>
      <c r="B121" s="21" t="s">
        <v>405</v>
      </c>
      <c r="C121" s="21" t="s">
        <v>787</v>
      </c>
      <c r="D121" s="21" t="s">
        <v>215</v>
      </c>
      <c r="E121" s="21"/>
      <c r="F121" s="21"/>
      <c r="G121" s="21"/>
      <c r="H121" s="21" t="s">
        <v>955</v>
      </c>
    </row>
    <row r="122" spans="1:8" x14ac:dyDescent="0.35">
      <c r="A122" s="21" t="s">
        <v>96</v>
      </c>
      <c r="B122" s="21" t="s">
        <v>406</v>
      </c>
      <c r="C122" s="21" t="s">
        <v>770</v>
      </c>
      <c r="D122" s="21" t="s">
        <v>216</v>
      </c>
      <c r="E122" s="21"/>
      <c r="F122" s="21"/>
      <c r="G122" s="21"/>
      <c r="H122" s="21" t="s">
        <v>951</v>
      </c>
    </row>
    <row r="123" spans="1:8" x14ac:dyDescent="0.35">
      <c r="A123" s="21" t="s">
        <v>97</v>
      </c>
      <c r="B123" s="21" t="s">
        <v>407</v>
      </c>
      <c r="C123" s="21" t="s">
        <v>793</v>
      </c>
      <c r="D123" s="21" t="s">
        <v>217</v>
      </c>
      <c r="E123" s="21"/>
      <c r="F123" s="21"/>
      <c r="G123" s="21"/>
      <c r="H123" s="21" t="s">
        <v>977</v>
      </c>
    </row>
    <row r="124" spans="1:8" x14ac:dyDescent="0.35">
      <c r="A124" s="21" t="s">
        <v>98</v>
      </c>
      <c r="B124" s="21" t="s">
        <v>408</v>
      </c>
      <c r="C124" s="21" t="s">
        <v>823</v>
      </c>
      <c r="D124" s="21" t="s">
        <v>218</v>
      </c>
      <c r="E124" s="21"/>
      <c r="F124" s="21"/>
      <c r="G124" s="21"/>
      <c r="H124" s="21" t="s">
        <v>979</v>
      </c>
    </row>
    <row r="125" spans="1:8" x14ac:dyDescent="0.35">
      <c r="A125" s="21" t="s">
        <v>99</v>
      </c>
      <c r="B125" s="21" t="s">
        <v>409</v>
      </c>
      <c r="C125" s="21" t="s">
        <v>843</v>
      </c>
      <c r="D125" s="21" t="s">
        <v>219</v>
      </c>
      <c r="E125" s="21"/>
      <c r="F125" s="21"/>
      <c r="G125" s="21"/>
      <c r="H125" s="21" t="s">
        <v>980</v>
      </c>
    </row>
    <row r="126" spans="1:8" x14ac:dyDescent="0.35">
      <c r="A126" s="21" t="s">
        <v>104</v>
      </c>
      <c r="B126" s="21" t="s">
        <v>410</v>
      </c>
      <c r="C126" s="21" t="s">
        <v>807</v>
      </c>
      <c r="D126" s="21" t="s">
        <v>225</v>
      </c>
      <c r="E126" s="21"/>
      <c r="F126" s="21"/>
      <c r="G126" s="21"/>
      <c r="H126" s="21" t="s">
        <v>1003</v>
      </c>
    </row>
    <row r="127" spans="1:8" x14ac:dyDescent="0.35">
      <c r="A127" s="21" t="s">
        <v>412</v>
      </c>
      <c r="B127" s="21" t="s">
        <v>413</v>
      </c>
      <c r="C127" s="21" t="s">
        <v>774</v>
      </c>
      <c r="D127" s="21" t="s">
        <v>1149</v>
      </c>
      <c r="E127" s="21" t="s">
        <v>698</v>
      </c>
      <c r="F127" s="21" t="s">
        <v>1149</v>
      </c>
      <c r="G127" s="21"/>
      <c r="H127" s="21" t="s">
        <v>998</v>
      </c>
    </row>
    <row r="128" spans="1:8" x14ac:dyDescent="0.35">
      <c r="A128" s="21" t="s">
        <v>414</v>
      </c>
      <c r="B128" s="21" t="s">
        <v>415</v>
      </c>
      <c r="C128" s="21" t="s">
        <v>798</v>
      </c>
      <c r="D128" s="21" t="s">
        <v>1127</v>
      </c>
      <c r="E128" s="21" t="s">
        <v>696</v>
      </c>
      <c r="F128" s="21" t="s">
        <v>630</v>
      </c>
      <c r="G128" s="21"/>
      <c r="H128" s="21" t="s">
        <v>908</v>
      </c>
    </row>
    <row r="129" spans="1:8" x14ac:dyDescent="0.35">
      <c r="A129" s="21" t="s">
        <v>416</v>
      </c>
      <c r="B129" s="21" t="s">
        <v>417</v>
      </c>
      <c r="C129" s="21" t="s">
        <v>749</v>
      </c>
      <c r="D129" s="21" t="s">
        <v>1179</v>
      </c>
      <c r="E129" s="21" t="s">
        <v>696</v>
      </c>
      <c r="F129" s="21" t="s">
        <v>631</v>
      </c>
      <c r="G129" s="21"/>
      <c r="H129" s="21" t="s">
        <v>997</v>
      </c>
    </row>
    <row r="130" spans="1:8" x14ac:dyDescent="0.35">
      <c r="A130" s="21" t="s">
        <v>418</v>
      </c>
      <c r="B130" s="21" t="s">
        <v>419</v>
      </c>
      <c r="C130" s="21" t="s">
        <v>818</v>
      </c>
      <c r="D130" s="21" t="s">
        <v>1181</v>
      </c>
      <c r="E130" s="21" t="s">
        <v>696</v>
      </c>
      <c r="F130" s="21" t="s">
        <v>632</v>
      </c>
      <c r="G130" s="21"/>
      <c r="H130" s="21" t="s">
        <v>999</v>
      </c>
    </row>
    <row r="131" spans="1:8" x14ac:dyDescent="0.35">
      <c r="A131" s="21" t="s">
        <v>420</v>
      </c>
      <c r="B131" s="21" t="s">
        <v>421</v>
      </c>
      <c r="C131" s="21" t="s">
        <v>739</v>
      </c>
      <c r="D131" s="21" t="s">
        <v>1168</v>
      </c>
      <c r="E131" s="20" t="s">
        <v>698</v>
      </c>
      <c r="F131" s="21" t="s">
        <v>1168</v>
      </c>
      <c r="G131" s="21"/>
      <c r="H131" s="21" t="s">
        <v>986</v>
      </c>
    </row>
    <row r="132" spans="1:8" x14ac:dyDescent="0.35">
      <c r="A132" s="21" t="s">
        <v>422</v>
      </c>
      <c r="B132" s="21" t="s">
        <v>423</v>
      </c>
      <c r="C132" s="21" t="s">
        <v>743</v>
      </c>
      <c r="D132" s="21" t="s">
        <v>1136</v>
      </c>
      <c r="E132" s="21" t="s">
        <v>698</v>
      </c>
      <c r="F132" s="21" t="s">
        <v>1136</v>
      </c>
      <c r="G132" s="21"/>
      <c r="H132" s="21" t="s">
        <v>964</v>
      </c>
    </row>
    <row r="133" spans="1:8" x14ac:dyDescent="0.35">
      <c r="A133" s="21" t="s">
        <v>424</v>
      </c>
      <c r="B133" s="21" t="s">
        <v>425</v>
      </c>
      <c r="C133" s="21" t="s">
        <v>790</v>
      </c>
      <c r="D133" s="21" t="s">
        <v>1126</v>
      </c>
      <c r="E133" s="21" t="s">
        <v>696</v>
      </c>
      <c r="F133" s="21" t="s">
        <v>635</v>
      </c>
      <c r="G133" s="21"/>
      <c r="H133" s="21" t="s">
        <v>907</v>
      </c>
    </row>
    <row r="134" spans="1:8" x14ac:dyDescent="0.35">
      <c r="A134" s="21" t="s">
        <v>426</v>
      </c>
      <c r="B134" s="21" t="s">
        <v>427</v>
      </c>
      <c r="C134" s="21" t="s">
        <v>831</v>
      </c>
      <c r="D134" s="21" t="s">
        <v>1129</v>
      </c>
      <c r="E134" s="21" t="s">
        <v>696</v>
      </c>
      <c r="F134" s="21" t="s">
        <v>636</v>
      </c>
      <c r="G134" s="21"/>
      <c r="H134" s="21" t="s">
        <v>910</v>
      </c>
    </row>
    <row r="135" spans="1:8" x14ac:dyDescent="0.35">
      <c r="A135" s="21" t="s">
        <v>428</v>
      </c>
      <c r="B135" s="21" t="s">
        <v>429</v>
      </c>
      <c r="C135" s="21" t="s">
        <v>720</v>
      </c>
      <c r="D135" s="21" t="s">
        <v>1178</v>
      </c>
      <c r="E135" s="21" t="s">
        <v>696</v>
      </c>
      <c r="F135" s="21" t="s">
        <v>637</v>
      </c>
      <c r="G135" s="21"/>
      <c r="H135" s="21" t="s">
        <v>996</v>
      </c>
    </row>
    <row r="136" spans="1:8" x14ac:dyDescent="0.35">
      <c r="A136" s="21" t="s">
        <v>430</v>
      </c>
      <c r="B136" s="21" t="s">
        <v>431</v>
      </c>
      <c r="C136" s="21" t="s">
        <v>872</v>
      </c>
      <c r="D136" s="21" t="s">
        <v>1143</v>
      </c>
      <c r="E136" s="21" t="s">
        <v>698</v>
      </c>
      <c r="F136" s="21" t="s">
        <v>1143</v>
      </c>
      <c r="G136" s="21"/>
      <c r="H136" s="21" t="s">
        <v>982</v>
      </c>
    </row>
    <row r="137" spans="1:8" x14ac:dyDescent="0.35">
      <c r="A137" s="21" t="s">
        <v>433</v>
      </c>
      <c r="B137" s="21" t="s">
        <v>434</v>
      </c>
      <c r="C137" s="21" t="s">
        <v>865</v>
      </c>
      <c r="D137" s="21" t="s">
        <v>1141</v>
      </c>
      <c r="E137" s="21" t="s">
        <v>698</v>
      </c>
      <c r="F137" s="21" t="s">
        <v>1141</v>
      </c>
      <c r="G137" s="21"/>
      <c r="H137" s="21" t="s">
        <v>969</v>
      </c>
    </row>
    <row r="138" spans="1:8" x14ac:dyDescent="0.35">
      <c r="A138" s="21" t="s">
        <v>435</v>
      </c>
      <c r="B138" s="21" t="s">
        <v>436</v>
      </c>
      <c r="C138" s="21" t="s">
        <v>775</v>
      </c>
      <c r="D138" s="21" t="s">
        <v>1145</v>
      </c>
      <c r="E138" s="21" t="s">
        <v>696</v>
      </c>
      <c r="F138" s="21" t="s">
        <v>641</v>
      </c>
      <c r="G138" s="21"/>
      <c r="H138" s="21" t="s">
        <v>989</v>
      </c>
    </row>
    <row r="139" spans="1:8" x14ac:dyDescent="0.35">
      <c r="A139" s="21" t="s">
        <v>437</v>
      </c>
      <c r="B139" s="21" t="s">
        <v>438</v>
      </c>
      <c r="C139" s="21" t="s">
        <v>825</v>
      </c>
      <c r="D139" s="21" t="s">
        <v>1146</v>
      </c>
      <c r="E139" s="21" t="s">
        <v>698</v>
      </c>
      <c r="F139" s="21" t="s">
        <v>1146</v>
      </c>
      <c r="G139" s="21"/>
      <c r="H139" s="21" t="s">
        <v>991</v>
      </c>
    </row>
    <row r="140" spans="1:8" x14ac:dyDescent="0.35">
      <c r="A140" s="21" t="s">
        <v>439</v>
      </c>
      <c r="B140" s="21" t="s">
        <v>440</v>
      </c>
      <c r="C140" s="21" t="s">
        <v>870</v>
      </c>
      <c r="D140" s="21" t="s">
        <v>1132</v>
      </c>
      <c r="E140" s="21" t="s">
        <v>698</v>
      </c>
      <c r="F140" s="21" t="s">
        <v>1132</v>
      </c>
      <c r="G140" s="21"/>
      <c r="H140" s="21" t="s">
        <v>913</v>
      </c>
    </row>
    <row r="141" spans="1:8" x14ac:dyDescent="0.35">
      <c r="A141" s="21" t="s">
        <v>441</v>
      </c>
      <c r="B141" s="21" t="s">
        <v>442</v>
      </c>
      <c r="C141" s="21" t="s">
        <v>756</v>
      </c>
      <c r="D141" s="21" t="s">
        <v>1169</v>
      </c>
      <c r="E141" s="21" t="s">
        <v>696</v>
      </c>
      <c r="F141" s="21" t="s">
        <v>644</v>
      </c>
      <c r="G141" s="21"/>
      <c r="H141" s="21" t="s">
        <v>987</v>
      </c>
    </row>
    <row r="142" spans="1:8" x14ac:dyDescent="0.35">
      <c r="A142" s="21" t="s">
        <v>443</v>
      </c>
      <c r="B142" s="21" t="s">
        <v>444</v>
      </c>
      <c r="C142" s="21" t="s">
        <v>859</v>
      </c>
      <c r="D142" s="21" t="s">
        <v>1148</v>
      </c>
      <c r="E142" s="21" t="s">
        <v>696</v>
      </c>
      <c r="F142" s="21" t="s">
        <v>1306</v>
      </c>
      <c r="G142" s="21"/>
      <c r="H142" s="21" t="s">
        <v>994</v>
      </c>
    </row>
    <row r="143" spans="1:8" x14ac:dyDescent="0.35">
      <c r="A143" s="21" t="s">
        <v>445</v>
      </c>
      <c r="B143" s="21" t="s">
        <v>446</v>
      </c>
      <c r="C143" s="21" t="s">
        <v>829</v>
      </c>
      <c r="D143" s="21" t="s">
        <v>1128</v>
      </c>
      <c r="E143" s="21" t="s">
        <v>696</v>
      </c>
      <c r="F143" s="21" t="s">
        <v>646</v>
      </c>
      <c r="G143" s="21"/>
      <c r="H143" s="21" t="s">
        <v>909</v>
      </c>
    </row>
    <row r="144" spans="1:8" x14ac:dyDescent="0.35">
      <c r="A144" s="21" t="s">
        <v>447</v>
      </c>
      <c r="B144" s="21" t="s">
        <v>448</v>
      </c>
      <c r="C144" s="21" t="s">
        <v>857</v>
      </c>
      <c r="D144" s="21" t="s">
        <v>1175</v>
      </c>
      <c r="E144" s="21" t="s">
        <v>696</v>
      </c>
      <c r="F144" s="21" t="s">
        <v>647</v>
      </c>
      <c r="G144" s="21"/>
      <c r="H144" s="21" t="s">
        <v>993</v>
      </c>
    </row>
    <row r="145" spans="1:8" x14ac:dyDescent="0.35">
      <c r="A145" s="21" t="s">
        <v>449</v>
      </c>
      <c r="B145" s="21" t="s">
        <v>450</v>
      </c>
      <c r="C145" s="21" t="s">
        <v>803</v>
      </c>
      <c r="D145" s="21" t="s">
        <v>1137</v>
      </c>
      <c r="E145" s="21" t="s">
        <v>698</v>
      </c>
      <c r="F145" s="21" t="s">
        <v>1137</v>
      </c>
      <c r="G145" s="21"/>
      <c r="H145" s="21" t="s">
        <v>965</v>
      </c>
    </row>
    <row r="146" spans="1:8" x14ac:dyDescent="0.35">
      <c r="A146" s="21" t="s">
        <v>451</v>
      </c>
      <c r="B146" s="21" t="s">
        <v>452</v>
      </c>
      <c r="C146" s="21" t="s">
        <v>842</v>
      </c>
      <c r="D146" s="21" t="s">
        <v>1139</v>
      </c>
      <c r="E146" s="21" t="s">
        <v>698</v>
      </c>
      <c r="F146" s="21" t="s">
        <v>1139</v>
      </c>
      <c r="G146" s="21"/>
      <c r="H146" s="21" t="s">
        <v>967</v>
      </c>
    </row>
    <row r="147" spans="1:8" x14ac:dyDescent="0.35">
      <c r="A147" s="21" t="s">
        <v>454</v>
      </c>
      <c r="B147" s="21" t="s">
        <v>455</v>
      </c>
      <c r="C147" s="21" t="s">
        <v>838</v>
      </c>
      <c r="D147" s="21" t="s">
        <v>1150</v>
      </c>
      <c r="E147" s="21" t="s">
        <v>698</v>
      </c>
      <c r="F147" s="21" t="s">
        <v>1150</v>
      </c>
      <c r="G147" s="21"/>
      <c r="H147" s="21" t="s">
        <v>1000</v>
      </c>
    </row>
    <row r="148" spans="1:8" x14ac:dyDescent="0.35">
      <c r="A148" s="21" t="s">
        <v>456</v>
      </c>
      <c r="B148" s="21" t="s">
        <v>457</v>
      </c>
      <c r="C148" s="21" t="s">
        <v>729</v>
      </c>
      <c r="D148" s="21" t="s">
        <v>1167</v>
      </c>
      <c r="E148" s="21" t="s">
        <v>696</v>
      </c>
      <c r="F148" s="21" t="s">
        <v>652</v>
      </c>
      <c r="G148" s="21"/>
      <c r="H148" s="21" t="s">
        <v>985</v>
      </c>
    </row>
    <row r="149" spans="1:8" x14ac:dyDescent="0.35">
      <c r="A149" s="21" t="s">
        <v>458</v>
      </c>
      <c r="B149" s="21" t="s">
        <v>459</v>
      </c>
      <c r="C149" s="21" t="s">
        <v>754</v>
      </c>
      <c r="D149" s="21" t="s">
        <v>1142</v>
      </c>
      <c r="E149" s="21" t="s">
        <v>696</v>
      </c>
      <c r="F149" s="21" t="s">
        <v>1311</v>
      </c>
      <c r="G149" s="21"/>
      <c r="H149" s="21" t="s">
        <v>981</v>
      </c>
    </row>
    <row r="150" spans="1:8" x14ac:dyDescent="0.35">
      <c r="A150" s="21" t="s">
        <v>460</v>
      </c>
      <c r="B150" s="21" t="s">
        <v>461</v>
      </c>
      <c r="C150" s="21" t="s">
        <v>757</v>
      </c>
      <c r="D150" s="21" t="s">
        <v>1144</v>
      </c>
      <c r="E150" s="21" t="s">
        <v>696</v>
      </c>
      <c r="F150" s="21" t="s">
        <v>654</v>
      </c>
      <c r="G150" s="21"/>
      <c r="H150" s="21" t="s">
        <v>988</v>
      </c>
    </row>
    <row r="151" spans="1:8" x14ac:dyDescent="0.35">
      <c r="A151" s="21" t="s">
        <v>462</v>
      </c>
      <c r="B151" s="21" t="s">
        <v>463</v>
      </c>
      <c r="C151" s="21" t="s">
        <v>788</v>
      </c>
      <c r="D151" s="21" t="s">
        <v>1172</v>
      </c>
      <c r="E151" s="21" t="s">
        <v>696</v>
      </c>
      <c r="F151" s="21" t="s">
        <v>655</v>
      </c>
      <c r="G151" s="21"/>
      <c r="H151" s="21" t="s">
        <v>990</v>
      </c>
    </row>
    <row r="152" spans="1:8" x14ac:dyDescent="0.35">
      <c r="A152" s="21" t="s">
        <v>464</v>
      </c>
      <c r="B152" s="21" t="s">
        <v>465</v>
      </c>
      <c r="C152" s="21" t="s">
        <v>873</v>
      </c>
      <c r="D152" s="21" t="s">
        <v>1133</v>
      </c>
      <c r="E152" s="21" t="s">
        <v>696</v>
      </c>
      <c r="F152" s="21" t="s">
        <v>656</v>
      </c>
      <c r="G152" s="21"/>
      <c r="H152" s="21" t="s">
        <v>914</v>
      </c>
    </row>
    <row r="153" spans="1:8" x14ac:dyDescent="0.35">
      <c r="A153" s="21" t="s">
        <v>466</v>
      </c>
      <c r="B153" s="21" t="s">
        <v>467</v>
      </c>
      <c r="C153" s="21" t="s">
        <v>877</v>
      </c>
      <c r="D153" s="21" t="s">
        <v>1152</v>
      </c>
      <c r="E153" s="21" t="s">
        <v>696</v>
      </c>
      <c r="F153" s="21" t="s">
        <v>1304</v>
      </c>
      <c r="G153" s="21"/>
      <c r="H153" s="21" t="s">
        <v>1002</v>
      </c>
    </row>
    <row r="154" spans="1:8" x14ac:dyDescent="0.35">
      <c r="A154" s="21" t="s">
        <v>468</v>
      </c>
      <c r="B154" s="21" t="s">
        <v>469</v>
      </c>
      <c r="C154" s="21" t="s">
        <v>856</v>
      </c>
      <c r="D154" s="21" t="s">
        <v>1131</v>
      </c>
      <c r="E154" s="21" t="s">
        <v>696</v>
      </c>
      <c r="F154" s="21" t="s">
        <v>658</v>
      </c>
      <c r="G154" s="21"/>
      <c r="H154" s="21" t="s">
        <v>912</v>
      </c>
    </row>
    <row r="155" spans="1:8" x14ac:dyDescent="0.35">
      <c r="A155" s="21" t="s">
        <v>470</v>
      </c>
      <c r="B155" s="21" t="s">
        <v>471</v>
      </c>
      <c r="C155" s="21" t="s">
        <v>847</v>
      </c>
      <c r="D155" s="21" t="s">
        <v>1151</v>
      </c>
      <c r="E155" s="21" t="s">
        <v>698</v>
      </c>
      <c r="F155" s="21" t="s">
        <v>1151</v>
      </c>
      <c r="G155" s="21"/>
      <c r="H155" s="21" t="s">
        <v>1001</v>
      </c>
    </row>
    <row r="156" spans="1:8" x14ac:dyDescent="0.35">
      <c r="A156" s="21" t="s">
        <v>472</v>
      </c>
      <c r="B156" s="21" t="s">
        <v>473</v>
      </c>
      <c r="C156" s="21" t="s">
        <v>860</v>
      </c>
      <c r="D156" s="21" t="s">
        <v>1140</v>
      </c>
      <c r="E156" s="21" t="s">
        <v>698</v>
      </c>
      <c r="F156" s="21" t="s">
        <v>1140</v>
      </c>
      <c r="G156" s="21"/>
      <c r="H156" s="21" t="s">
        <v>968</v>
      </c>
    </row>
    <row r="157" spans="1:8" x14ac:dyDescent="0.35">
      <c r="A157" s="21" t="s">
        <v>475</v>
      </c>
      <c r="B157" s="21" t="s">
        <v>476</v>
      </c>
      <c r="C157" s="21" t="s">
        <v>833</v>
      </c>
      <c r="D157" s="21" t="s">
        <v>1138</v>
      </c>
      <c r="E157" s="21" t="s">
        <v>698</v>
      </c>
      <c r="F157" s="21" t="s">
        <v>1138</v>
      </c>
      <c r="G157" s="21"/>
      <c r="H157" s="21" t="s">
        <v>966</v>
      </c>
    </row>
    <row r="158" spans="1:8" x14ac:dyDescent="0.35">
      <c r="A158" s="21" t="s">
        <v>477</v>
      </c>
      <c r="B158" s="21" t="s">
        <v>478</v>
      </c>
      <c r="C158" s="21" t="s">
        <v>852</v>
      </c>
      <c r="D158" s="21" t="s">
        <v>1130</v>
      </c>
      <c r="E158" s="21" t="s">
        <v>696</v>
      </c>
      <c r="F158" s="21" t="s">
        <v>663</v>
      </c>
      <c r="G158" s="21"/>
      <c r="H158" s="21" t="s">
        <v>911</v>
      </c>
    </row>
    <row r="159" spans="1:8" x14ac:dyDescent="0.35">
      <c r="A159" s="21" t="s">
        <v>479</v>
      </c>
      <c r="B159" s="21" t="s">
        <v>480</v>
      </c>
      <c r="C159" s="21" t="s">
        <v>848</v>
      </c>
      <c r="D159" s="21" t="s">
        <v>1147</v>
      </c>
      <c r="E159" s="21" t="s">
        <v>696</v>
      </c>
      <c r="F159" s="21" t="s">
        <v>1303</v>
      </c>
      <c r="G159" s="21"/>
      <c r="H159" s="21" t="s">
        <v>992</v>
      </c>
    </row>
    <row r="160" spans="1:8" x14ac:dyDescent="0.35">
      <c r="A160" s="21" t="s">
        <v>481</v>
      </c>
      <c r="B160" s="21" t="s">
        <v>482</v>
      </c>
      <c r="C160" s="21" t="s">
        <v>878</v>
      </c>
      <c r="D160" s="21" t="s">
        <v>1134</v>
      </c>
      <c r="E160" s="21" t="s">
        <v>696</v>
      </c>
      <c r="F160" s="21" t="s">
        <v>1308</v>
      </c>
      <c r="G160" s="21"/>
      <c r="H160" s="21" t="s">
        <v>915</v>
      </c>
    </row>
    <row r="161" spans="1:8" x14ac:dyDescent="0.35">
      <c r="A161" s="21" t="s">
        <v>14</v>
      </c>
      <c r="B161" s="21" t="s">
        <v>483</v>
      </c>
      <c r="C161" s="21" t="s">
        <v>766</v>
      </c>
      <c r="D161" s="21" t="s">
        <v>124</v>
      </c>
      <c r="E161" s="21"/>
      <c r="F161" s="21"/>
      <c r="G161" s="21"/>
      <c r="H161" s="21" t="s">
        <v>920</v>
      </c>
    </row>
    <row r="162" spans="1:8" x14ac:dyDescent="0.35">
      <c r="A162" s="21" t="s">
        <v>16</v>
      </c>
      <c r="B162" s="21" t="s">
        <v>484</v>
      </c>
      <c r="C162" s="21" t="s">
        <v>745</v>
      </c>
      <c r="D162" s="21" t="s">
        <v>126</v>
      </c>
      <c r="E162" s="21"/>
      <c r="F162" s="21"/>
      <c r="G162" s="21"/>
      <c r="H162" s="21" t="s">
        <v>918</v>
      </c>
    </row>
    <row r="163" spans="1:8" x14ac:dyDescent="0.35">
      <c r="A163" s="21" t="s">
        <v>17</v>
      </c>
      <c r="B163" s="21" t="s">
        <v>485</v>
      </c>
      <c r="C163" s="21" t="s">
        <v>809</v>
      </c>
      <c r="D163" s="21" t="s">
        <v>127</v>
      </c>
      <c r="E163" s="21"/>
      <c r="F163" s="21"/>
      <c r="G163" s="21"/>
      <c r="H163" s="21" t="s">
        <v>926</v>
      </c>
    </row>
    <row r="164" spans="1:8" x14ac:dyDescent="0.35">
      <c r="A164" s="21" t="s">
        <v>19</v>
      </c>
      <c r="B164" s="21" t="s">
        <v>486</v>
      </c>
      <c r="C164" s="21" t="s">
        <v>854</v>
      </c>
      <c r="D164" s="21" t="s">
        <v>129</v>
      </c>
      <c r="E164" s="21"/>
      <c r="F164" s="21"/>
      <c r="G164" s="21"/>
      <c r="H164" s="21" t="s">
        <v>932</v>
      </c>
    </row>
    <row r="165" spans="1:8" x14ac:dyDescent="0.35">
      <c r="A165" s="21" t="s">
        <v>21</v>
      </c>
      <c r="B165" s="21" t="s">
        <v>488</v>
      </c>
      <c r="C165" s="21" t="s">
        <v>811</v>
      </c>
      <c r="D165" s="21" t="s">
        <v>131</v>
      </c>
      <c r="E165" s="21"/>
      <c r="F165" s="21"/>
      <c r="G165" s="21"/>
      <c r="H165" s="21" t="s">
        <v>927</v>
      </c>
    </row>
    <row r="166" spans="1:8" x14ac:dyDescent="0.35">
      <c r="A166" s="21" t="s">
        <v>22</v>
      </c>
      <c r="B166" s="21" t="s">
        <v>489</v>
      </c>
      <c r="C166" s="21" t="s">
        <v>851</v>
      </c>
      <c r="D166" s="21" t="s">
        <v>133</v>
      </c>
      <c r="E166" s="21"/>
      <c r="F166" s="21"/>
      <c r="G166" s="21"/>
      <c r="H166" s="21" t="s">
        <v>930</v>
      </c>
    </row>
    <row r="167" spans="1:8" x14ac:dyDescent="0.35">
      <c r="A167" s="21" t="s">
        <v>23</v>
      </c>
      <c r="B167" s="21" t="s">
        <v>490</v>
      </c>
      <c r="C167" s="21" t="s">
        <v>789</v>
      </c>
      <c r="D167" s="21" t="s">
        <v>134</v>
      </c>
      <c r="E167" s="21"/>
      <c r="F167" s="21"/>
      <c r="G167" s="21"/>
      <c r="H167" s="21" t="s">
        <v>923</v>
      </c>
    </row>
    <row r="168" spans="1:8" x14ac:dyDescent="0.35">
      <c r="A168" s="21" t="s">
        <v>25</v>
      </c>
      <c r="B168" s="21" t="s">
        <v>491</v>
      </c>
      <c r="C168" s="21" t="s">
        <v>746</v>
      </c>
      <c r="D168" s="21" t="s">
        <v>136</v>
      </c>
      <c r="E168" s="21"/>
      <c r="F168" s="21"/>
      <c r="G168" s="21"/>
      <c r="H168" s="21" t="s">
        <v>919</v>
      </c>
    </row>
    <row r="169" spans="1:8" x14ac:dyDescent="0.35">
      <c r="A169" s="21" t="s">
        <v>30</v>
      </c>
      <c r="B169" s="21" t="s">
        <v>492</v>
      </c>
      <c r="C169" s="21" t="s">
        <v>853</v>
      </c>
      <c r="D169" s="21" t="s">
        <v>141</v>
      </c>
      <c r="E169" s="21"/>
      <c r="F169" s="21"/>
      <c r="G169" s="21"/>
      <c r="H169" s="21" t="s">
        <v>931</v>
      </c>
    </row>
    <row r="170" spans="1:8" x14ac:dyDescent="0.35">
      <c r="A170" s="21" t="s">
        <v>31</v>
      </c>
      <c r="B170" s="21" t="s">
        <v>493</v>
      </c>
      <c r="C170" s="21" t="s">
        <v>785</v>
      </c>
      <c r="D170" s="21" t="s">
        <v>142</v>
      </c>
      <c r="E170" s="21"/>
      <c r="F170" s="21"/>
      <c r="G170" s="21"/>
      <c r="H170" s="21" t="s">
        <v>922</v>
      </c>
    </row>
    <row r="171" spans="1:8" x14ac:dyDescent="0.35">
      <c r="A171" s="21" t="s">
        <v>33</v>
      </c>
      <c r="B171" s="21" t="s">
        <v>494</v>
      </c>
      <c r="C171" s="21" t="s">
        <v>836</v>
      </c>
      <c r="D171" s="21" t="s">
        <v>144</v>
      </c>
      <c r="E171" s="21"/>
      <c r="F171" s="21"/>
      <c r="G171" s="21"/>
      <c r="H171" s="21" t="s">
        <v>929</v>
      </c>
    </row>
    <row r="172" spans="1:8" x14ac:dyDescent="0.35">
      <c r="A172" s="21" t="s">
        <v>34</v>
      </c>
      <c r="B172" s="21" t="s">
        <v>495</v>
      </c>
      <c r="C172" s="21" t="s">
        <v>712</v>
      </c>
      <c r="D172" s="21" t="s">
        <v>145</v>
      </c>
      <c r="E172" s="21"/>
      <c r="F172" s="21"/>
      <c r="G172" s="21"/>
      <c r="H172" s="21" t="s">
        <v>916</v>
      </c>
    </row>
    <row r="173" spans="1:8" x14ac:dyDescent="0.35">
      <c r="A173" s="21" t="s">
        <v>35</v>
      </c>
      <c r="B173" s="21" t="s">
        <v>496</v>
      </c>
      <c r="C173" s="21" t="s">
        <v>741</v>
      </c>
      <c r="D173" s="21" t="s">
        <v>146</v>
      </c>
      <c r="E173" s="21"/>
      <c r="F173" s="21"/>
      <c r="G173" s="21"/>
      <c r="H173" s="21" t="s">
        <v>917</v>
      </c>
    </row>
    <row r="174" spans="1:8" x14ac:dyDescent="0.35">
      <c r="A174" s="21" t="s">
        <v>37</v>
      </c>
      <c r="B174" s="21" t="s">
        <v>497</v>
      </c>
      <c r="C174" s="21" t="s">
        <v>782</v>
      </c>
      <c r="D174" s="21" t="s">
        <v>148</v>
      </c>
      <c r="E174" s="21"/>
      <c r="F174" s="21"/>
      <c r="G174" s="21"/>
      <c r="H174" s="21" t="s">
        <v>921</v>
      </c>
    </row>
    <row r="175" spans="1:8" x14ac:dyDescent="0.35">
      <c r="A175" s="21" t="s">
        <v>43</v>
      </c>
      <c r="B175" s="21" t="s">
        <v>499</v>
      </c>
      <c r="C175" s="21" t="s">
        <v>805</v>
      </c>
      <c r="D175" s="21" t="s">
        <v>154</v>
      </c>
      <c r="E175" s="21"/>
      <c r="F175" s="21"/>
      <c r="G175" s="21"/>
      <c r="H175" s="21" t="s">
        <v>925</v>
      </c>
    </row>
    <row r="176" spans="1:8" x14ac:dyDescent="0.35">
      <c r="A176" s="21" t="s">
        <v>49</v>
      </c>
      <c r="B176" s="21" t="s">
        <v>500</v>
      </c>
      <c r="C176" s="21" t="s">
        <v>804</v>
      </c>
      <c r="D176" s="21" t="s">
        <v>161</v>
      </c>
      <c r="E176" s="21"/>
      <c r="F176" s="21"/>
      <c r="G176" s="21"/>
      <c r="H176" s="21" t="s">
        <v>972</v>
      </c>
    </row>
    <row r="177" spans="1:8" x14ac:dyDescent="0.35">
      <c r="A177" s="21" t="s">
        <v>50</v>
      </c>
      <c r="B177" s="21" t="s">
        <v>501</v>
      </c>
      <c r="C177" s="21" t="s">
        <v>779</v>
      </c>
      <c r="D177" s="21" t="s">
        <v>162</v>
      </c>
      <c r="E177" s="21"/>
      <c r="F177" s="21"/>
      <c r="G177" s="21"/>
      <c r="H177" s="21" t="s">
        <v>971</v>
      </c>
    </row>
    <row r="178" spans="1:8" x14ac:dyDescent="0.35">
      <c r="A178" s="21" t="s">
        <v>51</v>
      </c>
      <c r="B178" s="21" t="s">
        <v>502</v>
      </c>
      <c r="C178" s="21" t="s">
        <v>758</v>
      </c>
      <c r="D178" s="21" t="s">
        <v>163</v>
      </c>
      <c r="E178" s="21"/>
      <c r="F178" s="21"/>
      <c r="G178" s="21"/>
      <c r="H178" s="21" t="s">
        <v>970</v>
      </c>
    </row>
    <row r="179" spans="1:8" x14ac:dyDescent="0.35">
      <c r="A179" s="21" t="s">
        <v>90</v>
      </c>
      <c r="B179" s="21" t="s">
        <v>503</v>
      </c>
      <c r="C179" s="21" t="s">
        <v>824</v>
      </c>
      <c r="D179" s="21" t="s">
        <v>211</v>
      </c>
      <c r="E179" s="21"/>
      <c r="F179" s="21"/>
      <c r="G179" s="21"/>
      <c r="H179" s="21" t="s">
        <v>928</v>
      </c>
    </row>
    <row r="180" spans="1:8" x14ac:dyDescent="0.35">
      <c r="A180" s="21" t="s">
        <v>91</v>
      </c>
      <c r="B180" s="21" t="s">
        <v>504</v>
      </c>
      <c r="C180" s="21" t="s">
        <v>800</v>
      </c>
      <c r="D180" s="21" t="s">
        <v>212</v>
      </c>
      <c r="E180" s="21"/>
      <c r="F180" s="21"/>
      <c r="G180" s="21"/>
      <c r="H180" s="21" t="s">
        <v>924</v>
      </c>
    </row>
    <row r="181" spans="1:8" x14ac:dyDescent="0.35">
      <c r="A181" s="21" t="s">
        <v>93</v>
      </c>
      <c r="B181" s="21" t="s">
        <v>505</v>
      </c>
      <c r="C181" s="21" t="s">
        <v>858</v>
      </c>
      <c r="D181" s="21" t="s">
        <v>214</v>
      </c>
      <c r="E181" s="21"/>
      <c r="F181" s="21"/>
      <c r="G181" s="21"/>
      <c r="H181" s="21" t="s">
        <v>933</v>
      </c>
    </row>
    <row r="182" spans="1:8" x14ac:dyDescent="0.35">
      <c r="A182" s="21" t="s">
        <v>100</v>
      </c>
      <c r="B182" s="21" t="s">
        <v>506</v>
      </c>
      <c r="C182" s="21" t="s">
        <v>874</v>
      </c>
      <c r="D182" s="21" t="s">
        <v>220</v>
      </c>
      <c r="E182" s="21"/>
      <c r="F182" s="21"/>
      <c r="G182" s="21"/>
      <c r="H182" s="21" t="s">
        <v>973</v>
      </c>
    </row>
    <row r="183" spans="1:8" x14ac:dyDescent="0.35">
      <c r="A183" s="21" t="s">
        <v>101</v>
      </c>
      <c r="B183" s="21" t="s">
        <v>507</v>
      </c>
      <c r="C183" s="21" t="s">
        <v>875</v>
      </c>
      <c r="D183" s="21" t="s">
        <v>221</v>
      </c>
      <c r="E183" s="21"/>
      <c r="F183" s="21"/>
      <c r="G183" s="21"/>
      <c r="H183" s="21" t="s">
        <v>984</v>
      </c>
    </row>
    <row r="184" spans="1:8" x14ac:dyDescent="0.35">
      <c r="A184" s="21" t="s">
        <v>102</v>
      </c>
      <c r="B184" s="21" t="s">
        <v>508</v>
      </c>
      <c r="C184" s="21" t="s">
        <v>819</v>
      </c>
      <c r="D184" s="21" t="s">
        <v>223</v>
      </c>
      <c r="E184" s="21"/>
      <c r="F184" s="21"/>
      <c r="G184" s="21"/>
      <c r="H184" s="21" t="s">
        <v>983</v>
      </c>
    </row>
    <row r="185" spans="1:8" x14ac:dyDescent="0.35">
      <c r="A185" s="21" t="s">
        <v>103</v>
      </c>
      <c r="B185" s="21" t="s">
        <v>379</v>
      </c>
      <c r="C185" s="21" t="s">
        <v>753</v>
      </c>
      <c r="D185" s="21" t="s">
        <v>1215</v>
      </c>
      <c r="E185" s="21"/>
      <c r="F185" s="21"/>
      <c r="G185" s="21"/>
      <c r="H185" s="21" t="s">
        <v>1216</v>
      </c>
    </row>
  </sheetData>
  <phoneticPr fontId="5" type="noConversion"/>
  <conditionalFormatting sqref="A1:A1048576">
    <cfRule type="duplicateValues" dxfId="11" priority="1"/>
  </conditionalFormatting>
  <conditionalFormatting sqref="B1:B1048576">
    <cfRule type="duplicateValues" dxfId="10" priority="5"/>
  </conditionalFormatting>
  <pageMargins left="0.7" right="0.7" top="0.75" bottom="0.75" header="0.3" footer="0.3"/>
  <pageSetup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54591-AE6E-47CF-A4FF-C461319BBC1B}">
  <sheetPr codeName="Sheet6">
    <pageSetUpPr fitToPage="1"/>
  </sheetPr>
  <dimension ref="A1:D185"/>
  <sheetViews>
    <sheetView workbookViewId="0">
      <selection activeCell="L1" sqref="L1"/>
    </sheetView>
  </sheetViews>
  <sheetFormatPr defaultRowHeight="21" x14ac:dyDescent="0.35"/>
  <cols>
    <col min="1" max="1" width="11.42578125" style="22" bestFit="1" customWidth="1"/>
    <col min="2" max="2" width="28.42578125" style="22" bestFit="1" customWidth="1"/>
    <col min="3" max="3" width="50.5703125" style="22" bestFit="1" customWidth="1"/>
    <col min="4" max="4" width="34.140625" style="22" bestFit="1" customWidth="1"/>
  </cols>
  <sheetData>
    <row r="1" spans="1:4" x14ac:dyDescent="0.35">
      <c r="A1" s="20" t="s">
        <v>249</v>
      </c>
      <c r="B1" s="20" t="s">
        <v>247</v>
      </c>
      <c r="C1" s="20" t="s">
        <v>248</v>
      </c>
      <c r="D1" s="20" t="s">
        <v>1119</v>
      </c>
    </row>
    <row r="2" spans="1:4" x14ac:dyDescent="0.35">
      <c r="A2" s="21" t="s">
        <v>250</v>
      </c>
      <c r="B2" s="21" t="s">
        <v>1</v>
      </c>
      <c r="C2" s="21" t="s">
        <v>702</v>
      </c>
      <c r="D2" s="21" t="s">
        <v>107</v>
      </c>
    </row>
    <row r="3" spans="1:4" x14ac:dyDescent="0.35">
      <c r="A3" s="21" t="s">
        <v>266</v>
      </c>
      <c r="B3" s="21" t="s">
        <v>2</v>
      </c>
      <c r="C3" s="21" t="s">
        <v>750</v>
      </c>
      <c r="D3" s="21" t="s">
        <v>109</v>
      </c>
    </row>
    <row r="4" spans="1:4" x14ac:dyDescent="0.35">
      <c r="A4" s="21" t="s">
        <v>287</v>
      </c>
      <c r="B4" s="21" t="s">
        <v>3</v>
      </c>
      <c r="C4" s="21" t="s">
        <v>709</v>
      </c>
      <c r="D4" s="21" t="s">
        <v>110</v>
      </c>
    </row>
    <row r="5" spans="1:4" x14ac:dyDescent="0.35">
      <c r="A5" s="21" t="s">
        <v>307</v>
      </c>
      <c r="B5" s="21" t="s">
        <v>7</v>
      </c>
      <c r="C5" s="21" t="s">
        <v>704</v>
      </c>
      <c r="D5" s="21" t="s">
        <v>115</v>
      </c>
    </row>
    <row r="6" spans="1:4" x14ac:dyDescent="0.35">
      <c r="A6" s="21" t="s">
        <v>311</v>
      </c>
      <c r="B6" s="21" t="s">
        <v>8</v>
      </c>
      <c r="C6" s="21" t="s">
        <v>722</v>
      </c>
      <c r="D6" s="21" t="s">
        <v>116</v>
      </c>
    </row>
    <row r="7" spans="1:4" x14ac:dyDescent="0.35">
      <c r="A7" s="21" t="s">
        <v>312</v>
      </c>
      <c r="B7" s="21" t="s">
        <v>55</v>
      </c>
      <c r="C7" s="21" t="s">
        <v>762</v>
      </c>
      <c r="D7" s="21" t="s">
        <v>166</v>
      </c>
    </row>
    <row r="8" spans="1:4" x14ac:dyDescent="0.35">
      <c r="A8" s="21" t="s">
        <v>313</v>
      </c>
      <c r="B8" s="21" t="s">
        <v>56</v>
      </c>
      <c r="C8" s="21" t="s">
        <v>742</v>
      </c>
      <c r="D8" s="21" t="s">
        <v>168</v>
      </c>
    </row>
    <row r="9" spans="1:4" x14ac:dyDescent="0.35">
      <c r="A9" s="21" t="s">
        <v>314</v>
      </c>
      <c r="B9" s="21" t="s">
        <v>57</v>
      </c>
      <c r="C9" s="21" t="s">
        <v>768</v>
      </c>
      <c r="D9" s="21" t="s">
        <v>169</v>
      </c>
    </row>
    <row r="10" spans="1:4" x14ac:dyDescent="0.35">
      <c r="A10" s="21" t="s">
        <v>315</v>
      </c>
      <c r="B10" s="21" t="s">
        <v>58</v>
      </c>
      <c r="C10" s="21" t="s">
        <v>724</v>
      </c>
      <c r="D10" s="21" t="s">
        <v>171</v>
      </c>
    </row>
    <row r="11" spans="1:4" x14ac:dyDescent="0.35">
      <c r="A11" s="21" t="s">
        <v>251</v>
      </c>
      <c r="B11" s="21" t="s">
        <v>75</v>
      </c>
      <c r="C11" s="21" t="s">
        <v>827</v>
      </c>
      <c r="D11" s="21" t="s">
        <v>192</v>
      </c>
    </row>
    <row r="12" spans="1:4" x14ac:dyDescent="0.35">
      <c r="A12" s="21" t="s">
        <v>252</v>
      </c>
      <c r="B12" s="21" t="s">
        <v>76</v>
      </c>
      <c r="C12" s="21" t="s">
        <v>814</v>
      </c>
      <c r="D12" s="21" t="s">
        <v>193</v>
      </c>
    </row>
    <row r="13" spans="1:4" x14ac:dyDescent="0.35">
      <c r="A13" s="21" t="s">
        <v>253</v>
      </c>
      <c r="B13" s="21" t="s">
        <v>77</v>
      </c>
      <c r="C13" s="21" t="s">
        <v>730</v>
      </c>
      <c r="D13" s="21" t="s">
        <v>1214</v>
      </c>
    </row>
    <row r="14" spans="1:4" x14ac:dyDescent="0.35">
      <c r="A14" s="21" t="s">
        <v>254</v>
      </c>
      <c r="B14" s="21" t="s">
        <v>78</v>
      </c>
      <c r="C14" s="21" t="s">
        <v>822</v>
      </c>
      <c r="D14" s="21" t="s">
        <v>195</v>
      </c>
    </row>
    <row r="15" spans="1:4" x14ac:dyDescent="0.35">
      <c r="A15" s="21" t="s">
        <v>255</v>
      </c>
      <c r="B15" s="21" t="s">
        <v>230</v>
      </c>
      <c r="C15" s="21" t="s">
        <v>725</v>
      </c>
      <c r="D15" s="21" t="s">
        <v>1124</v>
      </c>
    </row>
    <row r="16" spans="1:4" x14ac:dyDescent="0.35">
      <c r="A16" s="21" t="s">
        <v>257</v>
      </c>
      <c r="B16" s="21" t="s">
        <v>256</v>
      </c>
      <c r="C16" s="21" t="s">
        <v>781</v>
      </c>
      <c r="D16" s="21" t="s">
        <v>1165</v>
      </c>
    </row>
    <row r="17" spans="1:4" x14ac:dyDescent="0.35">
      <c r="A17" s="21" t="s">
        <v>259</v>
      </c>
      <c r="B17" s="21" t="s">
        <v>258</v>
      </c>
      <c r="C17" s="21" t="s">
        <v>748</v>
      </c>
      <c r="D17" s="21" t="s">
        <v>1205</v>
      </c>
    </row>
    <row r="18" spans="1:4" x14ac:dyDescent="0.35">
      <c r="A18" s="21" t="s">
        <v>261</v>
      </c>
      <c r="B18" s="21" t="s">
        <v>260</v>
      </c>
      <c r="C18" s="21" t="s">
        <v>736</v>
      </c>
      <c r="D18" s="21" t="s">
        <v>1208</v>
      </c>
    </row>
    <row r="19" spans="1:4" x14ac:dyDescent="0.35">
      <c r="A19" s="21" t="s">
        <v>263</v>
      </c>
      <c r="B19" s="21" t="s">
        <v>262</v>
      </c>
      <c r="C19" s="21" t="s">
        <v>866</v>
      </c>
      <c r="D19" s="21" t="s">
        <v>1193</v>
      </c>
    </row>
    <row r="20" spans="1:4" x14ac:dyDescent="0.35">
      <c r="A20" s="21" t="s">
        <v>265</v>
      </c>
      <c r="B20" s="21" t="s">
        <v>264</v>
      </c>
      <c r="C20" s="21" t="s">
        <v>810</v>
      </c>
      <c r="D20" s="21" t="s">
        <v>1171</v>
      </c>
    </row>
    <row r="21" spans="1:4" x14ac:dyDescent="0.35">
      <c r="A21" s="21" t="s">
        <v>268</v>
      </c>
      <c r="B21" s="21" t="s">
        <v>267</v>
      </c>
      <c r="C21" s="21" t="s">
        <v>784</v>
      </c>
      <c r="D21" s="21" t="s">
        <v>1210</v>
      </c>
    </row>
    <row r="22" spans="1:4" x14ac:dyDescent="0.35">
      <c r="A22" s="21" t="s">
        <v>270</v>
      </c>
      <c r="B22" s="21" t="s">
        <v>269</v>
      </c>
      <c r="C22" s="21" t="s">
        <v>845</v>
      </c>
      <c r="D22" s="21" t="s">
        <v>1194</v>
      </c>
    </row>
    <row r="23" spans="1:4" x14ac:dyDescent="0.35">
      <c r="A23" s="21" t="s">
        <v>272</v>
      </c>
      <c r="B23" s="21" t="s">
        <v>271</v>
      </c>
      <c r="C23" s="21" t="s">
        <v>841</v>
      </c>
      <c r="D23" s="21" t="s">
        <v>1174</v>
      </c>
    </row>
    <row r="24" spans="1:4" x14ac:dyDescent="0.35">
      <c r="A24" s="21" t="s">
        <v>274</v>
      </c>
      <c r="B24" s="21" t="s">
        <v>273</v>
      </c>
      <c r="C24" s="21" t="s">
        <v>850</v>
      </c>
      <c r="D24" s="21" t="s">
        <v>1204</v>
      </c>
    </row>
    <row r="25" spans="1:4" x14ac:dyDescent="0.35">
      <c r="A25" s="21" t="s">
        <v>276</v>
      </c>
      <c r="B25" s="21" t="s">
        <v>275</v>
      </c>
      <c r="C25" s="21" t="s">
        <v>815</v>
      </c>
      <c r="D25" s="21" t="s">
        <v>1185</v>
      </c>
    </row>
    <row r="26" spans="1:4" x14ac:dyDescent="0.35">
      <c r="A26" s="21" t="s">
        <v>278</v>
      </c>
      <c r="B26" s="21" t="s">
        <v>277</v>
      </c>
      <c r="C26" s="21" t="s">
        <v>778</v>
      </c>
      <c r="D26" s="21" t="s">
        <v>1206</v>
      </c>
    </row>
    <row r="27" spans="1:4" x14ac:dyDescent="0.35">
      <c r="A27" s="21" t="s">
        <v>280</v>
      </c>
      <c r="B27" s="21" t="s">
        <v>279</v>
      </c>
      <c r="C27" s="21" t="s">
        <v>834</v>
      </c>
      <c r="D27" s="21" t="s">
        <v>1173</v>
      </c>
    </row>
    <row r="28" spans="1:4" x14ac:dyDescent="0.35">
      <c r="A28" s="21" t="s">
        <v>282</v>
      </c>
      <c r="B28" s="21" t="s">
        <v>281</v>
      </c>
      <c r="C28" s="21" t="s">
        <v>808</v>
      </c>
      <c r="D28" s="21" t="s">
        <v>1170</v>
      </c>
    </row>
    <row r="29" spans="1:4" x14ac:dyDescent="0.35">
      <c r="A29" s="21" t="s">
        <v>284</v>
      </c>
      <c r="B29" s="21" t="s">
        <v>283</v>
      </c>
      <c r="C29" s="21" t="s">
        <v>816</v>
      </c>
      <c r="D29" s="21" t="s">
        <v>1207</v>
      </c>
    </row>
    <row r="30" spans="1:4" x14ac:dyDescent="0.35">
      <c r="A30" s="21" t="s">
        <v>286</v>
      </c>
      <c r="B30" s="21" t="s">
        <v>285</v>
      </c>
      <c r="C30" s="21" t="s">
        <v>861</v>
      </c>
      <c r="D30" s="21" t="s">
        <v>1177</v>
      </c>
    </row>
    <row r="31" spans="1:4" x14ac:dyDescent="0.35">
      <c r="A31" s="21" t="s">
        <v>289</v>
      </c>
      <c r="B31" s="21" t="s">
        <v>288</v>
      </c>
      <c r="C31" s="21" t="s">
        <v>867</v>
      </c>
      <c r="D31" s="21" t="s">
        <v>1182</v>
      </c>
    </row>
    <row r="32" spans="1:4" x14ac:dyDescent="0.35">
      <c r="A32" s="21" t="s">
        <v>291</v>
      </c>
      <c r="B32" s="21" t="s">
        <v>290</v>
      </c>
      <c r="C32" s="21" t="s">
        <v>862</v>
      </c>
      <c r="D32" s="21" t="s">
        <v>1180</v>
      </c>
    </row>
    <row r="33" spans="1:4" x14ac:dyDescent="0.35">
      <c r="A33" s="21" t="s">
        <v>293</v>
      </c>
      <c r="B33" s="21" t="s">
        <v>292</v>
      </c>
      <c r="C33" s="21" t="s">
        <v>735</v>
      </c>
      <c r="D33" s="21" t="s">
        <v>1183</v>
      </c>
    </row>
    <row r="34" spans="1:4" x14ac:dyDescent="0.35">
      <c r="A34" s="21" t="s">
        <v>295</v>
      </c>
      <c r="B34" s="21" t="s">
        <v>294</v>
      </c>
      <c r="C34" s="21" t="s">
        <v>835</v>
      </c>
      <c r="D34" s="21" t="s">
        <v>1189</v>
      </c>
    </row>
    <row r="35" spans="1:4" x14ac:dyDescent="0.35">
      <c r="A35" s="21" t="s">
        <v>297</v>
      </c>
      <c r="B35" s="21" t="s">
        <v>296</v>
      </c>
      <c r="C35" s="21" t="s">
        <v>751</v>
      </c>
      <c r="D35" s="21" t="s">
        <v>1191</v>
      </c>
    </row>
    <row r="36" spans="1:4" x14ac:dyDescent="0.35">
      <c r="A36" s="21" t="s">
        <v>299</v>
      </c>
      <c r="B36" s="21" t="s">
        <v>298</v>
      </c>
      <c r="C36" s="21" t="s">
        <v>832</v>
      </c>
      <c r="D36" s="21" t="s">
        <v>1196</v>
      </c>
    </row>
    <row r="37" spans="1:4" x14ac:dyDescent="0.35">
      <c r="A37" s="21" t="s">
        <v>301</v>
      </c>
      <c r="B37" s="21" t="s">
        <v>300</v>
      </c>
      <c r="C37" s="21" t="s">
        <v>763</v>
      </c>
      <c r="D37" s="21" t="s">
        <v>1190</v>
      </c>
    </row>
    <row r="38" spans="1:4" x14ac:dyDescent="0.35">
      <c r="A38" s="21" t="s">
        <v>303</v>
      </c>
      <c r="B38" s="21" t="s">
        <v>302</v>
      </c>
      <c r="C38" s="21" t="s">
        <v>826</v>
      </c>
      <c r="D38" s="21" t="s">
        <v>1188</v>
      </c>
    </row>
    <row r="39" spans="1:4" x14ac:dyDescent="0.35">
      <c r="A39" s="21" t="s">
        <v>305</v>
      </c>
      <c r="B39" s="21" t="s">
        <v>304</v>
      </c>
      <c r="C39" s="21" t="s">
        <v>763</v>
      </c>
      <c r="D39" s="21" t="s">
        <v>1209</v>
      </c>
    </row>
    <row r="40" spans="1:4" x14ac:dyDescent="0.35">
      <c r="A40" s="21" t="s">
        <v>306</v>
      </c>
      <c r="B40" s="21" t="s">
        <v>308</v>
      </c>
      <c r="C40" s="21" t="s">
        <v>855</v>
      </c>
      <c r="D40" s="21" t="s">
        <v>1195</v>
      </c>
    </row>
    <row r="41" spans="1:4" x14ac:dyDescent="0.35">
      <c r="A41" s="21" t="s">
        <v>1333</v>
      </c>
      <c r="B41" s="21" t="s">
        <v>74</v>
      </c>
      <c r="C41" s="21" t="s">
        <v>880</v>
      </c>
      <c r="D41" s="21" t="s">
        <v>191</v>
      </c>
    </row>
    <row r="42" spans="1:4" x14ac:dyDescent="0.35">
      <c r="A42" s="21" t="s">
        <v>309</v>
      </c>
      <c r="B42" s="21" t="s">
        <v>72</v>
      </c>
      <c r="C42" s="21" t="s">
        <v>879</v>
      </c>
      <c r="D42" s="21" t="s">
        <v>188</v>
      </c>
    </row>
    <row r="43" spans="1:4" x14ac:dyDescent="0.35">
      <c r="A43" s="21" t="s">
        <v>310</v>
      </c>
      <c r="B43" s="21" t="s">
        <v>73</v>
      </c>
      <c r="C43" s="21" t="s">
        <v>864</v>
      </c>
      <c r="D43" s="21" t="s">
        <v>189</v>
      </c>
    </row>
    <row r="44" spans="1:4" x14ac:dyDescent="0.35">
      <c r="A44" s="21" t="s">
        <v>316</v>
      </c>
      <c r="B44" s="21" t="s">
        <v>9</v>
      </c>
      <c r="C44" s="21" t="s">
        <v>759</v>
      </c>
      <c r="D44" s="21" t="s">
        <v>120</v>
      </c>
    </row>
    <row r="45" spans="1:4" x14ac:dyDescent="0.35">
      <c r="A45" s="21" t="s">
        <v>332</v>
      </c>
      <c r="B45" s="21" t="s">
        <v>10</v>
      </c>
      <c r="C45" s="21" t="s">
        <v>717</v>
      </c>
      <c r="D45" s="21" t="s">
        <v>121</v>
      </c>
    </row>
    <row r="46" spans="1:4" x14ac:dyDescent="0.35">
      <c r="A46" s="21" t="s">
        <v>350</v>
      </c>
      <c r="B46" s="21" t="s">
        <v>60</v>
      </c>
      <c r="C46" s="21" t="s">
        <v>716</v>
      </c>
      <c r="D46" s="21" t="s">
        <v>174</v>
      </c>
    </row>
    <row r="47" spans="1:4" x14ac:dyDescent="0.35">
      <c r="A47" s="21" t="s">
        <v>353</v>
      </c>
      <c r="B47" s="21" t="s">
        <v>61</v>
      </c>
      <c r="C47" s="21" t="s">
        <v>719</v>
      </c>
      <c r="D47" s="21" t="s">
        <v>176</v>
      </c>
    </row>
    <row r="48" spans="1:4" x14ac:dyDescent="0.35">
      <c r="A48" s="21" t="s">
        <v>354</v>
      </c>
      <c r="B48" s="21" t="s">
        <v>62</v>
      </c>
      <c r="C48" s="21" t="s">
        <v>767</v>
      </c>
      <c r="D48" s="21" t="s">
        <v>178</v>
      </c>
    </row>
    <row r="49" spans="1:4" x14ac:dyDescent="0.35">
      <c r="A49" s="21" t="s">
        <v>355</v>
      </c>
      <c r="B49" s="21" t="s">
        <v>63</v>
      </c>
      <c r="C49" s="21" t="s">
        <v>727</v>
      </c>
      <c r="D49" s="21" t="s">
        <v>180</v>
      </c>
    </row>
    <row r="50" spans="1:4" x14ac:dyDescent="0.35">
      <c r="A50" s="21" t="s">
        <v>356</v>
      </c>
      <c r="B50" s="21" t="s">
        <v>64</v>
      </c>
      <c r="C50" s="21" t="s">
        <v>771</v>
      </c>
      <c r="D50" s="21" t="s">
        <v>181</v>
      </c>
    </row>
    <row r="51" spans="1:4" x14ac:dyDescent="0.35">
      <c r="A51" s="21" t="s">
        <v>357</v>
      </c>
      <c r="B51" s="21" t="s">
        <v>66</v>
      </c>
      <c r="C51" s="21" t="s">
        <v>733</v>
      </c>
      <c r="D51" s="21" t="s">
        <v>1213</v>
      </c>
    </row>
    <row r="52" spans="1:4" x14ac:dyDescent="0.35">
      <c r="A52" s="21" t="s">
        <v>358</v>
      </c>
      <c r="B52" s="21" t="s">
        <v>79</v>
      </c>
      <c r="C52" s="21" t="s">
        <v>716</v>
      </c>
      <c r="D52" s="21" t="s">
        <v>196</v>
      </c>
    </row>
    <row r="53" spans="1:4" x14ac:dyDescent="0.35">
      <c r="A53" s="21" t="s">
        <v>317</v>
      </c>
      <c r="B53" s="21" t="s">
        <v>81</v>
      </c>
      <c r="C53" s="21" t="s">
        <v>772</v>
      </c>
      <c r="D53" s="21" t="s">
        <v>198</v>
      </c>
    </row>
    <row r="54" spans="1:4" x14ac:dyDescent="0.35">
      <c r="A54" s="21" t="s">
        <v>318</v>
      </c>
      <c r="B54" s="21" t="s">
        <v>82</v>
      </c>
      <c r="C54" s="21" t="s">
        <v>760</v>
      </c>
      <c r="D54" s="21" t="s">
        <v>199</v>
      </c>
    </row>
    <row r="55" spans="1:4" x14ac:dyDescent="0.35">
      <c r="A55" s="21" t="s">
        <v>319</v>
      </c>
      <c r="B55" s="21" t="s">
        <v>84</v>
      </c>
      <c r="C55" s="21" t="s">
        <v>840</v>
      </c>
      <c r="D55" s="21" t="s">
        <v>201</v>
      </c>
    </row>
    <row r="56" spans="1:4" x14ac:dyDescent="0.35">
      <c r="A56" s="21" t="s">
        <v>320</v>
      </c>
      <c r="B56" s="21" t="s">
        <v>85</v>
      </c>
      <c r="C56" s="21" t="s">
        <v>846</v>
      </c>
      <c r="D56" s="21" t="s">
        <v>202</v>
      </c>
    </row>
    <row r="57" spans="1:4" x14ac:dyDescent="0.35">
      <c r="A57" s="21" t="s">
        <v>321</v>
      </c>
      <c r="B57" s="21" t="s">
        <v>229</v>
      </c>
      <c r="C57" s="21" t="s">
        <v>738</v>
      </c>
      <c r="D57" s="21" t="s">
        <v>1125</v>
      </c>
    </row>
    <row r="58" spans="1:4" x14ac:dyDescent="0.35">
      <c r="A58" s="21" t="s">
        <v>323</v>
      </c>
      <c r="B58" s="21" t="s">
        <v>322</v>
      </c>
      <c r="C58" s="21" t="s">
        <v>737</v>
      </c>
      <c r="D58" s="21" t="s">
        <v>1186</v>
      </c>
    </row>
    <row r="59" spans="1:4" x14ac:dyDescent="0.35">
      <c r="A59" s="21" t="s">
        <v>325</v>
      </c>
      <c r="B59" s="21" t="s">
        <v>324</v>
      </c>
      <c r="C59" s="21" t="s">
        <v>740</v>
      </c>
      <c r="D59" s="21" t="s">
        <v>1198</v>
      </c>
    </row>
    <row r="60" spans="1:4" x14ac:dyDescent="0.35">
      <c r="A60" s="21" t="s">
        <v>327</v>
      </c>
      <c r="B60" s="21" t="s">
        <v>326</v>
      </c>
      <c r="C60" s="21" t="s">
        <v>786</v>
      </c>
      <c r="D60" s="21" t="s">
        <v>1160</v>
      </c>
    </row>
    <row r="61" spans="1:4" x14ac:dyDescent="0.35">
      <c r="A61" s="21" t="s">
        <v>329</v>
      </c>
      <c r="B61" s="21" t="s">
        <v>328</v>
      </c>
      <c r="C61" s="21" t="s">
        <v>801</v>
      </c>
      <c r="D61" s="21" t="s">
        <v>1192</v>
      </c>
    </row>
    <row r="62" spans="1:4" x14ac:dyDescent="0.35">
      <c r="A62" s="21" t="s">
        <v>331</v>
      </c>
      <c r="B62" s="21" t="s">
        <v>330</v>
      </c>
      <c r="C62" s="21" t="s">
        <v>719</v>
      </c>
      <c r="D62" s="21" t="s">
        <v>1157</v>
      </c>
    </row>
    <row r="63" spans="1:4" x14ac:dyDescent="0.35">
      <c r="A63" s="21" t="s">
        <v>334</v>
      </c>
      <c r="B63" s="21" t="s">
        <v>333</v>
      </c>
      <c r="C63" s="21" t="s">
        <v>783</v>
      </c>
      <c r="D63" s="21" t="s">
        <v>1159</v>
      </c>
    </row>
    <row r="64" spans="1:4" x14ac:dyDescent="0.35">
      <c r="A64" s="21" t="s">
        <v>336</v>
      </c>
      <c r="B64" s="21" t="s">
        <v>335</v>
      </c>
      <c r="C64" s="21" t="s">
        <v>844</v>
      </c>
      <c r="D64" s="21" t="s">
        <v>1201</v>
      </c>
    </row>
    <row r="65" spans="1:4" x14ac:dyDescent="0.35">
      <c r="A65" s="21" t="s">
        <v>338</v>
      </c>
      <c r="B65" s="21" t="s">
        <v>337</v>
      </c>
      <c r="C65" s="21" t="s">
        <v>794</v>
      </c>
      <c r="D65" s="21" t="s">
        <v>1155</v>
      </c>
    </row>
    <row r="66" spans="1:4" x14ac:dyDescent="0.35">
      <c r="A66" s="21" t="s">
        <v>340</v>
      </c>
      <c r="B66" s="21" t="s">
        <v>339</v>
      </c>
      <c r="C66" s="21" t="s">
        <v>797</v>
      </c>
      <c r="D66" s="21" t="s">
        <v>1154</v>
      </c>
    </row>
    <row r="67" spans="1:4" x14ac:dyDescent="0.35">
      <c r="A67" s="21" t="s">
        <v>342</v>
      </c>
      <c r="B67" s="21" t="s">
        <v>341</v>
      </c>
      <c r="C67" s="21" t="s">
        <v>710</v>
      </c>
      <c r="D67" s="21" t="s">
        <v>1153</v>
      </c>
    </row>
    <row r="68" spans="1:4" x14ac:dyDescent="0.35">
      <c r="A68" s="21" t="s">
        <v>344</v>
      </c>
      <c r="B68" s="21" t="s">
        <v>343</v>
      </c>
      <c r="C68" s="21" t="s">
        <v>718</v>
      </c>
      <c r="D68" s="21" t="s">
        <v>1156</v>
      </c>
    </row>
    <row r="69" spans="1:4" x14ac:dyDescent="0.35">
      <c r="A69" s="21" t="s">
        <v>346</v>
      </c>
      <c r="B69" s="21" t="s">
        <v>345</v>
      </c>
      <c r="C69" s="21" t="s">
        <v>876</v>
      </c>
      <c r="D69" s="21" t="s">
        <v>1158</v>
      </c>
    </row>
    <row r="70" spans="1:4" x14ac:dyDescent="0.35">
      <c r="A70" s="21" t="s">
        <v>347</v>
      </c>
      <c r="B70" s="21" t="s">
        <v>65</v>
      </c>
      <c r="C70" s="21" t="s">
        <v>837</v>
      </c>
      <c r="D70" s="21" t="s">
        <v>182</v>
      </c>
    </row>
    <row r="71" spans="1:4" x14ac:dyDescent="0.35">
      <c r="A71" s="21" t="s">
        <v>348</v>
      </c>
      <c r="B71" s="21" t="s">
        <v>80</v>
      </c>
      <c r="C71" s="21" t="s">
        <v>868</v>
      </c>
      <c r="D71" s="21" t="s">
        <v>197</v>
      </c>
    </row>
    <row r="72" spans="1:4" x14ac:dyDescent="0.35">
      <c r="A72" s="21" t="s">
        <v>349</v>
      </c>
      <c r="B72" s="21" t="s">
        <v>83</v>
      </c>
      <c r="C72" s="21" t="s">
        <v>868</v>
      </c>
      <c r="D72" s="21" t="s">
        <v>200</v>
      </c>
    </row>
    <row r="73" spans="1:4" x14ac:dyDescent="0.35">
      <c r="A73" s="21" t="s">
        <v>351</v>
      </c>
      <c r="B73" s="21" t="s">
        <v>86</v>
      </c>
      <c r="C73" s="21" t="s">
        <v>869</v>
      </c>
      <c r="D73" s="21" t="s">
        <v>204</v>
      </c>
    </row>
    <row r="74" spans="1:4" x14ac:dyDescent="0.35">
      <c r="A74" s="21" t="s">
        <v>352</v>
      </c>
      <c r="B74" s="21" t="s">
        <v>87</v>
      </c>
      <c r="C74" s="21" t="s">
        <v>863</v>
      </c>
      <c r="D74" s="21" t="s">
        <v>206</v>
      </c>
    </row>
    <row r="75" spans="1:4" x14ac:dyDescent="0.35">
      <c r="A75" s="21" t="s">
        <v>359</v>
      </c>
      <c r="B75" s="21" t="s">
        <v>89</v>
      </c>
      <c r="C75" s="21" t="s">
        <v>734</v>
      </c>
      <c r="D75" s="21" t="s">
        <v>210</v>
      </c>
    </row>
    <row r="76" spans="1:4" x14ac:dyDescent="0.35">
      <c r="A76" s="21" t="s">
        <v>367</v>
      </c>
      <c r="B76" s="21" t="s">
        <v>366</v>
      </c>
      <c r="C76" s="21" t="s">
        <v>795</v>
      </c>
      <c r="D76" s="21" t="s">
        <v>1166</v>
      </c>
    </row>
    <row r="77" spans="1:4" x14ac:dyDescent="0.35">
      <c r="A77" s="21" t="s">
        <v>369</v>
      </c>
      <c r="B77" s="21" t="s">
        <v>368</v>
      </c>
      <c r="C77" s="21" t="s">
        <v>796</v>
      </c>
      <c r="D77" s="21" t="s">
        <v>1184</v>
      </c>
    </row>
    <row r="78" spans="1:4" x14ac:dyDescent="0.35">
      <c r="A78" s="21" t="s">
        <v>371</v>
      </c>
      <c r="B78" s="21" t="s">
        <v>370</v>
      </c>
      <c r="C78" s="21" t="s">
        <v>773</v>
      </c>
      <c r="D78" s="21" t="s">
        <v>1164</v>
      </c>
    </row>
    <row r="79" spans="1:4" x14ac:dyDescent="0.35">
      <c r="A79" s="21" t="s">
        <v>372</v>
      </c>
      <c r="B79" s="21" t="s">
        <v>88</v>
      </c>
      <c r="C79" s="21" t="s">
        <v>881</v>
      </c>
      <c r="D79" s="21" t="s">
        <v>208</v>
      </c>
    </row>
    <row r="80" spans="1:4" x14ac:dyDescent="0.35">
      <c r="A80" s="21" t="s">
        <v>373</v>
      </c>
      <c r="B80" s="21" t="s">
        <v>67</v>
      </c>
      <c r="C80" s="21" t="s">
        <v>791</v>
      </c>
      <c r="D80" s="21" t="s">
        <v>184</v>
      </c>
    </row>
    <row r="81" spans="1:4" x14ac:dyDescent="0.35">
      <c r="A81" s="21" t="s">
        <v>374</v>
      </c>
      <c r="B81" s="21" t="s">
        <v>68</v>
      </c>
      <c r="C81" s="21" t="s">
        <v>708</v>
      </c>
      <c r="D81" s="21" t="s">
        <v>185</v>
      </c>
    </row>
    <row r="82" spans="1:4" x14ac:dyDescent="0.35">
      <c r="A82" s="21" t="s">
        <v>375</v>
      </c>
      <c r="B82" s="21" t="s">
        <v>69</v>
      </c>
      <c r="C82" s="21" t="s">
        <v>715</v>
      </c>
      <c r="D82" s="21" t="s">
        <v>186</v>
      </c>
    </row>
    <row r="83" spans="1:4" x14ac:dyDescent="0.35">
      <c r="A83" s="21" t="s">
        <v>376</v>
      </c>
      <c r="B83" s="21" t="s">
        <v>71</v>
      </c>
      <c r="C83" s="21" t="s">
        <v>871</v>
      </c>
      <c r="D83" s="21" t="s">
        <v>187</v>
      </c>
    </row>
    <row r="84" spans="1:4" x14ac:dyDescent="0.35">
      <c r="A84" s="21" t="s">
        <v>361</v>
      </c>
      <c r="B84" s="21" t="s">
        <v>360</v>
      </c>
      <c r="C84" s="21" t="s">
        <v>849</v>
      </c>
      <c r="D84" s="21" t="s">
        <v>1203</v>
      </c>
    </row>
    <row r="85" spans="1:4" x14ac:dyDescent="0.35">
      <c r="A85" s="21" t="s">
        <v>363</v>
      </c>
      <c r="B85" s="21" t="s">
        <v>362</v>
      </c>
      <c r="C85" s="21" t="s">
        <v>817</v>
      </c>
      <c r="D85" s="21" t="s">
        <v>1200</v>
      </c>
    </row>
    <row r="86" spans="1:4" x14ac:dyDescent="0.35">
      <c r="A86" s="21" t="s">
        <v>365</v>
      </c>
      <c r="B86" s="21" t="s">
        <v>364</v>
      </c>
      <c r="C86" s="21" t="s">
        <v>839</v>
      </c>
      <c r="D86" s="21" t="s">
        <v>1162</v>
      </c>
    </row>
    <row r="87" spans="1:4" x14ac:dyDescent="0.35">
      <c r="A87" s="21" t="s">
        <v>701</v>
      </c>
      <c r="B87" s="21" t="s">
        <v>693</v>
      </c>
      <c r="C87" s="21" t="s">
        <v>806</v>
      </c>
      <c r="D87" s="21" t="s">
        <v>1199</v>
      </c>
    </row>
    <row r="88" spans="1:4" x14ac:dyDescent="0.35">
      <c r="A88" s="21" t="s">
        <v>377</v>
      </c>
      <c r="B88" s="21" t="s">
        <v>4</v>
      </c>
      <c r="C88" s="21" t="s">
        <v>723</v>
      </c>
      <c r="D88" s="21" t="s">
        <v>111</v>
      </c>
    </row>
    <row r="89" spans="1:4" x14ac:dyDescent="0.35">
      <c r="A89" s="21" t="s">
        <v>389</v>
      </c>
      <c r="B89" s="21" t="s">
        <v>5</v>
      </c>
      <c r="C89" s="21" t="s">
        <v>711</v>
      </c>
      <c r="D89" s="21" t="s">
        <v>112</v>
      </c>
    </row>
    <row r="90" spans="1:4" x14ac:dyDescent="0.35">
      <c r="A90" s="21" t="s">
        <v>400</v>
      </c>
      <c r="B90" s="21" t="s">
        <v>6</v>
      </c>
      <c r="C90" s="21" t="s">
        <v>752</v>
      </c>
      <c r="D90" s="21" t="s">
        <v>113</v>
      </c>
    </row>
    <row r="91" spans="1:4" x14ac:dyDescent="0.35">
      <c r="A91" s="21" t="s">
        <v>411</v>
      </c>
      <c r="B91" s="21" t="s">
        <v>11</v>
      </c>
      <c r="C91" s="21" t="s">
        <v>792</v>
      </c>
      <c r="D91" s="21" t="s">
        <v>122</v>
      </c>
    </row>
    <row r="92" spans="1:4" x14ac:dyDescent="0.35">
      <c r="A92" s="21" t="s">
        <v>432</v>
      </c>
      <c r="B92" s="21" t="s">
        <v>12</v>
      </c>
      <c r="C92" s="21" t="s">
        <v>761</v>
      </c>
      <c r="D92" s="21" t="s">
        <v>1211</v>
      </c>
    </row>
    <row r="93" spans="1:4" x14ac:dyDescent="0.35">
      <c r="A93" s="21" t="s">
        <v>453</v>
      </c>
      <c r="B93" s="21" t="s">
        <v>13</v>
      </c>
      <c r="C93" s="21" t="s">
        <v>777</v>
      </c>
      <c r="D93" s="21" t="s">
        <v>123</v>
      </c>
    </row>
    <row r="94" spans="1:4" x14ac:dyDescent="0.35">
      <c r="A94" s="21" t="s">
        <v>474</v>
      </c>
      <c r="B94" s="21" t="s">
        <v>15</v>
      </c>
      <c r="C94" s="21" t="s">
        <v>780</v>
      </c>
      <c r="D94" s="21" t="s">
        <v>125</v>
      </c>
    </row>
    <row r="95" spans="1:4" x14ac:dyDescent="0.35">
      <c r="A95" s="21" t="s">
        <v>487</v>
      </c>
      <c r="B95" s="21" t="s">
        <v>18</v>
      </c>
      <c r="C95" s="21" t="s">
        <v>726</v>
      </c>
      <c r="D95" s="21" t="s">
        <v>128</v>
      </c>
    </row>
    <row r="96" spans="1:4" x14ac:dyDescent="0.35">
      <c r="A96" s="21" t="s">
        <v>498</v>
      </c>
      <c r="B96" s="21" t="s">
        <v>20</v>
      </c>
      <c r="C96" s="21" t="s">
        <v>705</v>
      </c>
      <c r="D96" s="21" t="s">
        <v>130</v>
      </c>
    </row>
    <row r="97" spans="1:4" x14ac:dyDescent="0.35">
      <c r="A97" s="21" t="s">
        <v>378</v>
      </c>
      <c r="B97" s="21" t="s">
        <v>24</v>
      </c>
      <c r="C97" s="21" t="s">
        <v>776</v>
      </c>
      <c r="D97" s="21" t="s">
        <v>135</v>
      </c>
    </row>
    <row r="98" spans="1:4" x14ac:dyDescent="0.35">
      <c r="A98" s="21" t="s">
        <v>380</v>
      </c>
      <c r="B98" s="21" t="s">
        <v>26</v>
      </c>
      <c r="C98" s="21" t="s">
        <v>821</v>
      </c>
      <c r="D98" s="21" t="s">
        <v>137</v>
      </c>
    </row>
    <row r="99" spans="1:4" x14ac:dyDescent="0.35">
      <c r="A99" s="21" t="s">
        <v>381</v>
      </c>
      <c r="B99" s="21" t="s">
        <v>27</v>
      </c>
      <c r="C99" s="21" t="s">
        <v>703</v>
      </c>
      <c r="D99" s="21" t="s">
        <v>138</v>
      </c>
    </row>
    <row r="100" spans="1:4" x14ac:dyDescent="0.35">
      <c r="A100" s="21" t="s">
        <v>382</v>
      </c>
      <c r="B100" s="21" t="s">
        <v>28</v>
      </c>
      <c r="C100" s="21" t="s">
        <v>813</v>
      </c>
      <c r="D100" s="21" t="s">
        <v>139</v>
      </c>
    </row>
    <row r="101" spans="1:4" x14ac:dyDescent="0.35">
      <c r="A101" s="21" t="s">
        <v>383</v>
      </c>
      <c r="B101" s="21" t="s">
        <v>29</v>
      </c>
      <c r="C101" s="21" t="s">
        <v>765</v>
      </c>
      <c r="D101" s="21" t="s">
        <v>140</v>
      </c>
    </row>
    <row r="102" spans="1:4" x14ac:dyDescent="0.35">
      <c r="A102" s="21" t="s">
        <v>384</v>
      </c>
      <c r="B102" s="21" t="s">
        <v>32</v>
      </c>
      <c r="C102" s="21" t="s">
        <v>830</v>
      </c>
      <c r="D102" s="21" t="s">
        <v>143</v>
      </c>
    </row>
    <row r="103" spans="1:4" x14ac:dyDescent="0.35">
      <c r="A103" s="21" t="s">
        <v>385</v>
      </c>
      <c r="B103" s="21" t="s">
        <v>36</v>
      </c>
      <c r="C103" s="21" t="s">
        <v>706</v>
      </c>
      <c r="D103" s="21" t="s">
        <v>147</v>
      </c>
    </row>
    <row r="104" spans="1:4" x14ac:dyDescent="0.35">
      <c r="A104" s="21" t="s">
        <v>386</v>
      </c>
      <c r="B104" s="21" t="s">
        <v>38</v>
      </c>
      <c r="C104" s="21" t="s">
        <v>714</v>
      </c>
      <c r="D104" s="21" t="s">
        <v>149</v>
      </c>
    </row>
    <row r="105" spans="1:4" x14ac:dyDescent="0.35">
      <c r="A105" s="21" t="s">
        <v>387</v>
      </c>
      <c r="B105" s="21" t="s">
        <v>39</v>
      </c>
      <c r="C105" s="21" t="s">
        <v>764</v>
      </c>
      <c r="D105" s="21" t="s">
        <v>150</v>
      </c>
    </row>
    <row r="106" spans="1:4" x14ac:dyDescent="0.35">
      <c r="A106" s="21" t="s">
        <v>388</v>
      </c>
      <c r="B106" s="21" t="s">
        <v>40</v>
      </c>
      <c r="C106" s="21" t="s">
        <v>799</v>
      </c>
      <c r="D106" s="21" t="s">
        <v>151</v>
      </c>
    </row>
    <row r="107" spans="1:4" x14ac:dyDescent="0.35">
      <c r="A107" s="21" t="s">
        <v>390</v>
      </c>
      <c r="B107" s="21" t="s">
        <v>41</v>
      </c>
      <c r="C107" s="21" t="s">
        <v>828</v>
      </c>
      <c r="D107" s="21" t="s">
        <v>152</v>
      </c>
    </row>
    <row r="108" spans="1:4" x14ac:dyDescent="0.35">
      <c r="A108" s="21" t="s">
        <v>391</v>
      </c>
      <c r="B108" s="21" t="s">
        <v>42</v>
      </c>
      <c r="C108" s="21" t="s">
        <v>744</v>
      </c>
      <c r="D108" s="21" t="s">
        <v>153</v>
      </c>
    </row>
    <row r="109" spans="1:4" x14ac:dyDescent="0.35">
      <c r="A109" s="21" t="s">
        <v>392</v>
      </c>
      <c r="B109" s="21" t="s">
        <v>44</v>
      </c>
      <c r="C109" s="21" t="s">
        <v>721</v>
      </c>
      <c r="D109" s="21" t="s">
        <v>155</v>
      </c>
    </row>
    <row r="110" spans="1:4" x14ac:dyDescent="0.35">
      <c r="A110" s="21" t="s">
        <v>393</v>
      </c>
      <c r="B110" s="21" t="s">
        <v>45</v>
      </c>
      <c r="C110" s="21" t="s">
        <v>820</v>
      </c>
      <c r="D110" s="21" t="s">
        <v>156</v>
      </c>
    </row>
    <row r="111" spans="1:4" x14ac:dyDescent="0.35">
      <c r="A111" s="21" t="s">
        <v>394</v>
      </c>
      <c r="B111" s="21" t="s">
        <v>46</v>
      </c>
      <c r="C111" s="21" t="s">
        <v>812</v>
      </c>
      <c r="D111" s="21" t="s">
        <v>157</v>
      </c>
    </row>
    <row r="112" spans="1:4" x14ac:dyDescent="0.35">
      <c r="A112" s="21" t="s">
        <v>395</v>
      </c>
      <c r="B112" s="21" t="s">
        <v>47</v>
      </c>
      <c r="C112" s="21" t="s">
        <v>707</v>
      </c>
      <c r="D112" s="21" t="s">
        <v>158</v>
      </c>
    </row>
    <row r="113" spans="1:4" x14ac:dyDescent="0.35">
      <c r="A113" s="21" t="s">
        <v>396</v>
      </c>
      <c r="B113" s="21" t="s">
        <v>48</v>
      </c>
      <c r="C113" s="21" t="s">
        <v>755</v>
      </c>
      <c r="D113" s="21" t="s">
        <v>160</v>
      </c>
    </row>
    <row r="114" spans="1:4" x14ac:dyDescent="0.35">
      <c r="A114" s="21" t="s">
        <v>397</v>
      </c>
      <c r="B114" s="21" t="s">
        <v>52</v>
      </c>
      <c r="C114" s="21" t="s">
        <v>802</v>
      </c>
      <c r="D114" s="21" t="s">
        <v>1212</v>
      </c>
    </row>
    <row r="115" spans="1:4" x14ac:dyDescent="0.35">
      <c r="A115" s="21" t="s">
        <v>398</v>
      </c>
      <c r="B115" s="21" t="s">
        <v>53</v>
      </c>
      <c r="C115" s="21" t="s">
        <v>747</v>
      </c>
      <c r="D115" s="21" t="s">
        <v>164</v>
      </c>
    </row>
    <row r="116" spans="1:4" x14ac:dyDescent="0.35">
      <c r="A116" s="21" t="s">
        <v>399</v>
      </c>
      <c r="B116" s="21" t="s">
        <v>54</v>
      </c>
      <c r="C116" s="21" t="s">
        <v>731</v>
      </c>
      <c r="D116" s="21" t="s">
        <v>165</v>
      </c>
    </row>
    <row r="117" spans="1:4" x14ac:dyDescent="0.35">
      <c r="A117" s="21" t="s">
        <v>401</v>
      </c>
      <c r="B117" s="21" t="s">
        <v>59</v>
      </c>
      <c r="C117" s="21" t="s">
        <v>732</v>
      </c>
      <c r="D117" s="21" t="s">
        <v>172</v>
      </c>
    </row>
    <row r="118" spans="1:4" x14ac:dyDescent="0.35">
      <c r="A118" s="21" t="s">
        <v>402</v>
      </c>
      <c r="B118" s="21" t="s">
        <v>70</v>
      </c>
      <c r="C118" s="21" t="s">
        <v>713</v>
      </c>
      <c r="D118" s="21" t="s">
        <v>118</v>
      </c>
    </row>
    <row r="119" spans="1:4" x14ac:dyDescent="0.35">
      <c r="A119" s="21" t="s">
        <v>403</v>
      </c>
      <c r="B119" s="21" t="s">
        <v>92</v>
      </c>
      <c r="C119" s="21" t="s">
        <v>769</v>
      </c>
      <c r="D119" s="21" t="s">
        <v>213</v>
      </c>
    </row>
    <row r="120" spans="1:4" x14ac:dyDescent="0.35">
      <c r="A120" s="21" t="s">
        <v>404</v>
      </c>
      <c r="B120" s="21" t="s">
        <v>94</v>
      </c>
      <c r="C120" s="21" t="s">
        <v>728</v>
      </c>
      <c r="D120" s="21" t="s">
        <v>117</v>
      </c>
    </row>
    <row r="121" spans="1:4" x14ac:dyDescent="0.35">
      <c r="A121" s="21" t="s">
        <v>405</v>
      </c>
      <c r="B121" s="21" t="s">
        <v>95</v>
      </c>
      <c r="C121" s="21" t="s">
        <v>787</v>
      </c>
      <c r="D121" s="21" t="s">
        <v>215</v>
      </c>
    </row>
    <row r="122" spans="1:4" x14ac:dyDescent="0.35">
      <c r="A122" s="21" t="s">
        <v>406</v>
      </c>
      <c r="B122" s="21" t="s">
        <v>96</v>
      </c>
      <c r="C122" s="21" t="s">
        <v>770</v>
      </c>
      <c r="D122" s="21" t="s">
        <v>216</v>
      </c>
    </row>
    <row r="123" spans="1:4" x14ac:dyDescent="0.35">
      <c r="A123" s="21" t="s">
        <v>407</v>
      </c>
      <c r="B123" s="21" t="s">
        <v>97</v>
      </c>
      <c r="C123" s="21" t="s">
        <v>793</v>
      </c>
      <c r="D123" s="21" t="s">
        <v>217</v>
      </c>
    </row>
    <row r="124" spans="1:4" x14ac:dyDescent="0.35">
      <c r="A124" s="21" t="s">
        <v>408</v>
      </c>
      <c r="B124" s="21" t="s">
        <v>98</v>
      </c>
      <c r="C124" s="21" t="s">
        <v>823</v>
      </c>
      <c r="D124" s="21" t="s">
        <v>218</v>
      </c>
    </row>
    <row r="125" spans="1:4" x14ac:dyDescent="0.35">
      <c r="A125" s="21" t="s">
        <v>409</v>
      </c>
      <c r="B125" s="21" t="s">
        <v>99</v>
      </c>
      <c r="C125" s="21" t="s">
        <v>843</v>
      </c>
      <c r="D125" s="21" t="s">
        <v>219</v>
      </c>
    </row>
    <row r="126" spans="1:4" x14ac:dyDescent="0.35">
      <c r="A126" s="21" t="s">
        <v>410</v>
      </c>
      <c r="B126" s="21" t="s">
        <v>104</v>
      </c>
      <c r="C126" s="21" t="s">
        <v>807</v>
      </c>
      <c r="D126" s="21" t="s">
        <v>225</v>
      </c>
    </row>
    <row r="127" spans="1:4" x14ac:dyDescent="0.35">
      <c r="A127" s="21" t="s">
        <v>413</v>
      </c>
      <c r="B127" s="21" t="s">
        <v>412</v>
      </c>
      <c r="C127" s="21" t="s">
        <v>774</v>
      </c>
      <c r="D127" s="21" t="s">
        <v>1149</v>
      </c>
    </row>
    <row r="128" spans="1:4" x14ac:dyDescent="0.35">
      <c r="A128" s="21" t="s">
        <v>415</v>
      </c>
      <c r="B128" s="21" t="s">
        <v>414</v>
      </c>
      <c r="C128" s="21" t="s">
        <v>798</v>
      </c>
      <c r="D128" s="21" t="s">
        <v>1127</v>
      </c>
    </row>
    <row r="129" spans="1:4" x14ac:dyDescent="0.35">
      <c r="A129" s="21" t="s">
        <v>417</v>
      </c>
      <c r="B129" s="21" t="s">
        <v>416</v>
      </c>
      <c r="C129" s="21" t="s">
        <v>749</v>
      </c>
      <c r="D129" s="21" t="s">
        <v>1179</v>
      </c>
    </row>
    <row r="130" spans="1:4" x14ac:dyDescent="0.35">
      <c r="A130" s="21" t="s">
        <v>419</v>
      </c>
      <c r="B130" s="21" t="s">
        <v>418</v>
      </c>
      <c r="C130" s="21" t="s">
        <v>818</v>
      </c>
      <c r="D130" s="21" t="s">
        <v>1181</v>
      </c>
    </row>
    <row r="131" spans="1:4" x14ac:dyDescent="0.35">
      <c r="A131" s="21" t="s">
        <v>421</v>
      </c>
      <c r="B131" s="21" t="s">
        <v>420</v>
      </c>
      <c r="C131" s="21" t="s">
        <v>739</v>
      </c>
      <c r="D131" s="21" t="s">
        <v>1168</v>
      </c>
    </row>
    <row r="132" spans="1:4" x14ac:dyDescent="0.35">
      <c r="A132" s="21" t="s">
        <v>423</v>
      </c>
      <c r="B132" s="21" t="s">
        <v>422</v>
      </c>
      <c r="C132" s="21" t="s">
        <v>743</v>
      </c>
      <c r="D132" s="21" t="s">
        <v>1136</v>
      </c>
    </row>
    <row r="133" spans="1:4" x14ac:dyDescent="0.35">
      <c r="A133" s="21" t="s">
        <v>425</v>
      </c>
      <c r="B133" s="21" t="s">
        <v>424</v>
      </c>
      <c r="C133" s="21" t="s">
        <v>790</v>
      </c>
      <c r="D133" s="21" t="s">
        <v>1126</v>
      </c>
    </row>
    <row r="134" spans="1:4" x14ac:dyDescent="0.35">
      <c r="A134" s="21" t="s">
        <v>427</v>
      </c>
      <c r="B134" s="21" t="s">
        <v>426</v>
      </c>
      <c r="C134" s="21" t="s">
        <v>831</v>
      </c>
      <c r="D134" s="21" t="s">
        <v>1129</v>
      </c>
    </row>
    <row r="135" spans="1:4" x14ac:dyDescent="0.35">
      <c r="A135" s="21" t="s">
        <v>429</v>
      </c>
      <c r="B135" s="21" t="s">
        <v>428</v>
      </c>
      <c r="C135" s="21" t="s">
        <v>720</v>
      </c>
      <c r="D135" s="21" t="s">
        <v>1178</v>
      </c>
    </row>
    <row r="136" spans="1:4" x14ac:dyDescent="0.35">
      <c r="A136" s="21" t="s">
        <v>431</v>
      </c>
      <c r="B136" s="21" t="s">
        <v>430</v>
      </c>
      <c r="C136" s="21" t="s">
        <v>872</v>
      </c>
      <c r="D136" s="21" t="s">
        <v>1143</v>
      </c>
    </row>
    <row r="137" spans="1:4" x14ac:dyDescent="0.35">
      <c r="A137" s="21" t="s">
        <v>434</v>
      </c>
      <c r="B137" s="21" t="s">
        <v>433</v>
      </c>
      <c r="C137" s="21" t="s">
        <v>865</v>
      </c>
      <c r="D137" s="21" t="s">
        <v>1141</v>
      </c>
    </row>
    <row r="138" spans="1:4" x14ac:dyDescent="0.35">
      <c r="A138" s="21" t="s">
        <v>436</v>
      </c>
      <c r="B138" s="21" t="s">
        <v>435</v>
      </c>
      <c r="C138" s="21" t="s">
        <v>775</v>
      </c>
      <c r="D138" s="21" t="s">
        <v>1145</v>
      </c>
    </row>
    <row r="139" spans="1:4" x14ac:dyDescent="0.35">
      <c r="A139" s="21" t="s">
        <v>438</v>
      </c>
      <c r="B139" s="21" t="s">
        <v>437</v>
      </c>
      <c r="C139" s="21" t="s">
        <v>825</v>
      </c>
      <c r="D139" s="21" t="s">
        <v>1146</v>
      </c>
    </row>
    <row r="140" spans="1:4" x14ac:dyDescent="0.35">
      <c r="A140" s="21" t="s">
        <v>440</v>
      </c>
      <c r="B140" s="21" t="s">
        <v>439</v>
      </c>
      <c r="C140" s="21" t="s">
        <v>870</v>
      </c>
      <c r="D140" s="21" t="s">
        <v>1132</v>
      </c>
    </row>
    <row r="141" spans="1:4" x14ac:dyDescent="0.35">
      <c r="A141" s="21" t="s">
        <v>442</v>
      </c>
      <c r="B141" s="21" t="s">
        <v>441</v>
      </c>
      <c r="C141" s="21" t="s">
        <v>756</v>
      </c>
      <c r="D141" s="21" t="s">
        <v>1169</v>
      </c>
    </row>
    <row r="142" spans="1:4" x14ac:dyDescent="0.35">
      <c r="A142" s="21" t="s">
        <v>444</v>
      </c>
      <c r="B142" s="21" t="s">
        <v>443</v>
      </c>
      <c r="C142" s="21" t="s">
        <v>859</v>
      </c>
      <c r="D142" s="21" t="s">
        <v>1148</v>
      </c>
    </row>
    <row r="143" spans="1:4" x14ac:dyDescent="0.35">
      <c r="A143" s="21" t="s">
        <v>446</v>
      </c>
      <c r="B143" s="21" t="s">
        <v>445</v>
      </c>
      <c r="C143" s="21" t="s">
        <v>829</v>
      </c>
      <c r="D143" s="21" t="s">
        <v>1128</v>
      </c>
    </row>
    <row r="144" spans="1:4" x14ac:dyDescent="0.35">
      <c r="A144" s="21" t="s">
        <v>448</v>
      </c>
      <c r="B144" s="21" t="s">
        <v>447</v>
      </c>
      <c r="C144" s="21" t="s">
        <v>857</v>
      </c>
      <c r="D144" s="21" t="s">
        <v>1175</v>
      </c>
    </row>
    <row r="145" spans="1:4" x14ac:dyDescent="0.35">
      <c r="A145" s="21" t="s">
        <v>450</v>
      </c>
      <c r="B145" s="21" t="s">
        <v>449</v>
      </c>
      <c r="C145" s="21" t="s">
        <v>803</v>
      </c>
      <c r="D145" s="21" t="s">
        <v>1137</v>
      </c>
    </row>
    <row r="146" spans="1:4" x14ac:dyDescent="0.35">
      <c r="A146" s="21" t="s">
        <v>452</v>
      </c>
      <c r="B146" s="21" t="s">
        <v>451</v>
      </c>
      <c r="C146" s="21" t="s">
        <v>842</v>
      </c>
      <c r="D146" s="21" t="s">
        <v>1139</v>
      </c>
    </row>
    <row r="147" spans="1:4" x14ac:dyDescent="0.35">
      <c r="A147" s="21" t="s">
        <v>455</v>
      </c>
      <c r="B147" s="21" t="s">
        <v>454</v>
      </c>
      <c r="C147" s="21" t="s">
        <v>838</v>
      </c>
      <c r="D147" s="21" t="s">
        <v>1150</v>
      </c>
    </row>
    <row r="148" spans="1:4" x14ac:dyDescent="0.35">
      <c r="A148" s="21" t="s">
        <v>457</v>
      </c>
      <c r="B148" s="21" t="s">
        <v>456</v>
      </c>
      <c r="C148" s="21" t="s">
        <v>729</v>
      </c>
      <c r="D148" s="21" t="s">
        <v>1167</v>
      </c>
    </row>
    <row r="149" spans="1:4" x14ac:dyDescent="0.35">
      <c r="A149" s="21" t="s">
        <v>459</v>
      </c>
      <c r="B149" s="21" t="s">
        <v>458</v>
      </c>
      <c r="C149" s="21" t="s">
        <v>754</v>
      </c>
      <c r="D149" s="21" t="s">
        <v>1142</v>
      </c>
    </row>
    <row r="150" spans="1:4" x14ac:dyDescent="0.35">
      <c r="A150" s="21" t="s">
        <v>461</v>
      </c>
      <c r="B150" s="21" t="s">
        <v>460</v>
      </c>
      <c r="C150" s="21" t="s">
        <v>757</v>
      </c>
      <c r="D150" s="21" t="s">
        <v>1144</v>
      </c>
    </row>
    <row r="151" spans="1:4" x14ac:dyDescent="0.35">
      <c r="A151" s="21" t="s">
        <v>463</v>
      </c>
      <c r="B151" s="21" t="s">
        <v>462</v>
      </c>
      <c r="C151" s="21" t="s">
        <v>788</v>
      </c>
      <c r="D151" s="21" t="s">
        <v>1172</v>
      </c>
    </row>
    <row r="152" spans="1:4" x14ac:dyDescent="0.35">
      <c r="A152" s="21" t="s">
        <v>465</v>
      </c>
      <c r="B152" s="21" t="s">
        <v>464</v>
      </c>
      <c r="C152" s="21" t="s">
        <v>873</v>
      </c>
      <c r="D152" s="21" t="s">
        <v>1133</v>
      </c>
    </row>
    <row r="153" spans="1:4" x14ac:dyDescent="0.35">
      <c r="A153" s="21" t="s">
        <v>467</v>
      </c>
      <c r="B153" s="21" t="s">
        <v>466</v>
      </c>
      <c r="C153" s="21" t="s">
        <v>877</v>
      </c>
      <c r="D153" s="21" t="s">
        <v>1152</v>
      </c>
    </row>
    <row r="154" spans="1:4" x14ac:dyDescent="0.35">
      <c r="A154" s="21" t="s">
        <v>469</v>
      </c>
      <c r="B154" s="21" t="s">
        <v>468</v>
      </c>
      <c r="C154" s="21" t="s">
        <v>856</v>
      </c>
      <c r="D154" s="21" t="s">
        <v>1131</v>
      </c>
    </row>
    <row r="155" spans="1:4" x14ac:dyDescent="0.35">
      <c r="A155" s="21" t="s">
        <v>471</v>
      </c>
      <c r="B155" s="21" t="s">
        <v>470</v>
      </c>
      <c r="C155" s="21" t="s">
        <v>847</v>
      </c>
      <c r="D155" s="21" t="s">
        <v>1151</v>
      </c>
    </row>
    <row r="156" spans="1:4" x14ac:dyDescent="0.35">
      <c r="A156" s="21" t="s">
        <v>473</v>
      </c>
      <c r="B156" s="21" t="s">
        <v>472</v>
      </c>
      <c r="C156" s="21" t="s">
        <v>860</v>
      </c>
      <c r="D156" s="21" t="s">
        <v>1140</v>
      </c>
    </row>
    <row r="157" spans="1:4" x14ac:dyDescent="0.35">
      <c r="A157" s="21" t="s">
        <v>476</v>
      </c>
      <c r="B157" s="21" t="s">
        <v>475</v>
      </c>
      <c r="C157" s="21" t="s">
        <v>833</v>
      </c>
      <c r="D157" s="21" t="s">
        <v>1138</v>
      </c>
    </row>
    <row r="158" spans="1:4" x14ac:dyDescent="0.35">
      <c r="A158" s="21" t="s">
        <v>478</v>
      </c>
      <c r="B158" s="21" t="s">
        <v>477</v>
      </c>
      <c r="C158" s="21" t="s">
        <v>852</v>
      </c>
      <c r="D158" s="21" t="s">
        <v>1130</v>
      </c>
    </row>
    <row r="159" spans="1:4" x14ac:dyDescent="0.35">
      <c r="A159" s="21" t="s">
        <v>480</v>
      </c>
      <c r="B159" s="21" t="s">
        <v>479</v>
      </c>
      <c r="C159" s="21" t="s">
        <v>848</v>
      </c>
      <c r="D159" s="21" t="s">
        <v>1147</v>
      </c>
    </row>
    <row r="160" spans="1:4" x14ac:dyDescent="0.35">
      <c r="A160" s="21" t="s">
        <v>482</v>
      </c>
      <c r="B160" s="21" t="s">
        <v>481</v>
      </c>
      <c r="C160" s="21" t="s">
        <v>878</v>
      </c>
      <c r="D160" s="21" t="s">
        <v>1134</v>
      </c>
    </row>
    <row r="161" spans="1:4" x14ac:dyDescent="0.35">
      <c r="A161" s="21" t="s">
        <v>483</v>
      </c>
      <c r="B161" s="21" t="s">
        <v>14</v>
      </c>
      <c r="C161" s="21" t="s">
        <v>766</v>
      </c>
      <c r="D161" s="21" t="s">
        <v>124</v>
      </c>
    </row>
    <row r="162" spans="1:4" x14ac:dyDescent="0.35">
      <c r="A162" s="21" t="s">
        <v>484</v>
      </c>
      <c r="B162" s="21" t="s">
        <v>16</v>
      </c>
      <c r="C162" s="21" t="s">
        <v>745</v>
      </c>
      <c r="D162" s="21" t="s">
        <v>126</v>
      </c>
    </row>
    <row r="163" spans="1:4" x14ac:dyDescent="0.35">
      <c r="A163" s="21" t="s">
        <v>485</v>
      </c>
      <c r="B163" s="21" t="s">
        <v>17</v>
      </c>
      <c r="C163" s="21" t="s">
        <v>809</v>
      </c>
      <c r="D163" s="21" t="s">
        <v>127</v>
      </c>
    </row>
    <row r="164" spans="1:4" x14ac:dyDescent="0.35">
      <c r="A164" s="21" t="s">
        <v>486</v>
      </c>
      <c r="B164" s="21" t="s">
        <v>19</v>
      </c>
      <c r="C164" s="21" t="s">
        <v>854</v>
      </c>
      <c r="D164" s="21" t="s">
        <v>129</v>
      </c>
    </row>
    <row r="165" spans="1:4" x14ac:dyDescent="0.35">
      <c r="A165" s="21" t="s">
        <v>488</v>
      </c>
      <c r="B165" s="21" t="s">
        <v>21</v>
      </c>
      <c r="C165" s="21" t="s">
        <v>811</v>
      </c>
      <c r="D165" s="21" t="s">
        <v>131</v>
      </c>
    </row>
    <row r="166" spans="1:4" x14ac:dyDescent="0.35">
      <c r="A166" s="21" t="s">
        <v>489</v>
      </c>
      <c r="B166" s="21" t="s">
        <v>22</v>
      </c>
      <c r="C166" s="21" t="s">
        <v>851</v>
      </c>
      <c r="D166" s="21" t="s">
        <v>133</v>
      </c>
    </row>
    <row r="167" spans="1:4" x14ac:dyDescent="0.35">
      <c r="A167" s="21" t="s">
        <v>490</v>
      </c>
      <c r="B167" s="21" t="s">
        <v>23</v>
      </c>
      <c r="C167" s="21" t="s">
        <v>789</v>
      </c>
      <c r="D167" s="21" t="s">
        <v>134</v>
      </c>
    </row>
    <row r="168" spans="1:4" x14ac:dyDescent="0.35">
      <c r="A168" s="21" t="s">
        <v>491</v>
      </c>
      <c r="B168" s="21" t="s">
        <v>25</v>
      </c>
      <c r="C168" s="21" t="s">
        <v>746</v>
      </c>
      <c r="D168" s="21" t="s">
        <v>136</v>
      </c>
    </row>
    <row r="169" spans="1:4" x14ac:dyDescent="0.35">
      <c r="A169" s="21" t="s">
        <v>492</v>
      </c>
      <c r="B169" s="21" t="s">
        <v>30</v>
      </c>
      <c r="C169" s="21" t="s">
        <v>853</v>
      </c>
      <c r="D169" s="21" t="s">
        <v>141</v>
      </c>
    </row>
    <row r="170" spans="1:4" x14ac:dyDescent="0.35">
      <c r="A170" s="21" t="s">
        <v>493</v>
      </c>
      <c r="B170" s="21" t="s">
        <v>31</v>
      </c>
      <c r="C170" s="21" t="s">
        <v>785</v>
      </c>
      <c r="D170" s="21" t="s">
        <v>142</v>
      </c>
    </row>
    <row r="171" spans="1:4" x14ac:dyDescent="0.35">
      <c r="A171" s="21" t="s">
        <v>494</v>
      </c>
      <c r="B171" s="21" t="s">
        <v>33</v>
      </c>
      <c r="C171" s="21" t="s">
        <v>836</v>
      </c>
      <c r="D171" s="21" t="s">
        <v>144</v>
      </c>
    </row>
    <row r="172" spans="1:4" x14ac:dyDescent="0.35">
      <c r="A172" s="21" t="s">
        <v>495</v>
      </c>
      <c r="B172" s="21" t="s">
        <v>34</v>
      </c>
      <c r="C172" s="21" t="s">
        <v>712</v>
      </c>
      <c r="D172" s="21" t="s">
        <v>145</v>
      </c>
    </row>
    <row r="173" spans="1:4" x14ac:dyDescent="0.35">
      <c r="A173" s="21" t="s">
        <v>496</v>
      </c>
      <c r="B173" s="21" t="s">
        <v>35</v>
      </c>
      <c r="C173" s="21" t="s">
        <v>741</v>
      </c>
      <c r="D173" s="21" t="s">
        <v>146</v>
      </c>
    </row>
    <row r="174" spans="1:4" x14ac:dyDescent="0.35">
      <c r="A174" s="21" t="s">
        <v>497</v>
      </c>
      <c r="B174" s="21" t="s">
        <v>37</v>
      </c>
      <c r="C174" s="21" t="s">
        <v>782</v>
      </c>
      <c r="D174" s="21" t="s">
        <v>148</v>
      </c>
    </row>
    <row r="175" spans="1:4" x14ac:dyDescent="0.35">
      <c r="A175" s="21" t="s">
        <v>499</v>
      </c>
      <c r="B175" s="21" t="s">
        <v>43</v>
      </c>
      <c r="C175" s="21" t="s">
        <v>805</v>
      </c>
      <c r="D175" s="21" t="s">
        <v>154</v>
      </c>
    </row>
    <row r="176" spans="1:4" x14ac:dyDescent="0.35">
      <c r="A176" s="21" t="s">
        <v>500</v>
      </c>
      <c r="B176" s="21" t="s">
        <v>49</v>
      </c>
      <c r="C176" s="21" t="s">
        <v>804</v>
      </c>
      <c r="D176" s="21" t="s">
        <v>161</v>
      </c>
    </row>
    <row r="177" spans="1:4" x14ac:dyDescent="0.35">
      <c r="A177" s="21" t="s">
        <v>501</v>
      </c>
      <c r="B177" s="21" t="s">
        <v>50</v>
      </c>
      <c r="C177" s="21" t="s">
        <v>779</v>
      </c>
      <c r="D177" s="21" t="s">
        <v>162</v>
      </c>
    </row>
    <row r="178" spans="1:4" x14ac:dyDescent="0.35">
      <c r="A178" s="21" t="s">
        <v>502</v>
      </c>
      <c r="B178" s="21" t="s">
        <v>51</v>
      </c>
      <c r="C178" s="21" t="s">
        <v>758</v>
      </c>
      <c r="D178" s="21" t="s">
        <v>163</v>
      </c>
    </row>
    <row r="179" spans="1:4" x14ac:dyDescent="0.35">
      <c r="A179" s="21" t="s">
        <v>503</v>
      </c>
      <c r="B179" s="21" t="s">
        <v>90</v>
      </c>
      <c r="C179" s="21" t="s">
        <v>824</v>
      </c>
      <c r="D179" s="21" t="s">
        <v>211</v>
      </c>
    </row>
    <row r="180" spans="1:4" x14ac:dyDescent="0.35">
      <c r="A180" s="21" t="s">
        <v>504</v>
      </c>
      <c r="B180" s="21" t="s">
        <v>91</v>
      </c>
      <c r="C180" s="21" t="s">
        <v>800</v>
      </c>
      <c r="D180" s="21" t="s">
        <v>212</v>
      </c>
    </row>
    <row r="181" spans="1:4" x14ac:dyDescent="0.35">
      <c r="A181" s="21" t="s">
        <v>505</v>
      </c>
      <c r="B181" s="21" t="s">
        <v>93</v>
      </c>
      <c r="C181" s="21" t="s">
        <v>858</v>
      </c>
      <c r="D181" s="21" t="s">
        <v>214</v>
      </c>
    </row>
    <row r="182" spans="1:4" x14ac:dyDescent="0.35">
      <c r="A182" s="21" t="s">
        <v>506</v>
      </c>
      <c r="B182" s="21" t="s">
        <v>100</v>
      </c>
      <c r="C182" s="21" t="s">
        <v>874</v>
      </c>
      <c r="D182" s="21" t="s">
        <v>220</v>
      </c>
    </row>
    <row r="183" spans="1:4" x14ac:dyDescent="0.35">
      <c r="A183" s="21" t="s">
        <v>507</v>
      </c>
      <c r="B183" s="21" t="s">
        <v>101</v>
      </c>
      <c r="C183" s="21" t="s">
        <v>875</v>
      </c>
      <c r="D183" s="21" t="s">
        <v>221</v>
      </c>
    </row>
    <row r="184" spans="1:4" x14ac:dyDescent="0.35">
      <c r="A184" s="21" t="s">
        <v>508</v>
      </c>
      <c r="B184" s="21" t="s">
        <v>102</v>
      </c>
      <c r="C184" s="21" t="s">
        <v>819</v>
      </c>
      <c r="D184" s="21" t="s">
        <v>223</v>
      </c>
    </row>
    <row r="185" spans="1:4" x14ac:dyDescent="0.35">
      <c r="A185" s="21" t="s">
        <v>379</v>
      </c>
      <c r="B185" s="21" t="s">
        <v>103</v>
      </c>
      <c r="C185" s="21" t="s">
        <v>753</v>
      </c>
      <c r="D185" s="21" t="s">
        <v>1215</v>
      </c>
    </row>
  </sheetData>
  <autoFilter ref="B1:D185" xr:uid="{F8DB7B60-8C27-42B8-8E43-E8B011C8F238}"/>
  <conditionalFormatting sqref="B1:B1048576">
    <cfRule type="duplicateValues" dxfId="9" priority="2"/>
  </conditionalFormatting>
  <conditionalFormatting sqref="A1:A1048576">
    <cfRule type="duplicateValues" dxfId="8" priority="1"/>
  </conditionalFormatting>
  <pageMargins left="0" right="0" top="0" bottom="0" header="0" footer="0"/>
  <pageSetup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58F6C-90BA-49F9-B95F-050054A2E365}">
  <sheetPr codeName="Sheet7"/>
  <dimension ref="A1"/>
  <sheetViews>
    <sheetView workbookViewId="0">
      <selection activeCell="L1" sqref="L1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85303-E9E3-4185-A787-261390E605EE}">
  <sheetPr codeName="Sheet8"/>
  <dimension ref="A1:O185"/>
  <sheetViews>
    <sheetView workbookViewId="0">
      <selection activeCell="L1" sqref="L1"/>
    </sheetView>
  </sheetViews>
  <sheetFormatPr defaultRowHeight="15" x14ac:dyDescent="0.25"/>
  <cols>
    <col min="1" max="1" width="18.5703125" bestFit="1" customWidth="1"/>
    <col min="2" max="2" width="7.5703125" bestFit="1" customWidth="1"/>
    <col min="3" max="4" width="7.5703125" customWidth="1"/>
    <col min="5" max="5" width="33.42578125" bestFit="1" customWidth="1"/>
    <col min="6" max="6" width="22.42578125" bestFit="1" customWidth="1"/>
    <col min="7" max="7" width="13.42578125" bestFit="1" customWidth="1"/>
    <col min="8" max="8" width="19.5703125" bestFit="1" customWidth="1"/>
    <col min="9" max="9" width="9" bestFit="1" customWidth="1"/>
    <col min="10" max="10" width="10" bestFit="1" customWidth="1"/>
    <col min="11" max="11" width="8.5703125" bestFit="1" customWidth="1"/>
    <col min="12" max="12" width="14.42578125" bestFit="1" customWidth="1"/>
    <col min="15" max="15" width="21.140625" bestFit="1" customWidth="1"/>
  </cols>
  <sheetData>
    <row r="1" spans="1:15" x14ac:dyDescent="0.25">
      <c r="A1" s="2" t="s">
        <v>247</v>
      </c>
      <c r="B1" s="2" t="s">
        <v>249</v>
      </c>
      <c r="C1" s="2"/>
      <c r="D1" s="2"/>
      <c r="E1" s="2" t="s">
        <v>248</v>
      </c>
      <c r="F1" s="2" t="s">
        <v>1119</v>
      </c>
      <c r="G1" s="2" t="s">
        <v>1324</v>
      </c>
      <c r="H1" s="2" t="s">
        <v>1323</v>
      </c>
      <c r="I1" s="2" t="s">
        <v>1326</v>
      </c>
      <c r="J1" s="2" t="s">
        <v>1328</v>
      </c>
      <c r="K1" s="2" t="s">
        <v>692</v>
      </c>
      <c r="L1" s="26" t="s">
        <v>1318</v>
      </c>
      <c r="M1" s="26" t="s">
        <v>1341</v>
      </c>
      <c r="N1" s="26" t="s">
        <v>1344</v>
      </c>
      <c r="O1" s="26" t="s">
        <v>1343</v>
      </c>
    </row>
    <row r="2" spans="1:15" x14ac:dyDescent="0.25">
      <c r="A2" s="1" t="s">
        <v>256</v>
      </c>
      <c r="B2" s="1" t="s">
        <v>257</v>
      </c>
      <c r="C2" s="1" t="s">
        <v>1330</v>
      </c>
      <c r="D2" s="1">
        <v>15</v>
      </c>
      <c r="E2" s="1" t="s">
        <v>781</v>
      </c>
      <c r="F2" s="1" t="s">
        <v>1165</v>
      </c>
      <c r="G2" s="1" t="s">
        <v>696</v>
      </c>
      <c r="H2" s="1" t="s">
        <v>518</v>
      </c>
      <c r="I2" s="1">
        <v>4000</v>
      </c>
      <c r="J2" s="1" t="s">
        <v>1321</v>
      </c>
      <c r="K2" s="1" t="s">
        <v>695</v>
      </c>
      <c r="L2" t="s">
        <v>1319</v>
      </c>
      <c r="M2" s="27">
        <v>45719</v>
      </c>
      <c r="N2" t="s">
        <v>1346</v>
      </c>
      <c r="O2">
        <v>2840455564</v>
      </c>
    </row>
    <row r="3" spans="1:15" x14ac:dyDescent="0.25">
      <c r="A3" s="1" t="s">
        <v>262</v>
      </c>
      <c r="B3" s="1" t="s">
        <v>263</v>
      </c>
      <c r="C3" s="1" t="s">
        <v>1330</v>
      </c>
      <c r="D3" s="1">
        <v>18</v>
      </c>
      <c r="E3" s="1" t="s">
        <v>866</v>
      </c>
      <c r="F3" s="1" t="s">
        <v>1193</v>
      </c>
      <c r="G3" s="1" t="s">
        <v>696</v>
      </c>
      <c r="H3" s="1" t="s">
        <v>521</v>
      </c>
      <c r="I3" s="1">
        <v>3000</v>
      </c>
      <c r="J3" s="1" t="s">
        <v>1321</v>
      </c>
      <c r="K3" s="1" t="s">
        <v>695</v>
      </c>
      <c r="L3" t="s">
        <v>1319</v>
      </c>
      <c r="M3" s="27">
        <v>45719</v>
      </c>
      <c r="N3" t="s">
        <v>1346</v>
      </c>
      <c r="O3">
        <v>2840455564</v>
      </c>
    </row>
    <row r="4" spans="1:15" x14ac:dyDescent="0.25">
      <c r="A4" s="1" t="s">
        <v>264</v>
      </c>
      <c r="B4" s="1" t="s">
        <v>265</v>
      </c>
      <c r="C4" s="1" t="s">
        <v>1330</v>
      </c>
      <c r="D4" s="1">
        <v>19</v>
      </c>
      <c r="E4" s="1" t="s">
        <v>810</v>
      </c>
      <c r="F4" s="1" t="s">
        <v>1171</v>
      </c>
      <c r="G4" s="1" t="s">
        <v>696</v>
      </c>
      <c r="H4" s="1" t="s">
        <v>522</v>
      </c>
      <c r="I4" s="1">
        <v>4000</v>
      </c>
      <c r="J4" s="1" t="s">
        <v>1321</v>
      </c>
      <c r="K4" s="1" t="s">
        <v>695</v>
      </c>
      <c r="L4" t="s">
        <v>1319</v>
      </c>
      <c r="M4" s="27">
        <v>45719</v>
      </c>
      <c r="N4" t="s">
        <v>1346</v>
      </c>
      <c r="O4">
        <v>2840455564</v>
      </c>
    </row>
    <row r="5" spans="1:15" x14ac:dyDescent="0.25">
      <c r="A5" s="1" t="s">
        <v>269</v>
      </c>
      <c r="B5" s="1" t="s">
        <v>270</v>
      </c>
      <c r="C5" s="1" t="s">
        <v>1330</v>
      </c>
      <c r="D5" s="1">
        <v>21</v>
      </c>
      <c r="E5" s="1" t="s">
        <v>845</v>
      </c>
      <c r="F5" s="1" t="s">
        <v>1194</v>
      </c>
      <c r="G5" s="1" t="s">
        <v>696</v>
      </c>
      <c r="H5" s="1" t="s">
        <v>525</v>
      </c>
      <c r="I5" s="1">
        <v>2000</v>
      </c>
      <c r="J5" s="1" t="s">
        <v>1321</v>
      </c>
      <c r="K5" s="1" t="s">
        <v>695</v>
      </c>
      <c r="L5" t="s">
        <v>1319</v>
      </c>
      <c r="M5" s="27">
        <v>45719</v>
      </c>
      <c r="N5" t="s">
        <v>1346</v>
      </c>
      <c r="O5">
        <v>2840455564</v>
      </c>
    </row>
    <row r="6" spans="1:15" x14ac:dyDescent="0.25">
      <c r="A6" s="1" t="s">
        <v>275</v>
      </c>
      <c r="B6" s="1" t="s">
        <v>276</v>
      </c>
      <c r="C6" s="1" t="s">
        <v>1330</v>
      </c>
      <c r="D6" s="1">
        <v>24</v>
      </c>
      <c r="E6" s="1" t="s">
        <v>815</v>
      </c>
      <c r="F6" s="1" t="s">
        <v>1185</v>
      </c>
      <c r="G6" s="1" t="s">
        <v>696</v>
      </c>
      <c r="H6" s="1" t="s">
        <v>1307</v>
      </c>
      <c r="I6" s="1">
        <v>3000</v>
      </c>
      <c r="J6" s="1" t="s">
        <v>1321</v>
      </c>
      <c r="K6" s="1" t="s">
        <v>695</v>
      </c>
      <c r="L6" t="s">
        <v>1319</v>
      </c>
      <c r="M6" s="27">
        <v>45719</v>
      </c>
      <c r="N6" t="s">
        <v>1346</v>
      </c>
      <c r="O6">
        <v>2840455564</v>
      </c>
    </row>
    <row r="7" spans="1:15" x14ac:dyDescent="0.25">
      <c r="A7" s="1" t="s">
        <v>279</v>
      </c>
      <c r="B7" s="1" t="s">
        <v>280</v>
      </c>
      <c r="C7" s="1" t="s">
        <v>1330</v>
      </c>
      <c r="D7" s="1">
        <v>26</v>
      </c>
      <c r="E7" s="1" t="s">
        <v>834</v>
      </c>
      <c r="F7" s="1" t="s">
        <v>1173</v>
      </c>
      <c r="G7" s="1" t="s">
        <v>696</v>
      </c>
      <c r="H7" s="1" t="s">
        <v>1293</v>
      </c>
      <c r="I7" s="1">
        <v>4000</v>
      </c>
      <c r="J7" s="1" t="s">
        <v>1321</v>
      </c>
      <c r="K7" s="1" t="s">
        <v>695</v>
      </c>
      <c r="L7" t="s">
        <v>1319</v>
      </c>
      <c r="M7" s="27">
        <v>45719</v>
      </c>
      <c r="N7" t="s">
        <v>1346</v>
      </c>
      <c r="O7">
        <v>2840455564</v>
      </c>
    </row>
    <row r="8" spans="1:15" x14ac:dyDescent="0.25">
      <c r="A8" s="1" t="s">
        <v>285</v>
      </c>
      <c r="B8" s="1" t="s">
        <v>286</v>
      </c>
      <c r="C8" s="1" t="s">
        <v>1330</v>
      </c>
      <c r="D8" s="1">
        <v>29</v>
      </c>
      <c r="E8" s="1" t="s">
        <v>861</v>
      </c>
      <c r="F8" s="1" t="s">
        <v>1177</v>
      </c>
      <c r="G8" s="1" t="s">
        <v>696</v>
      </c>
      <c r="H8" s="1" t="s">
        <v>533</v>
      </c>
      <c r="I8" s="1">
        <v>4000</v>
      </c>
      <c r="J8" s="1" t="s">
        <v>1321</v>
      </c>
      <c r="K8" s="1" t="s">
        <v>695</v>
      </c>
      <c r="L8" t="s">
        <v>1319</v>
      </c>
      <c r="M8" s="27">
        <v>45719</v>
      </c>
      <c r="N8" t="s">
        <v>1346</v>
      </c>
      <c r="O8">
        <v>2840455564</v>
      </c>
    </row>
    <row r="9" spans="1:15" x14ac:dyDescent="0.25">
      <c r="A9" s="1" t="s">
        <v>290</v>
      </c>
      <c r="B9" s="1" t="s">
        <v>291</v>
      </c>
      <c r="C9" s="1" t="s">
        <v>1330</v>
      </c>
      <c r="D9" s="1">
        <v>31</v>
      </c>
      <c r="E9" s="1" t="s">
        <v>862</v>
      </c>
      <c r="F9" s="1" t="s">
        <v>1180</v>
      </c>
      <c r="G9" s="1" t="s">
        <v>696</v>
      </c>
      <c r="H9" s="1" t="s">
        <v>1309</v>
      </c>
      <c r="I9" s="1">
        <v>4000</v>
      </c>
      <c r="J9" s="1" t="s">
        <v>1321</v>
      </c>
      <c r="K9" s="1" t="s">
        <v>695</v>
      </c>
      <c r="L9" t="s">
        <v>1319</v>
      </c>
      <c r="M9" s="27">
        <v>45719</v>
      </c>
      <c r="N9" t="s">
        <v>1346</v>
      </c>
      <c r="O9">
        <v>2840455564</v>
      </c>
    </row>
    <row r="10" spans="1:15" x14ac:dyDescent="0.25">
      <c r="A10" s="1" t="s">
        <v>292</v>
      </c>
      <c r="B10" s="1" t="s">
        <v>293</v>
      </c>
      <c r="C10" s="1" t="s">
        <v>1330</v>
      </c>
      <c r="D10" s="1">
        <v>32</v>
      </c>
      <c r="E10" s="1" t="s">
        <v>735</v>
      </c>
      <c r="F10" s="1" t="s">
        <v>1183</v>
      </c>
      <c r="G10" s="1" t="s">
        <v>696</v>
      </c>
      <c r="H10" s="1" t="s">
        <v>537</v>
      </c>
      <c r="I10" s="1">
        <v>2000</v>
      </c>
      <c r="J10" s="1" t="s">
        <v>1321</v>
      </c>
      <c r="K10" s="1" t="s">
        <v>695</v>
      </c>
      <c r="L10" t="s">
        <v>1319</v>
      </c>
      <c r="M10" s="27">
        <v>45719</v>
      </c>
      <c r="N10" t="s">
        <v>1346</v>
      </c>
      <c r="O10">
        <v>2840455564</v>
      </c>
    </row>
    <row r="11" spans="1:15" x14ac:dyDescent="0.25">
      <c r="A11" s="1" t="s">
        <v>294</v>
      </c>
      <c r="B11" s="1" t="s">
        <v>295</v>
      </c>
      <c r="C11" s="1" t="s">
        <v>1330</v>
      </c>
      <c r="D11" s="1">
        <v>33</v>
      </c>
      <c r="E11" s="1" t="s">
        <v>835</v>
      </c>
      <c r="F11" s="1" t="s">
        <v>1189</v>
      </c>
      <c r="G11" s="1" t="s">
        <v>696</v>
      </c>
      <c r="H11" s="1" t="s">
        <v>538</v>
      </c>
      <c r="I11" s="1">
        <v>3000</v>
      </c>
      <c r="J11" s="1" t="s">
        <v>1321</v>
      </c>
      <c r="K11" s="1" t="s">
        <v>695</v>
      </c>
      <c r="L11" t="s">
        <v>1319</v>
      </c>
      <c r="M11" s="27">
        <v>45719</v>
      </c>
      <c r="N11" t="s">
        <v>1346</v>
      </c>
      <c r="O11">
        <v>2840455564</v>
      </c>
    </row>
    <row r="12" spans="1:15" x14ac:dyDescent="0.25">
      <c r="A12" s="1" t="s">
        <v>298</v>
      </c>
      <c r="B12" s="1" t="s">
        <v>299</v>
      </c>
      <c r="C12" s="1" t="s">
        <v>1330</v>
      </c>
      <c r="D12" s="1">
        <v>35</v>
      </c>
      <c r="E12" s="1" t="s">
        <v>832</v>
      </c>
      <c r="F12" s="1" t="s">
        <v>1196</v>
      </c>
      <c r="G12" s="1" t="s">
        <v>696</v>
      </c>
      <c r="H12" s="1" t="s">
        <v>1317</v>
      </c>
      <c r="I12" s="1">
        <v>2000</v>
      </c>
      <c r="J12" s="1" t="s">
        <v>1321</v>
      </c>
      <c r="K12" s="1" t="s">
        <v>695</v>
      </c>
      <c r="L12" t="s">
        <v>1319</v>
      </c>
      <c r="M12" s="27">
        <v>45719</v>
      </c>
      <c r="N12" t="s">
        <v>1346</v>
      </c>
      <c r="O12">
        <v>2840455564</v>
      </c>
    </row>
    <row r="13" spans="1:15" x14ac:dyDescent="0.25">
      <c r="A13" s="1" t="s">
        <v>300</v>
      </c>
      <c r="B13" s="1" t="s">
        <v>301</v>
      </c>
      <c r="C13" s="1" t="s">
        <v>1330</v>
      </c>
      <c r="D13" s="1">
        <v>36</v>
      </c>
      <c r="E13" s="1" t="s">
        <v>763</v>
      </c>
      <c r="F13" s="1" t="s">
        <v>1190</v>
      </c>
      <c r="G13" s="1" t="s">
        <v>696</v>
      </c>
      <c r="H13" s="1" t="s">
        <v>541</v>
      </c>
      <c r="I13" s="1">
        <v>2000</v>
      </c>
      <c r="J13" s="1" t="s">
        <v>1321</v>
      </c>
      <c r="K13" s="1" t="s">
        <v>695</v>
      </c>
      <c r="L13" t="s">
        <v>1319</v>
      </c>
      <c r="M13" s="27">
        <v>45719</v>
      </c>
      <c r="N13" t="s">
        <v>1346</v>
      </c>
      <c r="O13">
        <v>2840455564</v>
      </c>
    </row>
    <row r="14" spans="1:15" x14ac:dyDescent="0.25">
      <c r="A14" s="1" t="s">
        <v>302</v>
      </c>
      <c r="B14" s="1" t="s">
        <v>303</v>
      </c>
      <c r="C14" s="1" t="s">
        <v>1330</v>
      </c>
      <c r="D14" s="1">
        <v>37</v>
      </c>
      <c r="E14" s="1" t="s">
        <v>826</v>
      </c>
      <c r="F14" s="1" t="s">
        <v>1188</v>
      </c>
      <c r="G14" s="1" t="s">
        <v>696</v>
      </c>
      <c r="H14" s="1" t="s">
        <v>1305</v>
      </c>
      <c r="I14" s="1">
        <v>3000</v>
      </c>
      <c r="J14" s="1" t="s">
        <v>1321</v>
      </c>
      <c r="K14" s="1" t="s">
        <v>695</v>
      </c>
      <c r="L14" t="s">
        <v>1319</v>
      </c>
      <c r="M14" s="27">
        <v>45719</v>
      </c>
      <c r="N14" t="s">
        <v>1346</v>
      </c>
      <c r="O14">
        <v>2840455564</v>
      </c>
    </row>
    <row r="15" spans="1:15" x14ac:dyDescent="0.25">
      <c r="A15" s="1" t="s">
        <v>326</v>
      </c>
      <c r="B15" s="1" t="s">
        <v>327</v>
      </c>
      <c r="C15" s="1" t="s">
        <v>1329</v>
      </c>
      <c r="D15" s="1">
        <v>17</v>
      </c>
      <c r="E15" s="1" t="s">
        <v>786</v>
      </c>
      <c r="F15" s="1" t="s">
        <v>1160</v>
      </c>
      <c r="G15" s="1" t="s">
        <v>696</v>
      </c>
      <c r="H15" s="1" t="s">
        <v>562</v>
      </c>
      <c r="I15" s="1">
        <v>3000</v>
      </c>
      <c r="J15" s="1" t="s">
        <v>1321</v>
      </c>
      <c r="K15" s="1" t="s">
        <v>695</v>
      </c>
      <c r="L15" t="s">
        <v>1319</v>
      </c>
      <c r="M15" s="27">
        <v>45719</v>
      </c>
      <c r="N15" t="s">
        <v>1346</v>
      </c>
      <c r="O15">
        <v>2840455564</v>
      </c>
    </row>
    <row r="16" spans="1:15" x14ac:dyDescent="0.25">
      <c r="A16" s="1" t="s">
        <v>435</v>
      </c>
      <c r="B16" s="1" t="s">
        <v>436</v>
      </c>
      <c r="C16" s="1" t="s">
        <v>1331</v>
      </c>
      <c r="D16" s="1">
        <v>51</v>
      </c>
      <c r="E16" s="1" t="s">
        <v>775</v>
      </c>
      <c r="F16" s="1" t="s">
        <v>1145</v>
      </c>
      <c r="G16" s="1" t="s">
        <v>696</v>
      </c>
      <c r="H16" s="1" t="s">
        <v>641</v>
      </c>
      <c r="I16" s="1">
        <v>4000</v>
      </c>
      <c r="J16" s="1" t="s">
        <v>1321</v>
      </c>
      <c r="K16" s="1" t="s">
        <v>695</v>
      </c>
      <c r="L16" t="s">
        <v>1319</v>
      </c>
      <c r="M16" s="27">
        <v>45719</v>
      </c>
      <c r="N16" t="s">
        <v>1346</v>
      </c>
      <c r="O16">
        <v>2840455564</v>
      </c>
    </row>
    <row r="17" spans="1:15" x14ac:dyDescent="0.25">
      <c r="A17" s="1" t="s">
        <v>443</v>
      </c>
      <c r="B17" s="1" t="s">
        <v>444</v>
      </c>
      <c r="C17" s="1" t="s">
        <v>1331</v>
      </c>
      <c r="D17" s="1">
        <v>55</v>
      </c>
      <c r="E17" s="1" t="s">
        <v>859</v>
      </c>
      <c r="F17" s="1" t="s">
        <v>1148</v>
      </c>
      <c r="G17" s="1" t="s">
        <v>696</v>
      </c>
      <c r="H17" s="1" t="s">
        <v>1306</v>
      </c>
      <c r="I17" s="1">
        <v>4000</v>
      </c>
      <c r="J17" s="1" t="s">
        <v>1321</v>
      </c>
      <c r="K17" s="1" t="s">
        <v>695</v>
      </c>
      <c r="L17" t="s">
        <v>1319</v>
      </c>
      <c r="M17" s="27">
        <v>45719</v>
      </c>
      <c r="N17" t="s">
        <v>1346</v>
      </c>
      <c r="O17">
        <v>2840455564</v>
      </c>
    </row>
    <row r="18" spans="1:15" x14ac:dyDescent="0.25">
      <c r="A18" s="1" t="s">
        <v>458</v>
      </c>
      <c r="B18" s="1" t="s">
        <v>459</v>
      </c>
      <c r="C18" s="1" t="s">
        <v>1331</v>
      </c>
      <c r="D18" s="1">
        <v>62</v>
      </c>
      <c r="E18" s="1" t="s">
        <v>754</v>
      </c>
      <c r="F18" s="1" t="s">
        <v>1142</v>
      </c>
      <c r="G18" s="1" t="s">
        <v>696</v>
      </c>
      <c r="H18" s="1" t="s">
        <v>1311</v>
      </c>
      <c r="I18" s="1">
        <v>5000</v>
      </c>
      <c r="J18" s="1" t="s">
        <v>1321</v>
      </c>
      <c r="K18" s="1" t="s">
        <v>695</v>
      </c>
      <c r="L18" t="s">
        <v>1319</v>
      </c>
      <c r="M18" s="27">
        <v>45719</v>
      </c>
      <c r="N18" t="s">
        <v>1346</v>
      </c>
      <c r="O18">
        <v>2840455564</v>
      </c>
    </row>
    <row r="19" spans="1:15" x14ac:dyDescent="0.25">
      <c r="A19" s="1" t="s">
        <v>460</v>
      </c>
      <c r="B19" s="1" t="s">
        <v>461</v>
      </c>
      <c r="C19" s="1" t="s">
        <v>1331</v>
      </c>
      <c r="D19" s="1">
        <v>63</v>
      </c>
      <c r="E19" s="1" t="s">
        <v>757</v>
      </c>
      <c r="F19" s="1" t="s">
        <v>1144</v>
      </c>
      <c r="G19" s="1" t="s">
        <v>696</v>
      </c>
      <c r="H19" s="1" t="s">
        <v>654</v>
      </c>
      <c r="I19" s="1">
        <v>4000</v>
      </c>
      <c r="J19" s="1" t="s">
        <v>1321</v>
      </c>
      <c r="K19" s="1" t="s">
        <v>695</v>
      </c>
      <c r="L19" t="s">
        <v>1319</v>
      </c>
      <c r="M19" s="27">
        <v>45719</v>
      </c>
      <c r="N19" t="s">
        <v>1346</v>
      </c>
      <c r="O19">
        <v>2840455564</v>
      </c>
    </row>
    <row r="20" spans="1:15" x14ac:dyDescent="0.25">
      <c r="A20" s="1" t="s">
        <v>466</v>
      </c>
      <c r="B20" s="1" t="s">
        <v>467</v>
      </c>
      <c r="C20" s="1" t="s">
        <v>1331</v>
      </c>
      <c r="D20" s="1">
        <v>66</v>
      </c>
      <c r="E20" s="1" t="s">
        <v>877</v>
      </c>
      <c r="F20" s="1" t="s">
        <v>1152</v>
      </c>
      <c r="G20" s="1" t="s">
        <v>696</v>
      </c>
      <c r="H20" s="1" t="s">
        <v>1304</v>
      </c>
      <c r="I20" s="1">
        <v>4000</v>
      </c>
      <c r="J20" s="1" t="s">
        <v>1321</v>
      </c>
      <c r="K20" s="1" t="s">
        <v>695</v>
      </c>
      <c r="L20" t="s">
        <v>1319</v>
      </c>
      <c r="M20" s="27">
        <v>45719</v>
      </c>
      <c r="N20" t="s">
        <v>1346</v>
      </c>
      <c r="O20">
        <v>2840455564</v>
      </c>
    </row>
    <row r="21" spans="1:15" x14ac:dyDescent="0.25">
      <c r="A21" s="1" t="s">
        <v>479</v>
      </c>
      <c r="B21" s="1" t="s">
        <v>480</v>
      </c>
      <c r="C21" s="1" t="s">
        <v>1331</v>
      </c>
      <c r="D21" s="1">
        <v>72</v>
      </c>
      <c r="E21" s="1" t="s">
        <v>848</v>
      </c>
      <c r="F21" s="1" t="s">
        <v>1147</v>
      </c>
      <c r="G21" s="1" t="s">
        <v>696</v>
      </c>
      <c r="H21" s="1" t="s">
        <v>1303</v>
      </c>
      <c r="I21" s="1">
        <v>4000</v>
      </c>
      <c r="J21" s="1" t="s">
        <v>1321</v>
      </c>
      <c r="K21" s="1" t="s">
        <v>695</v>
      </c>
      <c r="L21" t="s">
        <v>1319</v>
      </c>
      <c r="M21" s="27">
        <v>45719</v>
      </c>
      <c r="N21" t="s">
        <v>1346</v>
      </c>
      <c r="O21">
        <v>2840455564</v>
      </c>
    </row>
    <row r="22" spans="1:15" x14ac:dyDescent="0.25">
      <c r="A22" s="1" t="s">
        <v>481</v>
      </c>
      <c r="B22" s="1" t="s">
        <v>482</v>
      </c>
      <c r="C22" s="1" t="s">
        <v>1331</v>
      </c>
      <c r="D22" s="1">
        <v>73</v>
      </c>
      <c r="E22" s="1" t="s">
        <v>878</v>
      </c>
      <c r="F22" s="1" t="s">
        <v>1134</v>
      </c>
      <c r="G22" s="1" t="s">
        <v>696</v>
      </c>
      <c r="H22" s="1" t="s">
        <v>1308</v>
      </c>
      <c r="I22" s="1">
        <v>5000</v>
      </c>
      <c r="J22" s="1" t="s">
        <v>1321</v>
      </c>
      <c r="K22" s="1" t="s">
        <v>695</v>
      </c>
      <c r="L22" t="s">
        <v>1319</v>
      </c>
      <c r="M22" s="27">
        <v>45719</v>
      </c>
      <c r="N22" t="s">
        <v>1346</v>
      </c>
      <c r="O22">
        <v>2840455564</v>
      </c>
    </row>
    <row r="23" spans="1:15" x14ac:dyDescent="0.25">
      <c r="A23" s="1" t="s">
        <v>271</v>
      </c>
      <c r="B23" s="1" t="s">
        <v>272</v>
      </c>
      <c r="C23" s="1" t="s">
        <v>1330</v>
      </c>
      <c r="D23" s="1">
        <v>22</v>
      </c>
      <c r="E23" s="1" t="s">
        <v>841</v>
      </c>
      <c r="F23" s="1" t="s">
        <v>1174</v>
      </c>
      <c r="G23" s="1" t="s">
        <v>698</v>
      </c>
      <c r="H23" s="1" t="s">
        <v>1174</v>
      </c>
      <c r="I23" s="1">
        <v>3000</v>
      </c>
      <c r="J23" s="1" t="s">
        <v>1321</v>
      </c>
      <c r="K23" s="1" t="s">
        <v>695</v>
      </c>
      <c r="L23" s="1"/>
    </row>
    <row r="24" spans="1:15" x14ac:dyDescent="0.25">
      <c r="A24" s="1" t="s">
        <v>288</v>
      </c>
      <c r="B24" s="1" t="s">
        <v>289</v>
      </c>
      <c r="C24" s="1" t="s">
        <v>1330</v>
      </c>
      <c r="D24" s="1">
        <v>30</v>
      </c>
      <c r="E24" s="1" t="s">
        <v>867</v>
      </c>
      <c r="F24" s="1" t="s">
        <v>1182</v>
      </c>
      <c r="G24" s="1" t="s">
        <v>698</v>
      </c>
      <c r="H24" s="1" t="s">
        <v>1182</v>
      </c>
      <c r="I24" s="1">
        <v>4000</v>
      </c>
      <c r="J24" s="1" t="s">
        <v>1321</v>
      </c>
      <c r="K24" s="1" t="s">
        <v>695</v>
      </c>
      <c r="L24" s="1"/>
    </row>
    <row r="25" spans="1:15" x14ac:dyDescent="0.25">
      <c r="A25" s="1" t="s">
        <v>333</v>
      </c>
      <c r="B25" s="1" t="s">
        <v>334</v>
      </c>
      <c r="C25" s="1" t="s">
        <v>1329</v>
      </c>
      <c r="D25" s="1">
        <v>20</v>
      </c>
      <c r="E25" s="1" t="s">
        <v>783</v>
      </c>
      <c r="F25" s="1" t="s">
        <v>1159</v>
      </c>
      <c r="G25" s="1" t="s">
        <v>698</v>
      </c>
      <c r="H25" s="1" t="s">
        <v>1159</v>
      </c>
      <c r="I25" s="1">
        <v>3000</v>
      </c>
      <c r="J25" s="1" t="s">
        <v>1321</v>
      </c>
      <c r="K25" s="1" t="s">
        <v>695</v>
      </c>
      <c r="L25" s="1"/>
    </row>
    <row r="26" spans="1:15" x14ac:dyDescent="0.25">
      <c r="A26" s="1" t="s">
        <v>337</v>
      </c>
      <c r="B26" s="1" t="s">
        <v>338</v>
      </c>
      <c r="C26" s="1" t="s">
        <v>1329</v>
      </c>
      <c r="D26" s="1">
        <v>22</v>
      </c>
      <c r="E26" s="1" t="s">
        <v>794</v>
      </c>
      <c r="F26" s="1" t="s">
        <v>1155</v>
      </c>
      <c r="G26" s="1" t="s">
        <v>698</v>
      </c>
      <c r="H26" s="1" t="s">
        <v>1155</v>
      </c>
      <c r="I26" s="1">
        <v>5000</v>
      </c>
      <c r="J26" s="1" t="s">
        <v>1321</v>
      </c>
      <c r="K26" s="1" t="s">
        <v>695</v>
      </c>
      <c r="L26" s="1"/>
    </row>
    <row r="27" spans="1:15" x14ac:dyDescent="0.25">
      <c r="A27" s="1" t="s">
        <v>341</v>
      </c>
      <c r="B27" s="1" t="s">
        <v>342</v>
      </c>
      <c r="C27" s="1" t="s">
        <v>1329</v>
      </c>
      <c r="D27" s="1">
        <v>24</v>
      </c>
      <c r="E27" s="1" t="s">
        <v>710</v>
      </c>
      <c r="F27" s="1" t="s">
        <v>1153</v>
      </c>
      <c r="G27" s="1" t="s">
        <v>698</v>
      </c>
      <c r="H27" s="1" t="s">
        <v>1153</v>
      </c>
      <c r="I27" s="1">
        <v>3000</v>
      </c>
      <c r="J27" s="1" t="s">
        <v>1321</v>
      </c>
      <c r="K27" s="1" t="s">
        <v>695</v>
      </c>
      <c r="L27" s="1"/>
    </row>
    <row r="28" spans="1:15" x14ac:dyDescent="0.25">
      <c r="A28" s="1" t="s">
        <v>343</v>
      </c>
      <c r="B28" s="1" t="s">
        <v>344</v>
      </c>
      <c r="C28" s="1" t="s">
        <v>1329</v>
      </c>
      <c r="D28" s="1">
        <v>25</v>
      </c>
      <c r="E28" s="1" t="s">
        <v>718</v>
      </c>
      <c r="F28" s="1" t="s">
        <v>1156</v>
      </c>
      <c r="G28" s="1" t="s">
        <v>698</v>
      </c>
      <c r="H28" s="1" t="s">
        <v>1156</v>
      </c>
      <c r="I28" s="1">
        <v>3000</v>
      </c>
      <c r="J28" s="1" t="s">
        <v>1321</v>
      </c>
      <c r="K28" s="1" t="s">
        <v>695</v>
      </c>
      <c r="L28" s="1"/>
    </row>
    <row r="29" spans="1:15" x14ac:dyDescent="0.25">
      <c r="A29" s="1" t="s">
        <v>345</v>
      </c>
      <c r="B29" s="1" t="s">
        <v>346</v>
      </c>
      <c r="C29" s="1" t="s">
        <v>1329</v>
      </c>
      <c r="D29" s="1">
        <v>26</v>
      </c>
      <c r="E29" s="1" t="s">
        <v>876</v>
      </c>
      <c r="F29" s="1" t="s">
        <v>1158</v>
      </c>
      <c r="G29" s="1" t="s">
        <v>698</v>
      </c>
      <c r="H29" s="1" t="s">
        <v>1158</v>
      </c>
      <c r="I29" s="1">
        <v>3000</v>
      </c>
      <c r="J29" s="1" t="s">
        <v>1321</v>
      </c>
      <c r="K29" s="1" t="s">
        <v>695</v>
      </c>
      <c r="L29" s="1"/>
    </row>
    <row r="30" spans="1:15" x14ac:dyDescent="0.25">
      <c r="A30" s="1" t="s">
        <v>412</v>
      </c>
      <c r="B30" s="1" t="s">
        <v>413</v>
      </c>
      <c r="C30" s="1" t="s">
        <v>1331</v>
      </c>
      <c r="D30" s="1">
        <v>40</v>
      </c>
      <c r="E30" s="1" t="s">
        <v>774</v>
      </c>
      <c r="F30" s="1" t="s">
        <v>1149</v>
      </c>
      <c r="G30" s="1" t="s">
        <v>698</v>
      </c>
      <c r="H30" s="1" t="s">
        <v>1149</v>
      </c>
      <c r="I30" s="1">
        <v>4000</v>
      </c>
      <c r="J30" s="1" t="s">
        <v>1321</v>
      </c>
      <c r="K30" s="1" t="s">
        <v>695</v>
      </c>
      <c r="L30" s="1"/>
    </row>
    <row r="31" spans="1:15" x14ac:dyDescent="0.25">
      <c r="A31" s="1" t="s">
        <v>422</v>
      </c>
      <c r="B31" s="1" t="s">
        <v>423</v>
      </c>
      <c r="C31" s="1" t="s">
        <v>1331</v>
      </c>
      <c r="D31" s="1">
        <v>45</v>
      </c>
      <c r="E31" s="1" t="s">
        <v>743</v>
      </c>
      <c r="F31" s="1" t="s">
        <v>1136</v>
      </c>
      <c r="G31" s="1" t="s">
        <v>698</v>
      </c>
      <c r="H31" s="1" t="s">
        <v>1136</v>
      </c>
      <c r="I31" s="1">
        <v>5000</v>
      </c>
      <c r="J31" s="1" t="s">
        <v>1321</v>
      </c>
      <c r="K31" s="1" t="s">
        <v>695</v>
      </c>
      <c r="L31" s="1"/>
    </row>
    <row r="32" spans="1:15" x14ac:dyDescent="0.25">
      <c r="A32" s="1" t="s">
        <v>430</v>
      </c>
      <c r="B32" s="1" t="s">
        <v>431</v>
      </c>
      <c r="C32" s="1" t="s">
        <v>1331</v>
      </c>
      <c r="D32" s="1">
        <v>49</v>
      </c>
      <c r="E32" s="1" t="s">
        <v>872</v>
      </c>
      <c r="F32" s="1" t="s">
        <v>1143</v>
      </c>
      <c r="G32" s="1" t="s">
        <v>698</v>
      </c>
      <c r="H32" s="1" t="s">
        <v>1143</v>
      </c>
      <c r="I32" s="1">
        <v>5000</v>
      </c>
      <c r="J32" s="1" t="s">
        <v>1321</v>
      </c>
      <c r="K32" s="1" t="s">
        <v>695</v>
      </c>
      <c r="L32" s="1"/>
    </row>
    <row r="33" spans="1:15" x14ac:dyDescent="0.25">
      <c r="A33" s="1" t="s">
        <v>433</v>
      </c>
      <c r="B33" s="1" t="s">
        <v>434</v>
      </c>
      <c r="C33" s="1" t="s">
        <v>1331</v>
      </c>
      <c r="D33" s="1">
        <v>50</v>
      </c>
      <c r="E33" s="1" t="s">
        <v>865</v>
      </c>
      <c r="F33" s="1" t="s">
        <v>1141</v>
      </c>
      <c r="G33" s="1" t="s">
        <v>698</v>
      </c>
      <c r="H33" s="1" t="s">
        <v>1141</v>
      </c>
      <c r="I33" s="1">
        <v>5000</v>
      </c>
      <c r="J33" s="1" t="s">
        <v>1321</v>
      </c>
      <c r="K33" s="1" t="s">
        <v>695</v>
      </c>
      <c r="L33" s="1"/>
    </row>
    <row r="34" spans="1:15" x14ac:dyDescent="0.25">
      <c r="A34" s="1" t="s">
        <v>437</v>
      </c>
      <c r="B34" s="1" t="s">
        <v>438</v>
      </c>
      <c r="C34" s="1" t="s">
        <v>1331</v>
      </c>
      <c r="D34" s="1">
        <v>52</v>
      </c>
      <c r="E34" s="1" t="s">
        <v>825</v>
      </c>
      <c r="F34" s="1" t="s">
        <v>1146</v>
      </c>
      <c r="G34" s="1" t="s">
        <v>698</v>
      </c>
      <c r="H34" s="1" t="s">
        <v>1146</v>
      </c>
      <c r="I34" s="1">
        <v>4000</v>
      </c>
      <c r="J34" s="1" t="s">
        <v>1321</v>
      </c>
      <c r="K34" s="1" t="s">
        <v>695</v>
      </c>
      <c r="L34" s="1"/>
    </row>
    <row r="35" spans="1:15" x14ac:dyDescent="0.25">
      <c r="A35" s="1" t="s">
        <v>439</v>
      </c>
      <c r="B35" s="1" t="s">
        <v>440</v>
      </c>
      <c r="C35" s="1" t="s">
        <v>1331</v>
      </c>
      <c r="D35" s="1">
        <v>53</v>
      </c>
      <c r="E35" s="1" t="s">
        <v>870</v>
      </c>
      <c r="F35" s="1" t="s">
        <v>1132</v>
      </c>
      <c r="G35" s="1" t="s">
        <v>698</v>
      </c>
      <c r="H35" s="1" t="s">
        <v>1132</v>
      </c>
      <c r="I35" s="1">
        <v>5000</v>
      </c>
      <c r="J35" s="1" t="s">
        <v>1321</v>
      </c>
      <c r="K35" s="1" t="s">
        <v>695</v>
      </c>
      <c r="L35" s="1"/>
    </row>
    <row r="36" spans="1:15" x14ac:dyDescent="0.25">
      <c r="A36" s="1" t="s">
        <v>449</v>
      </c>
      <c r="B36" s="1" t="s">
        <v>450</v>
      </c>
      <c r="C36" s="1" t="s">
        <v>1331</v>
      </c>
      <c r="D36" s="1">
        <v>58</v>
      </c>
      <c r="E36" s="1" t="s">
        <v>803</v>
      </c>
      <c r="F36" s="1" t="s">
        <v>1137</v>
      </c>
      <c r="G36" s="1" t="s">
        <v>698</v>
      </c>
      <c r="H36" s="1" t="s">
        <v>1137</v>
      </c>
      <c r="I36" s="1">
        <v>5000</v>
      </c>
      <c r="J36" s="1" t="s">
        <v>1321</v>
      </c>
      <c r="K36" s="1" t="s">
        <v>695</v>
      </c>
      <c r="L36" s="1"/>
    </row>
    <row r="37" spans="1:15" x14ac:dyDescent="0.25">
      <c r="A37" s="1" t="s">
        <v>451</v>
      </c>
      <c r="B37" s="1" t="s">
        <v>452</v>
      </c>
      <c r="C37" s="1" t="s">
        <v>1331</v>
      </c>
      <c r="D37" s="1">
        <v>59</v>
      </c>
      <c r="E37" s="1" t="s">
        <v>842</v>
      </c>
      <c r="F37" s="1" t="s">
        <v>1139</v>
      </c>
      <c r="G37" s="1" t="s">
        <v>698</v>
      </c>
      <c r="H37" s="1" t="s">
        <v>1139</v>
      </c>
      <c r="I37" s="1">
        <v>5000</v>
      </c>
      <c r="J37" s="1" t="s">
        <v>1321</v>
      </c>
      <c r="K37" s="1" t="s">
        <v>695</v>
      </c>
      <c r="L37" s="1"/>
    </row>
    <row r="38" spans="1:15" x14ac:dyDescent="0.25">
      <c r="A38" s="1" t="s">
        <v>454</v>
      </c>
      <c r="B38" s="1" t="s">
        <v>455</v>
      </c>
      <c r="C38" s="1" t="s">
        <v>1331</v>
      </c>
      <c r="D38" s="1">
        <v>60</v>
      </c>
      <c r="E38" s="1" t="s">
        <v>838</v>
      </c>
      <c r="F38" s="1" t="s">
        <v>1150</v>
      </c>
      <c r="G38" s="1" t="s">
        <v>698</v>
      </c>
      <c r="H38" s="1" t="s">
        <v>1150</v>
      </c>
      <c r="I38" s="1">
        <v>4000</v>
      </c>
      <c r="J38" s="1" t="s">
        <v>1321</v>
      </c>
      <c r="K38" s="1" t="s">
        <v>695</v>
      </c>
      <c r="L38" s="1"/>
    </row>
    <row r="39" spans="1:15" x14ac:dyDescent="0.25">
      <c r="A39" s="1" t="s">
        <v>470</v>
      </c>
      <c r="B39" s="1" t="s">
        <v>471</v>
      </c>
      <c r="C39" s="1" t="s">
        <v>1331</v>
      </c>
      <c r="D39" s="1">
        <v>68</v>
      </c>
      <c r="E39" s="1" t="s">
        <v>847</v>
      </c>
      <c r="F39" s="1" t="s">
        <v>1151</v>
      </c>
      <c r="G39" s="1" t="s">
        <v>698</v>
      </c>
      <c r="H39" s="1" t="s">
        <v>1151</v>
      </c>
      <c r="I39" s="1">
        <v>4000</v>
      </c>
      <c r="J39" s="1" t="s">
        <v>1321</v>
      </c>
      <c r="K39" s="1" t="s">
        <v>695</v>
      </c>
      <c r="L39" s="1"/>
    </row>
    <row r="40" spans="1:15" x14ac:dyDescent="0.25">
      <c r="A40" s="1" t="s">
        <v>472</v>
      </c>
      <c r="B40" s="1" t="s">
        <v>473</v>
      </c>
      <c r="C40" s="1" t="s">
        <v>1331</v>
      </c>
      <c r="D40" s="1">
        <v>69</v>
      </c>
      <c r="E40" s="1" t="s">
        <v>860</v>
      </c>
      <c r="F40" s="1" t="s">
        <v>1140</v>
      </c>
      <c r="G40" s="1" t="s">
        <v>698</v>
      </c>
      <c r="H40" s="1" t="s">
        <v>1140</v>
      </c>
      <c r="I40" s="1">
        <v>5000</v>
      </c>
      <c r="J40" s="1" t="s">
        <v>1321</v>
      </c>
      <c r="K40" s="1" t="s">
        <v>695</v>
      </c>
      <c r="L40" s="1"/>
    </row>
    <row r="41" spans="1:15" x14ac:dyDescent="0.25">
      <c r="A41" s="1" t="s">
        <v>475</v>
      </c>
      <c r="B41" s="1" t="s">
        <v>476</v>
      </c>
      <c r="C41" s="1" t="s">
        <v>1331</v>
      </c>
      <c r="D41" s="1">
        <v>70</v>
      </c>
      <c r="E41" s="1" t="s">
        <v>833</v>
      </c>
      <c r="F41" s="1" t="s">
        <v>1138</v>
      </c>
      <c r="G41" s="1" t="s">
        <v>698</v>
      </c>
      <c r="H41" s="1" t="s">
        <v>1138</v>
      </c>
      <c r="I41" s="1">
        <v>5000</v>
      </c>
      <c r="J41" s="1" t="s">
        <v>1321</v>
      </c>
      <c r="K41" s="1" t="s">
        <v>695</v>
      </c>
      <c r="L41" s="1"/>
    </row>
    <row r="42" spans="1:15" x14ac:dyDescent="0.25">
      <c r="A42" s="1" t="s">
        <v>339</v>
      </c>
      <c r="B42" s="1" t="s">
        <v>340</v>
      </c>
      <c r="C42" s="1" t="s">
        <v>1329</v>
      </c>
      <c r="D42" s="1">
        <v>23</v>
      </c>
      <c r="E42" s="1" t="s">
        <v>797</v>
      </c>
      <c r="F42" s="1" t="s">
        <v>1154</v>
      </c>
      <c r="G42" s="1" t="s">
        <v>1316</v>
      </c>
      <c r="H42" s="1" t="s">
        <v>1325</v>
      </c>
      <c r="I42" s="1">
        <v>3000</v>
      </c>
      <c r="J42" s="1" t="s">
        <v>1321</v>
      </c>
      <c r="K42" s="1" t="s">
        <v>695</v>
      </c>
      <c r="L42">
        <v>273929295</v>
      </c>
      <c r="M42" s="27">
        <v>45715</v>
      </c>
      <c r="N42" t="s">
        <v>1347</v>
      </c>
      <c r="O42" t="s">
        <v>1348</v>
      </c>
    </row>
    <row r="43" spans="1:15" x14ac:dyDescent="0.25">
      <c r="A43" s="1" t="s">
        <v>364</v>
      </c>
      <c r="B43" s="1" t="s">
        <v>365</v>
      </c>
      <c r="C43" s="1" t="s">
        <v>1332</v>
      </c>
      <c r="D43" s="1">
        <v>12</v>
      </c>
      <c r="E43" s="1" t="s">
        <v>839</v>
      </c>
      <c r="F43" s="1" t="s">
        <v>1162</v>
      </c>
      <c r="G43" s="1" t="s">
        <v>700</v>
      </c>
      <c r="H43" s="1" t="s">
        <v>1162</v>
      </c>
      <c r="I43" s="1">
        <v>3000</v>
      </c>
      <c r="J43" s="1" t="s">
        <v>1321</v>
      </c>
      <c r="K43" s="1" t="s">
        <v>695</v>
      </c>
      <c r="L43" t="s">
        <v>1342</v>
      </c>
      <c r="M43" s="27">
        <v>45719</v>
      </c>
      <c r="N43" t="s">
        <v>1346</v>
      </c>
      <c r="O43" t="s">
        <v>1345</v>
      </c>
    </row>
    <row r="44" spans="1:15" x14ac:dyDescent="0.25">
      <c r="A44" s="1" t="s">
        <v>308</v>
      </c>
      <c r="B44" s="1" t="s">
        <v>306</v>
      </c>
      <c r="C44" s="1" t="s">
        <v>1330</v>
      </c>
      <c r="D44" s="1">
        <v>39</v>
      </c>
      <c r="E44" s="1" t="s">
        <v>855</v>
      </c>
      <c r="F44" s="1" t="s">
        <v>1195</v>
      </c>
      <c r="G44" s="1" t="s">
        <v>699</v>
      </c>
      <c r="H44" s="1" t="s">
        <v>1195</v>
      </c>
      <c r="I44" s="1">
        <v>500</v>
      </c>
      <c r="J44" s="1" t="s">
        <v>1321</v>
      </c>
      <c r="K44" s="1" t="s">
        <v>695</v>
      </c>
      <c r="L44" s="28" t="s">
        <v>1349</v>
      </c>
      <c r="M44" s="27">
        <v>45720</v>
      </c>
      <c r="N44" t="s">
        <v>1346</v>
      </c>
      <c r="O44">
        <v>1906186321</v>
      </c>
    </row>
    <row r="45" spans="1:15" x14ac:dyDescent="0.25">
      <c r="A45" s="1" t="s">
        <v>366</v>
      </c>
      <c r="B45" s="1" t="s">
        <v>367</v>
      </c>
      <c r="C45" s="1" t="s">
        <v>1332</v>
      </c>
      <c r="D45" s="1">
        <v>2</v>
      </c>
      <c r="E45" s="1" t="s">
        <v>795</v>
      </c>
      <c r="F45" s="1" t="s">
        <v>1166</v>
      </c>
      <c r="G45" s="1" t="s">
        <v>699</v>
      </c>
      <c r="H45" s="1" t="s">
        <v>1166</v>
      </c>
      <c r="I45" s="1">
        <v>4000</v>
      </c>
      <c r="J45" s="1" t="s">
        <v>1321</v>
      </c>
      <c r="K45" s="1" t="s">
        <v>695</v>
      </c>
      <c r="L45" s="28" t="s">
        <v>1349</v>
      </c>
      <c r="M45" s="27">
        <v>45720</v>
      </c>
      <c r="N45" t="s">
        <v>1346</v>
      </c>
      <c r="O45">
        <v>1906186321</v>
      </c>
    </row>
    <row r="46" spans="1:15" x14ac:dyDescent="0.25">
      <c r="A46" s="1" t="s">
        <v>368</v>
      </c>
      <c r="B46" s="1" t="s">
        <v>369</v>
      </c>
      <c r="C46" s="1" t="s">
        <v>1332</v>
      </c>
      <c r="D46" s="1">
        <v>3</v>
      </c>
      <c r="E46" s="1" t="s">
        <v>796</v>
      </c>
      <c r="F46" s="1" t="s">
        <v>1184</v>
      </c>
      <c r="G46" s="1" t="s">
        <v>699</v>
      </c>
      <c r="H46" s="1" t="s">
        <v>1184</v>
      </c>
      <c r="I46" s="1">
        <v>3000</v>
      </c>
      <c r="J46" s="1" t="s">
        <v>1321</v>
      </c>
      <c r="K46" s="1" t="s">
        <v>695</v>
      </c>
      <c r="L46" s="28" t="s">
        <v>1349</v>
      </c>
      <c r="M46" s="27">
        <v>45720</v>
      </c>
      <c r="N46" t="s">
        <v>1346</v>
      </c>
      <c r="O46">
        <v>1906186321</v>
      </c>
    </row>
    <row r="47" spans="1:15" x14ac:dyDescent="0.25">
      <c r="A47" s="1" t="s">
        <v>2</v>
      </c>
      <c r="B47" s="1" t="s">
        <v>266</v>
      </c>
      <c r="C47" s="1" t="s">
        <v>1330</v>
      </c>
      <c r="D47" s="1">
        <v>2</v>
      </c>
      <c r="E47" s="1" t="s">
        <v>750</v>
      </c>
      <c r="F47" s="1" t="s">
        <v>109</v>
      </c>
      <c r="G47" s="1"/>
      <c r="H47" s="1"/>
      <c r="I47" s="1"/>
      <c r="J47" s="1" t="s">
        <v>1327</v>
      </c>
      <c r="K47" s="1" t="s">
        <v>694</v>
      </c>
    </row>
    <row r="48" spans="1:15" x14ac:dyDescent="0.25">
      <c r="A48" s="1" t="s">
        <v>3</v>
      </c>
      <c r="B48" s="1" t="s">
        <v>287</v>
      </c>
      <c r="C48" s="1" t="s">
        <v>1330</v>
      </c>
      <c r="D48" s="1">
        <v>3</v>
      </c>
      <c r="E48" s="1" t="s">
        <v>709</v>
      </c>
      <c r="F48" s="1" t="s">
        <v>110</v>
      </c>
      <c r="G48" s="1"/>
      <c r="H48" s="1"/>
      <c r="I48" s="1"/>
      <c r="J48" s="1" t="s">
        <v>1327</v>
      </c>
      <c r="K48" s="1" t="s">
        <v>694</v>
      </c>
    </row>
    <row r="49" spans="1:11" x14ac:dyDescent="0.25">
      <c r="A49" s="1" t="s">
        <v>7</v>
      </c>
      <c r="B49" s="1" t="s">
        <v>307</v>
      </c>
      <c r="C49" s="1" t="s">
        <v>1330</v>
      </c>
      <c r="D49" s="1">
        <v>4</v>
      </c>
      <c r="E49" s="1" t="s">
        <v>704</v>
      </c>
      <c r="F49" s="1" t="s">
        <v>115</v>
      </c>
      <c r="G49" s="1"/>
      <c r="H49" s="1"/>
      <c r="I49" s="1"/>
      <c r="J49" s="1" t="s">
        <v>1327</v>
      </c>
      <c r="K49" s="1" t="s">
        <v>694</v>
      </c>
    </row>
    <row r="50" spans="1:11" x14ac:dyDescent="0.25">
      <c r="A50" s="1" t="s">
        <v>8</v>
      </c>
      <c r="B50" s="1" t="s">
        <v>311</v>
      </c>
      <c r="C50" s="1" t="s">
        <v>1330</v>
      </c>
      <c r="D50" s="1">
        <v>5</v>
      </c>
      <c r="E50" s="1" t="s">
        <v>722</v>
      </c>
      <c r="F50" s="1" t="s">
        <v>116</v>
      </c>
      <c r="G50" s="1"/>
      <c r="H50" s="1"/>
      <c r="I50" s="1"/>
      <c r="J50" s="1" t="s">
        <v>1327</v>
      </c>
      <c r="K50" s="1" t="s">
        <v>694</v>
      </c>
    </row>
    <row r="51" spans="1:11" x14ac:dyDescent="0.25">
      <c r="A51" s="1" t="s">
        <v>55</v>
      </c>
      <c r="B51" s="1" t="s">
        <v>312</v>
      </c>
      <c r="C51" s="1" t="s">
        <v>1330</v>
      </c>
      <c r="D51" s="1">
        <v>6</v>
      </c>
      <c r="E51" s="1" t="s">
        <v>762</v>
      </c>
      <c r="F51" s="1" t="s">
        <v>166</v>
      </c>
      <c r="G51" s="1"/>
      <c r="H51" s="1"/>
      <c r="I51" s="1"/>
      <c r="J51" s="1" t="s">
        <v>1327</v>
      </c>
      <c r="K51" s="1" t="s">
        <v>694</v>
      </c>
    </row>
    <row r="52" spans="1:11" x14ac:dyDescent="0.25">
      <c r="A52" s="1" t="s">
        <v>56</v>
      </c>
      <c r="B52" s="1" t="s">
        <v>313</v>
      </c>
      <c r="C52" s="1" t="s">
        <v>1330</v>
      </c>
      <c r="D52" s="1">
        <v>7</v>
      </c>
      <c r="E52" s="1" t="s">
        <v>742</v>
      </c>
      <c r="F52" s="1" t="s">
        <v>168</v>
      </c>
      <c r="G52" s="1"/>
      <c r="H52" s="1"/>
      <c r="I52" s="1"/>
      <c r="J52" s="1" t="s">
        <v>1327</v>
      </c>
      <c r="K52" s="1" t="s">
        <v>694</v>
      </c>
    </row>
    <row r="53" spans="1:11" x14ac:dyDescent="0.25">
      <c r="A53" s="1" t="s">
        <v>57</v>
      </c>
      <c r="B53" s="1" t="s">
        <v>314</v>
      </c>
      <c r="C53" s="1" t="s">
        <v>1330</v>
      </c>
      <c r="D53" s="1">
        <v>8</v>
      </c>
      <c r="E53" s="1" t="s">
        <v>768</v>
      </c>
      <c r="F53" s="1" t="s">
        <v>169</v>
      </c>
      <c r="G53" s="1"/>
      <c r="H53" s="1"/>
      <c r="I53" s="1"/>
      <c r="J53" s="1" t="s">
        <v>1327</v>
      </c>
      <c r="K53" s="1" t="s">
        <v>694</v>
      </c>
    </row>
    <row r="54" spans="1:11" x14ac:dyDescent="0.25">
      <c r="A54" s="1" t="s">
        <v>58</v>
      </c>
      <c r="B54" s="1" t="s">
        <v>315</v>
      </c>
      <c r="C54" s="1" t="s">
        <v>1330</v>
      </c>
      <c r="D54" s="1">
        <v>9</v>
      </c>
      <c r="E54" s="1" t="s">
        <v>724</v>
      </c>
      <c r="F54" s="1" t="s">
        <v>171</v>
      </c>
      <c r="G54" s="1"/>
      <c r="H54" s="1"/>
      <c r="I54" s="1"/>
      <c r="J54" s="1" t="s">
        <v>1327</v>
      </c>
      <c r="K54" s="1" t="s">
        <v>694</v>
      </c>
    </row>
    <row r="55" spans="1:11" x14ac:dyDescent="0.25">
      <c r="A55" s="1" t="s">
        <v>75</v>
      </c>
      <c r="B55" s="1" t="s">
        <v>251</v>
      </c>
      <c r="C55" s="1" t="s">
        <v>1330</v>
      </c>
      <c r="D55" s="1">
        <v>10</v>
      </c>
      <c r="E55" s="1" t="s">
        <v>827</v>
      </c>
      <c r="F55" s="1" t="s">
        <v>192</v>
      </c>
      <c r="G55" s="1"/>
      <c r="H55" s="1"/>
      <c r="I55" s="1"/>
      <c r="J55" s="1" t="s">
        <v>1327</v>
      </c>
      <c r="K55" s="1" t="s">
        <v>694</v>
      </c>
    </row>
    <row r="56" spans="1:11" x14ac:dyDescent="0.25">
      <c r="A56" s="1" t="s">
        <v>76</v>
      </c>
      <c r="B56" s="1" t="s">
        <v>252</v>
      </c>
      <c r="C56" s="1" t="s">
        <v>1330</v>
      </c>
      <c r="D56" s="1">
        <v>11</v>
      </c>
      <c r="E56" s="1" t="s">
        <v>814</v>
      </c>
      <c r="F56" s="1" t="s">
        <v>193</v>
      </c>
      <c r="G56" s="1"/>
      <c r="H56" s="1"/>
      <c r="I56" s="1"/>
      <c r="J56" s="1" t="s">
        <v>1327</v>
      </c>
      <c r="K56" s="1" t="s">
        <v>694</v>
      </c>
    </row>
    <row r="57" spans="1:11" x14ac:dyDescent="0.25">
      <c r="A57" s="1" t="s">
        <v>77</v>
      </c>
      <c r="B57" s="1" t="s">
        <v>253</v>
      </c>
      <c r="C57" s="1" t="s">
        <v>1330</v>
      </c>
      <c r="D57" s="1">
        <v>12</v>
      </c>
      <c r="E57" s="1" t="s">
        <v>730</v>
      </c>
      <c r="F57" s="1" t="s">
        <v>1214</v>
      </c>
      <c r="G57" s="1"/>
      <c r="H57" s="1"/>
      <c r="I57" s="1"/>
      <c r="J57" s="1" t="s">
        <v>1327</v>
      </c>
      <c r="K57" s="1" t="s">
        <v>694</v>
      </c>
    </row>
    <row r="58" spans="1:11" x14ac:dyDescent="0.25">
      <c r="A58" s="1" t="s">
        <v>78</v>
      </c>
      <c r="B58" s="1" t="s">
        <v>254</v>
      </c>
      <c r="C58" s="1" t="s">
        <v>1330</v>
      </c>
      <c r="D58" s="1">
        <v>13</v>
      </c>
      <c r="E58" s="1" t="s">
        <v>822</v>
      </c>
      <c r="F58" s="1" t="s">
        <v>195</v>
      </c>
      <c r="G58" s="1"/>
      <c r="H58" s="1"/>
      <c r="I58" s="1"/>
      <c r="J58" s="1" t="s">
        <v>1327</v>
      </c>
      <c r="K58" s="1" t="s">
        <v>694</v>
      </c>
    </row>
    <row r="59" spans="1:11" x14ac:dyDescent="0.25">
      <c r="A59" s="1" t="s">
        <v>230</v>
      </c>
      <c r="B59" s="1" t="s">
        <v>255</v>
      </c>
      <c r="C59" s="1" t="s">
        <v>1330</v>
      </c>
      <c r="D59" s="1">
        <v>14</v>
      </c>
      <c r="E59" s="1" t="s">
        <v>725</v>
      </c>
      <c r="F59" s="1" t="s">
        <v>1124</v>
      </c>
      <c r="G59" s="1"/>
      <c r="H59" s="1"/>
      <c r="I59" s="1"/>
      <c r="J59" s="1" t="s">
        <v>1327</v>
      </c>
      <c r="K59" s="1" t="s">
        <v>694</v>
      </c>
    </row>
    <row r="60" spans="1:11" x14ac:dyDescent="0.25">
      <c r="A60" s="1" t="s">
        <v>74</v>
      </c>
      <c r="B60" s="1" t="s">
        <v>1333</v>
      </c>
      <c r="C60" s="1" t="s">
        <v>1330</v>
      </c>
      <c r="D60" s="1">
        <v>40</v>
      </c>
      <c r="E60" s="1" t="s">
        <v>880</v>
      </c>
      <c r="F60" s="1" t="s">
        <v>191</v>
      </c>
      <c r="G60" s="1"/>
      <c r="H60" s="1"/>
      <c r="I60" s="1"/>
      <c r="J60" s="1" t="s">
        <v>1327</v>
      </c>
      <c r="K60" s="1" t="s">
        <v>694</v>
      </c>
    </row>
    <row r="61" spans="1:11" x14ac:dyDescent="0.25">
      <c r="A61" s="1" t="s">
        <v>72</v>
      </c>
      <c r="B61" s="1" t="s">
        <v>309</v>
      </c>
      <c r="C61" s="1" t="s">
        <v>1330</v>
      </c>
      <c r="D61" s="1">
        <v>41</v>
      </c>
      <c r="E61" s="1" t="s">
        <v>879</v>
      </c>
      <c r="F61" s="1" t="s">
        <v>188</v>
      </c>
      <c r="G61" s="1"/>
      <c r="H61" s="1"/>
      <c r="I61" s="1"/>
      <c r="J61" s="1" t="s">
        <v>1327</v>
      </c>
      <c r="K61" s="1" t="s">
        <v>694</v>
      </c>
    </row>
    <row r="62" spans="1:11" x14ac:dyDescent="0.25">
      <c r="A62" s="1" t="s">
        <v>73</v>
      </c>
      <c r="B62" s="1" t="s">
        <v>310</v>
      </c>
      <c r="C62" s="1" t="s">
        <v>1330</v>
      </c>
      <c r="D62" s="1">
        <v>42</v>
      </c>
      <c r="E62" s="1" t="s">
        <v>864</v>
      </c>
      <c r="F62" s="1" t="s">
        <v>189</v>
      </c>
      <c r="G62" s="1"/>
      <c r="H62" s="1"/>
      <c r="I62" s="1"/>
      <c r="J62" s="1" t="s">
        <v>1327</v>
      </c>
      <c r="K62" s="1" t="s">
        <v>694</v>
      </c>
    </row>
    <row r="63" spans="1:11" x14ac:dyDescent="0.25">
      <c r="A63" s="1" t="s">
        <v>9</v>
      </c>
      <c r="B63" s="1" t="s">
        <v>316</v>
      </c>
      <c r="C63" s="1" t="s">
        <v>1329</v>
      </c>
      <c r="D63" s="1">
        <v>1</v>
      </c>
      <c r="E63" s="1" t="s">
        <v>759</v>
      </c>
      <c r="F63" s="1" t="s">
        <v>120</v>
      </c>
      <c r="G63" s="1"/>
      <c r="H63" s="1"/>
      <c r="I63" s="1"/>
      <c r="J63" s="1" t="s">
        <v>1327</v>
      </c>
      <c r="K63" s="1" t="s">
        <v>694</v>
      </c>
    </row>
    <row r="64" spans="1:11" x14ac:dyDescent="0.25">
      <c r="A64" s="1" t="s">
        <v>60</v>
      </c>
      <c r="B64" s="1" t="s">
        <v>350</v>
      </c>
      <c r="C64" s="1" t="s">
        <v>1329</v>
      </c>
      <c r="D64" s="1">
        <v>3</v>
      </c>
      <c r="E64" s="1" t="s">
        <v>716</v>
      </c>
      <c r="F64" s="1" t="s">
        <v>174</v>
      </c>
      <c r="G64" s="1"/>
      <c r="H64" s="1"/>
      <c r="I64" s="1"/>
      <c r="J64" s="1" t="s">
        <v>1327</v>
      </c>
      <c r="K64" s="1" t="s">
        <v>694</v>
      </c>
    </row>
    <row r="65" spans="1:11" x14ac:dyDescent="0.25">
      <c r="A65" s="1" t="s">
        <v>61</v>
      </c>
      <c r="B65" s="1" t="s">
        <v>353</v>
      </c>
      <c r="C65" s="1" t="s">
        <v>1329</v>
      </c>
      <c r="D65" s="1">
        <v>4</v>
      </c>
      <c r="E65" s="1" t="s">
        <v>719</v>
      </c>
      <c r="F65" s="1" t="s">
        <v>176</v>
      </c>
      <c r="G65" s="1"/>
      <c r="H65" s="1"/>
      <c r="I65" s="1"/>
      <c r="J65" s="1" t="s">
        <v>1327</v>
      </c>
      <c r="K65" s="1" t="s">
        <v>694</v>
      </c>
    </row>
    <row r="66" spans="1:11" x14ac:dyDescent="0.25">
      <c r="A66" s="1" t="s">
        <v>62</v>
      </c>
      <c r="B66" s="1" t="s">
        <v>354</v>
      </c>
      <c r="C66" s="1" t="s">
        <v>1329</v>
      </c>
      <c r="D66" s="1">
        <v>5</v>
      </c>
      <c r="E66" s="1" t="s">
        <v>767</v>
      </c>
      <c r="F66" s="1" t="s">
        <v>178</v>
      </c>
      <c r="G66" s="1"/>
      <c r="H66" s="1"/>
      <c r="I66" s="1"/>
      <c r="J66" s="1" t="s">
        <v>1327</v>
      </c>
      <c r="K66" s="1" t="s">
        <v>694</v>
      </c>
    </row>
    <row r="67" spans="1:11" x14ac:dyDescent="0.25">
      <c r="A67" s="1" t="s">
        <v>63</v>
      </c>
      <c r="B67" s="1" t="s">
        <v>355</v>
      </c>
      <c r="C67" s="1" t="s">
        <v>1329</v>
      </c>
      <c r="D67" s="1">
        <v>6</v>
      </c>
      <c r="E67" s="1" t="s">
        <v>727</v>
      </c>
      <c r="F67" s="1" t="s">
        <v>180</v>
      </c>
      <c r="G67" s="1"/>
      <c r="H67" s="1"/>
      <c r="I67" s="1"/>
      <c r="J67" s="1" t="s">
        <v>1327</v>
      </c>
      <c r="K67" s="1" t="s">
        <v>694</v>
      </c>
    </row>
    <row r="68" spans="1:11" x14ac:dyDescent="0.25">
      <c r="A68" s="1" t="s">
        <v>64</v>
      </c>
      <c r="B68" s="1" t="s">
        <v>356</v>
      </c>
      <c r="C68" s="1" t="s">
        <v>1329</v>
      </c>
      <c r="D68" s="1">
        <v>7</v>
      </c>
      <c r="E68" s="1" t="s">
        <v>771</v>
      </c>
      <c r="F68" s="1" t="s">
        <v>181</v>
      </c>
      <c r="G68" s="1"/>
      <c r="H68" s="1"/>
      <c r="I68" s="1"/>
      <c r="J68" s="1" t="s">
        <v>1327</v>
      </c>
      <c r="K68" s="1" t="s">
        <v>694</v>
      </c>
    </row>
    <row r="69" spans="1:11" x14ac:dyDescent="0.25">
      <c r="A69" s="1" t="s">
        <v>79</v>
      </c>
      <c r="B69" s="1" t="s">
        <v>358</v>
      </c>
      <c r="C69" s="1" t="s">
        <v>1329</v>
      </c>
      <c r="D69" s="1">
        <v>9</v>
      </c>
      <c r="E69" s="1" t="s">
        <v>716</v>
      </c>
      <c r="F69" s="1" t="s">
        <v>196</v>
      </c>
      <c r="G69" s="1"/>
      <c r="H69" s="1"/>
      <c r="I69" s="1"/>
      <c r="J69" s="1" t="s">
        <v>1327</v>
      </c>
      <c r="K69" s="1" t="s">
        <v>694</v>
      </c>
    </row>
    <row r="70" spans="1:11" x14ac:dyDescent="0.25">
      <c r="A70" s="1" t="s">
        <v>81</v>
      </c>
      <c r="B70" s="1" t="s">
        <v>317</v>
      </c>
      <c r="C70" s="1" t="s">
        <v>1329</v>
      </c>
      <c r="D70" s="1">
        <v>10</v>
      </c>
      <c r="E70" s="1" t="s">
        <v>772</v>
      </c>
      <c r="F70" s="1" t="s">
        <v>198</v>
      </c>
      <c r="G70" s="1"/>
      <c r="H70" s="1"/>
      <c r="I70" s="1"/>
      <c r="J70" s="1" t="s">
        <v>1327</v>
      </c>
      <c r="K70" s="1" t="s">
        <v>694</v>
      </c>
    </row>
    <row r="71" spans="1:11" x14ac:dyDescent="0.25">
      <c r="A71" s="1" t="s">
        <v>82</v>
      </c>
      <c r="B71" s="1" t="s">
        <v>318</v>
      </c>
      <c r="C71" s="1" t="s">
        <v>1329</v>
      </c>
      <c r="D71" s="1">
        <v>11</v>
      </c>
      <c r="E71" s="1" t="s">
        <v>760</v>
      </c>
      <c r="F71" s="1" t="s">
        <v>199</v>
      </c>
      <c r="G71" s="1"/>
      <c r="H71" s="1"/>
      <c r="I71" s="1"/>
      <c r="J71" s="1" t="s">
        <v>1327</v>
      </c>
      <c r="K71" s="1" t="s">
        <v>694</v>
      </c>
    </row>
    <row r="72" spans="1:11" x14ac:dyDescent="0.25">
      <c r="A72" s="1" t="s">
        <v>84</v>
      </c>
      <c r="B72" s="1" t="s">
        <v>319</v>
      </c>
      <c r="C72" s="1" t="s">
        <v>1329</v>
      </c>
      <c r="D72" s="1">
        <v>12</v>
      </c>
      <c r="E72" s="1" t="s">
        <v>840</v>
      </c>
      <c r="F72" s="1" t="s">
        <v>201</v>
      </c>
      <c r="G72" s="1"/>
      <c r="H72" s="1"/>
      <c r="I72" s="1"/>
      <c r="J72" s="1" t="s">
        <v>1327</v>
      </c>
      <c r="K72" s="1" t="s">
        <v>694</v>
      </c>
    </row>
    <row r="73" spans="1:11" x14ac:dyDescent="0.25">
      <c r="A73" s="1" t="s">
        <v>85</v>
      </c>
      <c r="B73" s="1" t="s">
        <v>320</v>
      </c>
      <c r="C73" s="1" t="s">
        <v>1329</v>
      </c>
      <c r="D73" s="1">
        <v>13</v>
      </c>
      <c r="E73" s="1" t="s">
        <v>846</v>
      </c>
      <c r="F73" s="1" t="s">
        <v>202</v>
      </c>
      <c r="G73" s="1"/>
      <c r="H73" s="1"/>
      <c r="I73" s="1"/>
      <c r="J73" s="1" t="s">
        <v>1327</v>
      </c>
      <c r="K73" s="1" t="s">
        <v>694</v>
      </c>
    </row>
    <row r="74" spans="1:11" x14ac:dyDescent="0.25">
      <c r="A74" s="1" t="s">
        <v>229</v>
      </c>
      <c r="B74" s="1" t="s">
        <v>321</v>
      </c>
      <c r="C74" s="1" t="s">
        <v>1329</v>
      </c>
      <c r="D74" s="1">
        <v>14</v>
      </c>
      <c r="E74" s="1" t="s">
        <v>738</v>
      </c>
      <c r="F74" s="1" t="s">
        <v>1125</v>
      </c>
      <c r="G74" s="1"/>
      <c r="H74" s="1"/>
      <c r="I74" s="1"/>
      <c r="J74" s="1" t="s">
        <v>1327</v>
      </c>
      <c r="K74" s="1" t="s">
        <v>694</v>
      </c>
    </row>
    <row r="75" spans="1:11" x14ac:dyDescent="0.25">
      <c r="A75" s="1" t="s">
        <v>65</v>
      </c>
      <c r="B75" s="1" t="s">
        <v>347</v>
      </c>
      <c r="C75" s="1" t="s">
        <v>1329</v>
      </c>
      <c r="D75" s="1">
        <v>27</v>
      </c>
      <c r="E75" s="1" t="s">
        <v>837</v>
      </c>
      <c r="F75" s="1" t="s">
        <v>182</v>
      </c>
      <c r="G75" s="1"/>
      <c r="H75" s="1"/>
      <c r="I75" s="1"/>
      <c r="J75" s="1" t="s">
        <v>1327</v>
      </c>
      <c r="K75" s="1" t="s">
        <v>694</v>
      </c>
    </row>
    <row r="76" spans="1:11" x14ac:dyDescent="0.25">
      <c r="A76" s="1" t="s">
        <v>80</v>
      </c>
      <c r="B76" s="1" t="s">
        <v>348</v>
      </c>
      <c r="C76" s="1" t="s">
        <v>1329</v>
      </c>
      <c r="D76" s="1">
        <v>28</v>
      </c>
      <c r="E76" s="1" t="s">
        <v>868</v>
      </c>
      <c r="F76" s="1" t="s">
        <v>197</v>
      </c>
      <c r="G76" s="1"/>
      <c r="H76" s="1"/>
      <c r="I76" s="1"/>
      <c r="J76" s="1" t="s">
        <v>1327</v>
      </c>
      <c r="K76" s="1" t="s">
        <v>694</v>
      </c>
    </row>
    <row r="77" spans="1:11" x14ac:dyDescent="0.25">
      <c r="A77" s="1" t="s">
        <v>83</v>
      </c>
      <c r="B77" s="1" t="s">
        <v>349</v>
      </c>
      <c r="C77" s="1" t="s">
        <v>1329</v>
      </c>
      <c r="D77" s="1">
        <v>29</v>
      </c>
      <c r="E77" s="1" t="s">
        <v>868</v>
      </c>
      <c r="F77" s="1" t="s">
        <v>200</v>
      </c>
      <c r="G77" s="1"/>
      <c r="H77" s="1"/>
      <c r="I77" s="1"/>
      <c r="J77" s="1" t="s">
        <v>1327</v>
      </c>
      <c r="K77" s="1" t="s">
        <v>694</v>
      </c>
    </row>
    <row r="78" spans="1:11" x14ac:dyDescent="0.25">
      <c r="A78" s="1" t="s">
        <v>86</v>
      </c>
      <c r="B78" s="1" t="s">
        <v>351</v>
      </c>
      <c r="C78" s="1" t="s">
        <v>1329</v>
      </c>
      <c r="D78" s="1">
        <v>30</v>
      </c>
      <c r="E78" s="1" t="s">
        <v>869</v>
      </c>
      <c r="F78" s="1" t="s">
        <v>204</v>
      </c>
      <c r="G78" s="1"/>
      <c r="H78" s="1"/>
      <c r="I78" s="1"/>
      <c r="J78" s="1" t="s">
        <v>1327</v>
      </c>
      <c r="K78" s="1" t="s">
        <v>694</v>
      </c>
    </row>
    <row r="79" spans="1:11" x14ac:dyDescent="0.25">
      <c r="A79" s="1" t="s">
        <v>87</v>
      </c>
      <c r="B79" s="1" t="s">
        <v>352</v>
      </c>
      <c r="C79" s="1" t="s">
        <v>1329</v>
      </c>
      <c r="D79" s="1">
        <v>31</v>
      </c>
      <c r="E79" s="1" t="s">
        <v>863</v>
      </c>
      <c r="F79" s="1" t="s">
        <v>206</v>
      </c>
      <c r="G79" s="1"/>
      <c r="H79" s="1"/>
      <c r="I79" s="1"/>
      <c r="J79" s="1" t="s">
        <v>1327</v>
      </c>
      <c r="K79" s="1" t="s">
        <v>694</v>
      </c>
    </row>
    <row r="80" spans="1:11" x14ac:dyDescent="0.25">
      <c r="A80" s="1" t="s">
        <v>89</v>
      </c>
      <c r="B80" s="1" t="s">
        <v>359</v>
      </c>
      <c r="C80" s="1" t="s">
        <v>1332</v>
      </c>
      <c r="D80" s="1">
        <v>1</v>
      </c>
      <c r="E80" s="1" t="s">
        <v>734</v>
      </c>
      <c r="F80" s="1" t="s">
        <v>210</v>
      </c>
      <c r="G80" s="1"/>
      <c r="H80" s="1"/>
      <c r="I80" s="1"/>
      <c r="J80" s="1" t="s">
        <v>1327</v>
      </c>
      <c r="K80" s="1" t="s">
        <v>694</v>
      </c>
    </row>
    <row r="81" spans="1:11" x14ac:dyDescent="0.25">
      <c r="A81" s="1" t="s">
        <v>88</v>
      </c>
      <c r="B81" s="1" t="s">
        <v>372</v>
      </c>
      <c r="C81" s="1" t="s">
        <v>1332</v>
      </c>
      <c r="D81" s="1">
        <v>5</v>
      </c>
      <c r="E81" s="1" t="s">
        <v>881</v>
      </c>
      <c r="F81" s="1" t="s">
        <v>208</v>
      </c>
      <c r="G81" s="1"/>
      <c r="H81" s="1"/>
      <c r="I81" s="1"/>
      <c r="J81" s="1" t="s">
        <v>1327</v>
      </c>
      <c r="K81" s="1" t="s">
        <v>694</v>
      </c>
    </row>
    <row r="82" spans="1:11" x14ac:dyDescent="0.25">
      <c r="A82" s="1" t="s">
        <v>67</v>
      </c>
      <c r="B82" s="1" t="s">
        <v>373</v>
      </c>
      <c r="C82" s="1" t="s">
        <v>1332</v>
      </c>
      <c r="D82" s="1">
        <v>6</v>
      </c>
      <c r="E82" s="1" t="s">
        <v>791</v>
      </c>
      <c r="F82" s="1" t="s">
        <v>184</v>
      </c>
      <c r="G82" s="1"/>
      <c r="H82" s="1"/>
      <c r="I82" s="1"/>
      <c r="J82" s="1" t="s">
        <v>1327</v>
      </c>
      <c r="K82" s="1" t="s">
        <v>694</v>
      </c>
    </row>
    <row r="83" spans="1:11" x14ac:dyDescent="0.25">
      <c r="A83" s="1" t="s">
        <v>68</v>
      </c>
      <c r="B83" s="1" t="s">
        <v>374</v>
      </c>
      <c r="C83" s="1" t="s">
        <v>1332</v>
      </c>
      <c r="D83" s="1">
        <v>7</v>
      </c>
      <c r="E83" s="1" t="s">
        <v>708</v>
      </c>
      <c r="F83" s="1" t="s">
        <v>185</v>
      </c>
      <c r="G83" s="1"/>
      <c r="H83" s="1"/>
      <c r="I83" s="1"/>
      <c r="J83" s="1" t="s">
        <v>1327</v>
      </c>
      <c r="K83" s="1" t="s">
        <v>694</v>
      </c>
    </row>
    <row r="84" spans="1:11" x14ac:dyDescent="0.25">
      <c r="A84" s="1" t="s">
        <v>69</v>
      </c>
      <c r="B84" s="1" t="s">
        <v>375</v>
      </c>
      <c r="C84" s="1" t="s">
        <v>1332</v>
      </c>
      <c r="D84" s="1">
        <v>8</v>
      </c>
      <c r="E84" s="1" t="s">
        <v>715</v>
      </c>
      <c r="F84" s="1" t="s">
        <v>186</v>
      </c>
      <c r="G84" s="1"/>
      <c r="H84" s="1"/>
      <c r="I84" s="1"/>
      <c r="J84" s="1" t="s">
        <v>1327</v>
      </c>
      <c r="K84" s="1" t="s">
        <v>694</v>
      </c>
    </row>
    <row r="85" spans="1:11" x14ac:dyDescent="0.25">
      <c r="A85" s="1" t="s">
        <v>71</v>
      </c>
      <c r="B85" s="1" t="s">
        <v>376</v>
      </c>
      <c r="C85" s="1" t="s">
        <v>1332</v>
      </c>
      <c r="D85" s="1">
        <v>9</v>
      </c>
      <c r="E85" s="1" t="s">
        <v>871</v>
      </c>
      <c r="F85" s="1" t="s">
        <v>187</v>
      </c>
      <c r="G85" s="1"/>
      <c r="H85" s="1"/>
      <c r="I85" s="1"/>
      <c r="J85" s="1" t="s">
        <v>1327</v>
      </c>
      <c r="K85" s="1" t="s">
        <v>694</v>
      </c>
    </row>
    <row r="86" spans="1:11" x14ac:dyDescent="0.25">
      <c r="A86" s="1" t="s">
        <v>4</v>
      </c>
      <c r="B86" s="1" t="s">
        <v>377</v>
      </c>
      <c r="C86" s="1" t="s">
        <v>1331</v>
      </c>
      <c r="D86" s="1">
        <v>1</v>
      </c>
      <c r="E86" s="1" t="s">
        <v>723</v>
      </c>
      <c r="F86" s="1" t="s">
        <v>111</v>
      </c>
      <c r="G86" s="1"/>
      <c r="H86" s="1"/>
      <c r="I86" s="1"/>
      <c r="J86" s="1" t="s">
        <v>1327</v>
      </c>
      <c r="K86" s="1" t="s">
        <v>694</v>
      </c>
    </row>
    <row r="87" spans="1:11" x14ac:dyDescent="0.25">
      <c r="A87" s="1" t="s">
        <v>5</v>
      </c>
      <c r="B87" s="1" t="s">
        <v>389</v>
      </c>
      <c r="C87" s="1" t="s">
        <v>1331</v>
      </c>
      <c r="D87" s="1">
        <v>2</v>
      </c>
      <c r="E87" s="1" t="s">
        <v>711</v>
      </c>
      <c r="F87" s="1" t="s">
        <v>112</v>
      </c>
      <c r="G87" s="1"/>
      <c r="H87" s="1"/>
      <c r="I87" s="1"/>
      <c r="J87" s="1" t="s">
        <v>1327</v>
      </c>
      <c r="K87" s="1" t="s">
        <v>694</v>
      </c>
    </row>
    <row r="88" spans="1:11" x14ac:dyDescent="0.25">
      <c r="A88" s="1" t="s">
        <v>6</v>
      </c>
      <c r="B88" s="1" t="s">
        <v>400</v>
      </c>
      <c r="C88" s="1" t="s">
        <v>1331</v>
      </c>
      <c r="D88" s="1">
        <v>3</v>
      </c>
      <c r="E88" s="1" t="s">
        <v>752</v>
      </c>
      <c r="F88" s="1" t="s">
        <v>113</v>
      </c>
      <c r="G88" s="1"/>
      <c r="H88" s="1"/>
      <c r="I88" s="1"/>
      <c r="J88" s="1" t="s">
        <v>1327</v>
      </c>
      <c r="K88" s="1" t="s">
        <v>694</v>
      </c>
    </row>
    <row r="89" spans="1:11" x14ac:dyDescent="0.25">
      <c r="A89" s="1" t="s">
        <v>11</v>
      </c>
      <c r="B89" s="1" t="s">
        <v>411</v>
      </c>
      <c r="C89" s="1" t="s">
        <v>1331</v>
      </c>
      <c r="D89" s="1">
        <v>4</v>
      </c>
      <c r="E89" s="1" t="s">
        <v>792</v>
      </c>
      <c r="F89" s="1" t="s">
        <v>122</v>
      </c>
      <c r="G89" s="1"/>
      <c r="H89" s="1"/>
      <c r="I89" s="1"/>
      <c r="J89" s="1" t="s">
        <v>1327</v>
      </c>
      <c r="K89" s="1" t="s">
        <v>694</v>
      </c>
    </row>
    <row r="90" spans="1:11" x14ac:dyDescent="0.25">
      <c r="A90" s="1" t="s">
        <v>12</v>
      </c>
      <c r="B90" s="1" t="s">
        <v>432</v>
      </c>
      <c r="C90" s="1" t="s">
        <v>1331</v>
      </c>
      <c r="D90" s="1">
        <v>5</v>
      </c>
      <c r="E90" s="1" t="s">
        <v>761</v>
      </c>
      <c r="F90" s="1" t="s">
        <v>1211</v>
      </c>
      <c r="G90" s="1"/>
      <c r="H90" s="1"/>
      <c r="I90" s="1"/>
      <c r="J90" s="1" t="s">
        <v>1327</v>
      </c>
      <c r="K90" s="1" t="s">
        <v>694</v>
      </c>
    </row>
    <row r="91" spans="1:11" x14ac:dyDescent="0.25">
      <c r="A91" s="1" t="s">
        <v>13</v>
      </c>
      <c r="B91" s="1" t="s">
        <v>453</v>
      </c>
      <c r="C91" s="1" t="s">
        <v>1331</v>
      </c>
      <c r="D91" s="1">
        <v>6</v>
      </c>
      <c r="E91" s="1" t="s">
        <v>777</v>
      </c>
      <c r="F91" s="1" t="s">
        <v>123</v>
      </c>
      <c r="G91" s="1"/>
      <c r="H91" s="1"/>
      <c r="I91" s="1"/>
      <c r="J91" s="1" t="s">
        <v>1327</v>
      </c>
      <c r="K91" s="1" t="s">
        <v>694</v>
      </c>
    </row>
    <row r="92" spans="1:11" x14ac:dyDescent="0.25">
      <c r="A92" s="1" t="s">
        <v>15</v>
      </c>
      <c r="B92" s="1" t="s">
        <v>474</v>
      </c>
      <c r="C92" s="1" t="s">
        <v>1331</v>
      </c>
      <c r="D92" s="1">
        <v>7</v>
      </c>
      <c r="E92" s="1" t="s">
        <v>780</v>
      </c>
      <c r="F92" s="1" t="s">
        <v>125</v>
      </c>
      <c r="G92" s="1"/>
      <c r="H92" s="1"/>
      <c r="I92" s="1"/>
      <c r="J92" s="1" t="s">
        <v>1327</v>
      </c>
      <c r="K92" s="1" t="s">
        <v>694</v>
      </c>
    </row>
    <row r="93" spans="1:11" x14ac:dyDescent="0.25">
      <c r="A93" s="1" t="s">
        <v>18</v>
      </c>
      <c r="B93" s="1" t="s">
        <v>487</v>
      </c>
      <c r="C93" s="1" t="s">
        <v>1331</v>
      </c>
      <c r="D93" s="1">
        <v>8</v>
      </c>
      <c r="E93" s="1" t="s">
        <v>726</v>
      </c>
      <c r="F93" s="1" t="s">
        <v>128</v>
      </c>
      <c r="G93" s="1"/>
      <c r="H93" s="1"/>
      <c r="I93" s="1"/>
      <c r="J93" s="1" t="s">
        <v>1327</v>
      </c>
      <c r="K93" s="1" t="s">
        <v>694</v>
      </c>
    </row>
    <row r="94" spans="1:11" x14ac:dyDescent="0.25">
      <c r="A94" s="1" t="s">
        <v>20</v>
      </c>
      <c r="B94" s="1" t="s">
        <v>498</v>
      </c>
      <c r="C94" s="1" t="s">
        <v>1331</v>
      </c>
      <c r="D94" s="1">
        <v>9</v>
      </c>
      <c r="E94" s="1" t="s">
        <v>705</v>
      </c>
      <c r="F94" s="1" t="s">
        <v>130</v>
      </c>
      <c r="G94" s="1"/>
      <c r="H94" s="1"/>
      <c r="I94" s="1"/>
      <c r="J94" s="1" t="s">
        <v>1327</v>
      </c>
      <c r="K94" s="1" t="s">
        <v>694</v>
      </c>
    </row>
    <row r="95" spans="1:11" x14ac:dyDescent="0.25">
      <c r="A95" s="1" t="s">
        <v>24</v>
      </c>
      <c r="B95" s="1" t="s">
        <v>378</v>
      </c>
      <c r="C95" s="1" t="s">
        <v>1331</v>
      </c>
      <c r="D95" s="1">
        <v>10</v>
      </c>
      <c r="E95" s="1" t="s">
        <v>776</v>
      </c>
      <c r="F95" s="1" t="s">
        <v>135</v>
      </c>
      <c r="G95" s="1"/>
      <c r="H95" s="1"/>
      <c r="I95" s="1"/>
      <c r="J95" s="1" t="s">
        <v>1327</v>
      </c>
      <c r="K95" s="1" t="s">
        <v>694</v>
      </c>
    </row>
    <row r="96" spans="1:11" x14ac:dyDescent="0.25">
      <c r="A96" s="1" t="s">
        <v>26</v>
      </c>
      <c r="B96" s="1" t="s">
        <v>380</v>
      </c>
      <c r="C96" s="1" t="s">
        <v>1331</v>
      </c>
      <c r="D96" s="1">
        <v>11</v>
      </c>
      <c r="E96" s="1" t="s">
        <v>821</v>
      </c>
      <c r="F96" s="1" t="s">
        <v>137</v>
      </c>
      <c r="G96" s="1"/>
      <c r="H96" s="1"/>
      <c r="I96" s="1"/>
      <c r="J96" s="1" t="s">
        <v>1327</v>
      </c>
      <c r="K96" s="1" t="s">
        <v>694</v>
      </c>
    </row>
    <row r="97" spans="1:11" x14ac:dyDescent="0.25">
      <c r="A97" s="1" t="s">
        <v>27</v>
      </c>
      <c r="B97" s="1" t="s">
        <v>381</v>
      </c>
      <c r="C97" s="1" t="s">
        <v>1331</v>
      </c>
      <c r="D97" s="1">
        <v>12</v>
      </c>
      <c r="E97" s="1" t="s">
        <v>703</v>
      </c>
      <c r="F97" s="1" t="s">
        <v>138</v>
      </c>
      <c r="G97" s="1"/>
      <c r="H97" s="1"/>
      <c r="I97" s="1"/>
      <c r="J97" s="1" t="s">
        <v>1327</v>
      </c>
      <c r="K97" s="1" t="s">
        <v>694</v>
      </c>
    </row>
    <row r="98" spans="1:11" x14ac:dyDescent="0.25">
      <c r="A98" s="1" t="s">
        <v>28</v>
      </c>
      <c r="B98" s="1" t="s">
        <v>382</v>
      </c>
      <c r="C98" s="1" t="s">
        <v>1331</v>
      </c>
      <c r="D98" s="1">
        <v>13</v>
      </c>
      <c r="E98" s="1" t="s">
        <v>813</v>
      </c>
      <c r="F98" s="1" t="s">
        <v>139</v>
      </c>
      <c r="G98" s="1"/>
      <c r="H98" s="1"/>
      <c r="I98" s="1"/>
      <c r="J98" s="1" t="s">
        <v>1327</v>
      </c>
      <c r="K98" s="1" t="s">
        <v>694</v>
      </c>
    </row>
    <row r="99" spans="1:11" x14ac:dyDescent="0.25">
      <c r="A99" s="1" t="s">
        <v>29</v>
      </c>
      <c r="B99" s="1" t="s">
        <v>383</v>
      </c>
      <c r="C99" s="1" t="s">
        <v>1331</v>
      </c>
      <c r="D99" s="1">
        <v>14</v>
      </c>
      <c r="E99" s="1" t="s">
        <v>765</v>
      </c>
      <c r="F99" s="1" t="s">
        <v>140</v>
      </c>
      <c r="G99" s="1"/>
      <c r="H99" s="1"/>
      <c r="I99" s="1"/>
      <c r="J99" s="1" t="s">
        <v>1327</v>
      </c>
      <c r="K99" s="1" t="s">
        <v>694</v>
      </c>
    </row>
    <row r="100" spans="1:11" x14ac:dyDescent="0.25">
      <c r="A100" s="1" t="s">
        <v>32</v>
      </c>
      <c r="B100" s="1" t="s">
        <v>384</v>
      </c>
      <c r="C100" s="1" t="s">
        <v>1331</v>
      </c>
      <c r="D100" s="1">
        <v>15</v>
      </c>
      <c r="E100" s="1" t="s">
        <v>830</v>
      </c>
      <c r="F100" s="1" t="s">
        <v>143</v>
      </c>
      <c r="G100" s="1"/>
      <c r="H100" s="1"/>
      <c r="I100" s="1"/>
      <c r="J100" s="1" t="s">
        <v>1327</v>
      </c>
      <c r="K100" s="1" t="s">
        <v>694</v>
      </c>
    </row>
    <row r="101" spans="1:11" x14ac:dyDescent="0.25">
      <c r="A101" s="1" t="s">
        <v>38</v>
      </c>
      <c r="B101" s="1" t="s">
        <v>386</v>
      </c>
      <c r="C101" s="1" t="s">
        <v>1331</v>
      </c>
      <c r="D101" s="1">
        <v>17</v>
      </c>
      <c r="E101" s="1" t="s">
        <v>714</v>
      </c>
      <c r="F101" s="1" t="s">
        <v>149</v>
      </c>
      <c r="G101" s="1"/>
      <c r="H101" s="1"/>
      <c r="I101" s="1"/>
      <c r="J101" s="1" t="s">
        <v>1327</v>
      </c>
      <c r="K101" s="1" t="s">
        <v>694</v>
      </c>
    </row>
    <row r="102" spans="1:11" x14ac:dyDescent="0.25">
      <c r="A102" s="1" t="s">
        <v>39</v>
      </c>
      <c r="B102" s="1" t="s">
        <v>387</v>
      </c>
      <c r="C102" s="1" t="s">
        <v>1331</v>
      </c>
      <c r="D102" s="1">
        <v>18</v>
      </c>
      <c r="E102" s="1" t="s">
        <v>764</v>
      </c>
      <c r="F102" s="1" t="s">
        <v>150</v>
      </c>
      <c r="G102" s="1"/>
      <c r="H102" s="1"/>
      <c r="I102" s="1"/>
      <c r="J102" s="1" t="s">
        <v>1327</v>
      </c>
      <c r="K102" s="1" t="s">
        <v>694</v>
      </c>
    </row>
    <row r="103" spans="1:11" x14ac:dyDescent="0.25">
      <c r="A103" s="1" t="s">
        <v>40</v>
      </c>
      <c r="B103" s="1" t="s">
        <v>388</v>
      </c>
      <c r="C103" s="1" t="s">
        <v>1331</v>
      </c>
      <c r="D103" s="1">
        <v>19</v>
      </c>
      <c r="E103" s="1" t="s">
        <v>799</v>
      </c>
      <c r="F103" s="1" t="s">
        <v>151</v>
      </c>
      <c r="G103" s="1"/>
      <c r="H103" s="1"/>
      <c r="I103" s="1"/>
      <c r="J103" s="1" t="s">
        <v>1327</v>
      </c>
      <c r="K103" s="1" t="s">
        <v>694</v>
      </c>
    </row>
    <row r="104" spans="1:11" x14ac:dyDescent="0.25">
      <c r="A104" s="1" t="s">
        <v>41</v>
      </c>
      <c r="B104" s="1" t="s">
        <v>390</v>
      </c>
      <c r="C104" s="1" t="s">
        <v>1331</v>
      </c>
      <c r="D104" s="1">
        <v>20</v>
      </c>
      <c r="E104" s="1" t="s">
        <v>828</v>
      </c>
      <c r="F104" s="1" t="s">
        <v>152</v>
      </c>
      <c r="G104" s="1"/>
      <c r="H104" s="1"/>
      <c r="I104" s="1"/>
      <c r="J104" s="1" t="s">
        <v>1327</v>
      </c>
      <c r="K104" s="1" t="s">
        <v>694</v>
      </c>
    </row>
    <row r="105" spans="1:11" x14ac:dyDescent="0.25">
      <c r="A105" s="1" t="s">
        <v>42</v>
      </c>
      <c r="B105" s="1" t="s">
        <v>391</v>
      </c>
      <c r="C105" s="1" t="s">
        <v>1331</v>
      </c>
      <c r="D105" s="1">
        <v>21</v>
      </c>
      <c r="E105" s="1" t="s">
        <v>744</v>
      </c>
      <c r="F105" s="1" t="s">
        <v>153</v>
      </c>
      <c r="G105" s="1"/>
      <c r="H105" s="1"/>
      <c r="I105" s="1"/>
      <c r="J105" s="1" t="s">
        <v>1327</v>
      </c>
      <c r="K105" s="1" t="s">
        <v>694</v>
      </c>
    </row>
    <row r="106" spans="1:11" x14ac:dyDescent="0.25">
      <c r="A106" s="1" t="s">
        <v>44</v>
      </c>
      <c r="B106" s="1" t="s">
        <v>392</v>
      </c>
      <c r="C106" s="1" t="s">
        <v>1331</v>
      </c>
      <c r="D106" s="1">
        <v>22</v>
      </c>
      <c r="E106" s="1" t="s">
        <v>721</v>
      </c>
      <c r="F106" s="1" t="s">
        <v>155</v>
      </c>
      <c r="G106" s="1"/>
      <c r="H106" s="1"/>
      <c r="I106" s="1"/>
      <c r="J106" s="1" t="s">
        <v>1327</v>
      </c>
      <c r="K106" s="1" t="s">
        <v>694</v>
      </c>
    </row>
    <row r="107" spans="1:11" x14ac:dyDescent="0.25">
      <c r="A107" s="1" t="s">
        <v>45</v>
      </c>
      <c r="B107" s="1" t="s">
        <v>393</v>
      </c>
      <c r="C107" s="1" t="s">
        <v>1331</v>
      </c>
      <c r="D107" s="1">
        <v>23</v>
      </c>
      <c r="E107" s="1" t="s">
        <v>820</v>
      </c>
      <c r="F107" s="1" t="s">
        <v>156</v>
      </c>
      <c r="G107" s="1"/>
      <c r="H107" s="1"/>
      <c r="I107" s="1"/>
      <c r="J107" s="1" t="s">
        <v>1327</v>
      </c>
      <c r="K107" s="1" t="s">
        <v>694</v>
      </c>
    </row>
    <row r="108" spans="1:11" x14ac:dyDescent="0.25">
      <c r="A108" s="1" t="s">
        <v>46</v>
      </c>
      <c r="B108" s="1" t="s">
        <v>394</v>
      </c>
      <c r="C108" s="1" t="s">
        <v>1331</v>
      </c>
      <c r="D108" s="1">
        <v>24</v>
      </c>
      <c r="E108" s="1" t="s">
        <v>812</v>
      </c>
      <c r="F108" s="1" t="s">
        <v>157</v>
      </c>
      <c r="G108" s="1"/>
      <c r="H108" s="1"/>
      <c r="I108" s="1"/>
      <c r="J108" s="1" t="s">
        <v>1327</v>
      </c>
      <c r="K108" s="1" t="s">
        <v>694</v>
      </c>
    </row>
    <row r="109" spans="1:11" x14ac:dyDescent="0.25">
      <c r="A109" s="1" t="s">
        <v>47</v>
      </c>
      <c r="B109" s="1" t="s">
        <v>395</v>
      </c>
      <c r="C109" s="1" t="s">
        <v>1331</v>
      </c>
      <c r="D109" s="1">
        <v>25</v>
      </c>
      <c r="E109" s="1" t="s">
        <v>707</v>
      </c>
      <c r="F109" s="1" t="s">
        <v>158</v>
      </c>
      <c r="G109" s="1"/>
      <c r="H109" s="1"/>
      <c r="I109" s="1"/>
      <c r="J109" s="1" t="s">
        <v>1327</v>
      </c>
      <c r="K109" s="1" t="s">
        <v>694</v>
      </c>
    </row>
    <row r="110" spans="1:11" x14ac:dyDescent="0.25">
      <c r="A110" s="1" t="s">
        <v>48</v>
      </c>
      <c r="B110" s="1" t="s">
        <v>396</v>
      </c>
      <c r="C110" s="1" t="s">
        <v>1331</v>
      </c>
      <c r="D110" s="1">
        <v>26</v>
      </c>
      <c r="E110" s="1" t="s">
        <v>755</v>
      </c>
      <c r="F110" s="1" t="s">
        <v>160</v>
      </c>
      <c r="G110" s="1"/>
      <c r="H110" s="1"/>
      <c r="I110" s="1"/>
      <c r="J110" s="1" t="s">
        <v>1327</v>
      </c>
      <c r="K110" s="1" t="s">
        <v>694</v>
      </c>
    </row>
    <row r="111" spans="1:11" x14ac:dyDescent="0.25">
      <c r="A111" s="1" t="s">
        <v>52</v>
      </c>
      <c r="B111" s="1" t="s">
        <v>397</v>
      </c>
      <c r="C111" s="1" t="s">
        <v>1331</v>
      </c>
      <c r="D111" s="1">
        <v>27</v>
      </c>
      <c r="E111" s="1" t="s">
        <v>802</v>
      </c>
      <c r="F111" s="1" t="s">
        <v>1212</v>
      </c>
      <c r="G111" s="1"/>
      <c r="H111" s="1"/>
      <c r="I111" s="1"/>
      <c r="J111" s="1" t="s">
        <v>1327</v>
      </c>
      <c r="K111" s="1" t="s">
        <v>694</v>
      </c>
    </row>
    <row r="112" spans="1:11" x14ac:dyDescent="0.25">
      <c r="A112" s="1" t="s">
        <v>53</v>
      </c>
      <c r="B112" s="1" t="s">
        <v>398</v>
      </c>
      <c r="C112" s="1" t="s">
        <v>1331</v>
      </c>
      <c r="D112" s="1">
        <v>28</v>
      </c>
      <c r="E112" s="1" t="s">
        <v>747</v>
      </c>
      <c r="F112" s="1" t="s">
        <v>164</v>
      </c>
      <c r="G112" s="1"/>
      <c r="H112" s="1"/>
      <c r="I112" s="1"/>
      <c r="J112" s="1" t="s">
        <v>1327</v>
      </c>
      <c r="K112" s="1" t="s">
        <v>694</v>
      </c>
    </row>
    <row r="113" spans="1:11" x14ac:dyDescent="0.25">
      <c r="A113" s="1" t="s">
        <v>54</v>
      </c>
      <c r="B113" s="1" t="s">
        <v>399</v>
      </c>
      <c r="C113" s="1" t="s">
        <v>1331</v>
      </c>
      <c r="D113" s="1">
        <v>29</v>
      </c>
      <c r="E113" s="1" t="s">
        <v>731</v>
      </c>
      <c r="F113" s="1" t="s">
        <v>165</v>
      </c>
      <c r="G113" s="1"/>
      <c r="H113" s="1"/>
      <c r="I113" s="1"/>
      <c r="J113" s="1" t="s">
        <v>1327</v>
      </c>
      <c r="K113" s="1" t="s">
        <v>694</v>
      </c>
    </row>
    <row r="114" spans="1:11" x14ac:dyDescent="0.25">
      <c r="A114" s="1" t="s">
        <v>59</v>
      </c>
      <c r="B114" s="1" t="s">
        <v>401</v>
      </c>
      <c r="C114" s="1" t="s">
        <v>1331</v>
      </c>
      <c r="D114" s="1">
        <v>30</v>
      </c>
      <c r="E114" s="1" t="s">
        <v>732</v>
      </c>
      <c r="F114" s="1" t="s">
        <v>172</v>
      </c>
      <c r="G114" s="1"/>
      <c r="H114" s="1"/>
      <c r="I114" s="1"/>
      <c r="J114" s="1" t="s">
        <v>1327</v>
      </c>
      <c r="K114" s="1" t="s">
        <v>694</v>
      </c>
    </row>
    <row r="115" spans="1:11" x14ac:dyDescent="0.25">
      <c r="A115" s="1" t="s">
        <v>70</v>
      </c>
      <c r="B115" s="1" t="s">
        <v>402</v>
      </c>
      <c r="C115" s="1" t="s">
        <v>1331</v>
      </c>
      <c r="D115" s="1">
        <v>31</v>
      </c>
      <c r="E115" s="1" t="s">
        <v>713</v>
      </c>
      <c r="F115" s="1" t="s">
        <v>118</v>
      </c>
      <c r="G115" s="1"/>
      <c r="H115" s="1"/>
      <c r="I115" s="1"/>
      <c r="J115" s="1" t="s">
        <v>1327</v>
      </c>
      <c r="K115" s="1" t="s">
        <v>694</v>
      </c>
    </row>
    <row r="116" spans="1:11" x14ac:dyDescent="0.25">
      <c r="A116" s="1" t="s">
        <v>92</v>
      </c>
      <c r="B116" s="1" t="s">
        <v>403</v>
      </c>
      <c r="C116" s="1" t="s">
        <v>1331</v>
      </c>
      <c r="D116" s="1">
        <v>32</v>
      </c>
      <c r="E116" s="1" t="s">
        <v>769</v>
      </c>
      <c r="F116" s="1" t="s">
        <v>213</v>
      </c>
      <c r="G116" s="1"/>
      <c r="H116" s="1"/>
      <c r="I116" s="1"/>
      <c r="J116" s="1" t="s">
        <v>1327</v>
      </c>
      <c r="K116" s="1" t="s">
        <v>694</v>
      </c>
    </row>
    <row r="117" spans="1:11" x14ac:dyDescent="0.25">
      <c r="A117" s="1" t="s">
        <v>94</v>
      </c>
      <c r="B117" s="1" t="s">
        <v>404</v>
      </c>
      <c r="C117" s="1" t="s">
        <v>1331</v>
      </c>
      <c r="D117" s="1">
        <v>33</v>
      </c>
      <c r="E117" s="1" t="s">
        <v>728</v>
      </c>
      <c r="F117" s="1" t="s">
        <v>117</v>
      </c>
      <c r="G117" s="1"/>
      <c r="H117" s="1"/>
      <c r="I117" s="1"/>
      <c r="J117" s="1" t="s">
        <v>1327</v>
      </c>
      <c r="K117" s="1" t="s">
        <v>694</v>
      </c>
    </row>
    <row r="118" spans="1:11" x14ac:dyDescent="0.25">
      <c r="A118" s="1" t="s">
        <v>95</v>
      </c>
      <c r="B118" s="1" t="s">
        <v>405</v>
      </c>
      <c r="C118" s="1" t="s">
        <v>1331</v>
      </c>
      <c r="D118" s="1">
        <v>34</v>
      </c>
      <c r="E118" s="1" t="s">
        <v>787</v>
      </c>
      <c r="F118" s="1" t="s">
        <v>215</v>
      </c>
      <c r="G118" s="1"/>
      <c r="H118" s="1"/>
      <c r="I118" s="1"/>
      <c r="J118" s="1" t="s">
        <v>1327</v>
      </c>
      <c r="K118" s="1" t="s">
        <v>694</v>
      </c>
    </row>
    <row r="119" spans="1:11" x14ac:dyDescent="0.25">
      <c r="A119" s="1" t="s">
        <v>96</v>
      </c>
      <c r="B119" s="1" t="s">
        <v>406</v>
      </c>
      <c r="C119" s="1" t="s">
        <v>1331</v>
      </c>
      <c r="D119" s="1">
        <v>35</v>
      </c>
      <c r="E119" s="1" t="s">
        <v>770</v>
      </c>
      <c r="F119" s="1" t="s">
        <v>216</v>
      </c>
      <c r="G119" s="1"/>
      <c r="H119" s="1"/>
      <c r="I119" s="1"/>
      <c r="J119" s="1" t="s">
        <v>1327</v>
      </c>
      <c r="K119" s="1" t="s">
        <v>694</v>
      </c>
    </row>
    <row r="120" spans="1:11" x14ac:dyDescent="0.25">
      <c r="A120" s="1" t="s">
        <v>97</v>
      </c>
      <c r="B120" s="1" t="s">
        <v>407</v>
      </c>
      <c r="C120" s="1" t="s">
        <v>1331</v>
      </c>
      <c r="D120" s="1">
        <v>36</v>
      </c>
      <c r="E120" s="1" t="s">
        <v>793</v>
      </c>
      <c r="F120" s="1" t="s">
        <v>217</v>
      </c>
      <c r="G120" s="1"/>
      <c r="H120" s="1"/>
      <c r="I120" s="1"/>
      <c r="J120" s="1" t="s">
        <v>1327</v>
      </c>
      <c r="K120" s="1" t="s">
        <v>694</v>
      </c>
    </row>
    <row r="121" spans="1:11" x14ac:dyDescent="0.25">
      <c r="A121" s="1" t="s">
        <v>98</v>
      </c>
      <c r="B121" s="1" t="s">
        <v>408</v>
      </c>
      <c r="C121" s="1" t="s">
        <v>1331</v>
      </c>
      <c r="D121" s="1">
        <v>37</v>
      </c>
      <c r="E121" s="1" t="s">
        <v>823</v>
      </c>
      <c r="F121" s="1" t="s">
        <v>218</v>
      </c>
      <c r="G121" s="1"/>
      <c r="H121" s="1"/>
      <c r="I121" s="1"/>
      <c r="J121" s="1" t="s">
        <v>1327</v>
      </c>
      <c r="K121" s="1" t="s">
        <v>694</v>
      </c>
    </row>
    <row r="122" spans="1:11" x14ac:dyDescent="0.25">
      <c r="A122" s="1" t="s">
        <v>99</v>
      </c>
      <c r="B122" s="1" t="s">
        <v>409</v>
      </c>
      <c r="C122" s="1" t="s">
        <v>1331</v>
      </c>
      <c r="D122" s="1">
        <v>38</v>
      </c>
      <c r="E122" s="1" t="s">
        <v>843</v>
      </c>
      <c r="F122" s="1" t="s">
        <v>219</v>
      </c>
      <c r="G122" s="1"/>
      <c r="H122" s="1"/>
      <c r="I122" s="1"/>
      <c r="J122" s="1" t="s">
        <v>1327</v>
      </c>
      <c r="K122" s="1" t="s">
        <v>694</v>
      </c>
    </row>
    <row r="123" spans="1:11" x14ac:dyDescent="0.25">
      <c r="A123" s="1" t="s">
        <v>104</v>
      </c>
      <c r="B123" s="1" t="s">
        <v>410</v>
      </c>
      <c r="C123" s="1" t="s">
        <v>1331</v>
      </c>
      <c r="D123" s="1">
        <v>39</v>
      </c>
      <c r="E123" s="1" t="s">
        <v>807</v>
      </c>
      <c r="F123" s="1" t="s">
        <v>225</v>
      </c>
      <c r="G123" s="1"/>
      <c r="H123" s="1"/>
      <c r="I123" s="1"/>
      <c r="J123" s="1" t="s">
        <v>1327</v>
      </c>
      <c r="K123" s="1" t="s">
        <v>694</v>
      </c>
    </row>
    <row r="124" spans="1:11" x14ac:dyDescent="0.25">
      <c r="A124" s="1" t="s">
        <v>14</v>
      </c>
      <c r="B124" s="1" t="s">
        <v>483</v>
      </c>
      <c r="C124" s="1" t="s">
        <v>1331</v>
      </c>
      <c r="D124" s="1">
        <v>76</v>
      </c>
      <c r="E124" s="1" t="s">
        <v>766</v>
      </c>
      <c r="F124" s="1" t="s">
        <v>124</v>
      </c>
      <c r="G124" s="1"/>
      <c r="H124" s="1"/>
      <c r="I124" s="1"/>
      <c r="J124" s="1" t="s">
        <v>1327</v>
      </c>
      <c r="K124" s="1" t="s">
        <v>694</v>
      </c>
    </row>
    <row r="125" spans="1:11" x14ac:dyDescent="0.25">
      <c r="A125" s="1" t="s">
        <v>16</v>
      </c>
      <c r="B125" s="1" t="s">
        <v>484</v>
      </c>
      <c r="C125" s="1" t="s">
        <v>1331</v>
      </c>
      <c r="D125" s="1">
        <v>77</v>
      </c>
      <c r="E125" s="1" t="s">
        <v>745</v>
      </c>
      <c r="F125" s="1" t="s">
        <v>126</v>
      </c>
      <c r="G125" s="1"/>
      <c r="H125" s="1"/>
      <c r="I125" s="1"/>
      <c r="J125" s="1" t="s">
        <v>1327</v>
      </c>
      <c r="K125" s="1" t="s">
        <v>694</v>
      </c>
    </row>
    <row r="126" spans="1:11" x14ac:dyDescent="0.25">
      <c r="A126" s="1" t="s">
        <v>17</v>
      </c>
      <c r="B126" s="1" t="s">
        <v>485</v>
      </c>
      <c r="C126" s="1" t="s">
        <v>1331</v>
      </c>
      <c r="D126" s="1">
        <v>78</v>
      </c>
      <c r="E126" s="1" t="s">
        <v>809</v>
      </c>
      <c r="F126" s="1" t="s">
        <v>127</v>
      </c>
      <c r="G126" s="1"/>
      <c r="H126" s="1"/>
      <c r="I126" s="1"/>
      <c r="J126" s="1" t="s">
        <v>1327</v>
      </c>
      <c r="K126" s="1" t="s">
        <v>694</v>
      </c>
    </row>
    <row r="127" spans="1:11" x14ac:dyDescent="0.25">
      <c r="A127" s="1" t="s">
        <v>19</v>
      </c>
      <c r="B127" s="1" t="s">
        <v>486</v>
      </c>
      <c r="C127" s="1" t="s">
        <v>1331</v>
      </c>
      <c r="D127" s="1">
        <v>79</v>
      </c>
      <c r="E127" s="1" t="s">
        <v>854</v>
      </c>
      <c r="F127" s="1" t="s">
        <v>129</v>
      </c>
      <c r="G127" s="1"/>
      <c r="H127" s="1"/>
      <c r="I127" s="1"/>
      <c r="J127" s="1" t="s">
        <v>1327</v>
      </c>
      <c r="K127" s="1" t="s">
        <v>694</v>
      </c>
    </row>
    <row r="128" spans="1:11" x14ac:dyDescent="0.25">
      <c r="A128" s="1" t="s">
        <v>21</v>
      </c>
      <c r="B128" s="1" t="s">
        <v>488</v>
      </c>
      <c r="C128" s="1" t="s">
        <v>1331</v>
      </c>
      <c r="D128" s="1">
        <v>80</v>
      </c>
      <c r="E128" s="1" t="s">
        <v>811</v>
      </c>
      <c r="F128" s="1" t="s">
        <v>131</v>
      </c>
      <c r="G128" s="1"/>
      <c r="H128" s="1"/>
      <c r="I128" s="1"/>
      <c r="J128" s="1" t="s">
        <v>1327</v>
      </c>
      <c r="K128" s="1" t="s">
        <v>694</v>
      </c>
    </row>
    <row r="129" spans="1:11" x14ac:dyDescent="0.25">
      <c r="A129" s="1" t="s">
        <v>22</v>
      </c>
      <c r="B129" s="1" t="s">
        <v>489</v>
      </c>
      <c r="C129" s="1" t="s">
        <v>1331</v>
      </c>
      <c r="D129" s="1">
        <v>81</v>
      </c>
      <c r="E129" s="1" t="s">
        <v>851</v>
      </c>
      <c r="F129" s="1" t="s">
        <v>133</v>
      </c>
      <c r="G129" s="1"/>
      <c r="H129" s="1"/>
      <c r="I129" s="1"/>
      <c r="J129" s="1" t="s">
        <v>1327</v>
      </c>
      <c r="K129" s="1" t="s">
        <v>694</v>
      </c>
    </row>
    <row r="130" spans="1:11" x14ac:dyDescent="0.25">
      <c r="A130" s="1" t="s">
        <v>23</v>
      </c>
      <c r="B130" s="1" t="s">
        <v>490</v>
      </c>
      <c r="C130" s="1" t="s">
        <v>1331</v>
      </c>
      <c r="D130" s="1">
        <v>82</v>
      </c>
      <c r="E130" s="1" t="s">
        <v>789</v>
      </c>
      <c r="F130" s="1" t="s">
        <v>134</v>
      </c>
      <c r="G130" s="1"/>
      <c r="H130" s="1"/>
      <c r="I130" s="1"/>
      <c r="J130" s="1" t="s">
        <v>1327</v>
      </c>
      <c r="K130" s="1" t="s">
        <v>694</v>
      </c>
    </row>
    <row r="131" spans="1:11" x14ac:dyDescent="0.25">
      <c r="A131" s="1" t="s">
        <v>25</v>
      </c>
      <c r="B131" s="1" t="s">
        <v>491</v>
      </c>
      <c r="C131" s="1" t="s">
        <v>1331</v>
      </c>
      <c r="D131" s="1">
        <v>83</v>
      </c>
      <c r="E131" s="1" t="s">
        <v>746</v>
      </c>
      <c r="F131" s="1" t="s">
        <v>136</v>
      </c>
      <c r="G131" s="1"/>
      <c r="H131" s="1"/>
      <c r="I131" s="1"/>
      <c r="J131" s="1" t="s">
        <v>1327</v>
      </c>
      <c r="K131" s="1" t="s">
        <v>694</v>
      </c>
    </row>
    <row r="132" spans="1:11" x14ac:dyDescent="0.25">
      <c r="A132" s="1" t="s">
        <v>30</v>
      </c>
      <c r="B132" s="1" t="s">
        <v>492</v>
      </c>
      <c r="C132" s="1" t="s">
        <v>1331</v>
      </c>
      <c r="D132" s="1">
        <v>84</v>
      </c>
      <c r="E132" s="1" t="s">
        <v>853</v>
      </c>
      <c r="F132" s="1" t="s">
        <v>141</v>
      </c>
      <c r="G132" s="1"/>
      <c r="H132" s="1"/>
      <c r="I132" s="1"/>
      <c r="J132" s="1" t="s">
        <v>1327</v>
      </c>
      <c r="K132" s="1" t="s">
        <v>694</v>
      </c>
    </row>
    <row r="133" spans="1:11" x14ac:dyDescent="0.25">
      <c r="A133" s="1" t="s">
        <v>31</v>
      </c>
      <c r="B133" s="1" t="s">
        <v>493</v>
      </c>
      <c r="C133" s="1" t="s">
        <v>1331</v>
      </c>
      <c r="D133" s="1">
        <v>85</v>
      </c>
      <c r="E133" s="1" t="s">
        <v>785</v>
      </c>
      <c r="F133" s="1" t="s">
        <v>142</v>
      </c>
      <c r="G133" s="1"/>
      <c r="H133" s="1"/>
      <c r="I133" s="1"/>
      <c r="J133" s="1" t="s">
        <v>1327</v>
      </c>
      <c r="K133" s="1" t="s">
        <v>694</v>
      </c>
    </row>
    <row r="134" spans="1:11" x14ac:dyDescent="0.25">
      <c r="A134" s="1" t="s">
        <v>33</v>
      </c>
      <c r="B134" s="1" t="s">
        <v>494</v>
      </c>
      <c r="C134" s="1" t="s">
        <v>1331</v>
      </c>
      <c r="D134" s="1">
        <v>86</v>
      </c>
      <c r="E134" s="1" t="s">
        <v>836</v>
      </c>
      <c r="F134" s="1" t="s">
        <v>144</v>
      </c>
      <c r="G134" s="1"/>
      <c r="H134" s="1"/>
      <c r="I134" s="1"/>
      <c r="J134" s="1" t="s">
        <v>1327</v>
      </c>
      <c r="K134" s="1" t="s">
        <v>694</v>
      </c>
    </row>
    <row r="135" spans="1:11" x14ac:dyDescent="0.25">
      <c r="A135" s="1" t="s">
        <v>34</v>
      </c>
      <c r="B135" s="1" t="s">
        <v>495</v>
      </c>
      <c r="C135" s="1" t="s">
        <v>1331</v>
      </c>
      <c r="D135" s="1">
        <v>87</v>
      </c>
      <c r="E135" s="1" t="s">
        <v>712</v>
      </c>
      <c r="F135" s="1" t="s">
        <v>145</v>
      </c>
      <c r="G135" s="1"/>
      <c r="H135" s="1"/>
      <c r="I135" s="1"/>
      <c r="J135" s="1" t="s">
        <v>1327</v>
      </c>
      <c r="K135" s="1" t="s">
        <v>694</v>
      </c>
    </row>
    <row r="136" spans="1:11" x14ac:dyDescent="0.25">
      <c r="A136" s="1" t="s">
        <v>35</v>
      </c>
      <c r="B136" s="1" t="s">
        <v>496</v>
      </c>
      <c r="C136" s="1" t="s">
        <v>1331</v>
      </c>
      <c r="D136" s="1">
        <v>88</v>
      </c>
      <c r="E136" s="1" t="s">
        <v>741</v>
      </c>
      <c r="F136" s="1" t="s">
        <v>146</v>
      </c>
      <c r="G136" s="1"/>
      <c r="H136" s="1"/>
      <c r="I136" s="1"/>
      <c r="J136" s="1" t="s">
        <v>1327</v>
      </c>
      <c r="K136" s="1" t="s">
        <v>694</v>
      </c>
    </row>
    <row r="137" spans="1:11" x14ac:dyDescent="0.25">
      <c r="A137" s="1" t="s">
        <v>37</v>
      </c>
      <c r="B137" s="1" t="s">
        <v>497</v>
      </c>
      <c r="C137" s="1" t="s">
        <v>1331</v>
      </c>
      <c r="D137" s="1">
        <v>89</v>
      </c>
      <c r="E137" s="1" t="s">
        <v>782</v>
      </c>
      <c r="F137" s="1" t="s">
        <v>148</v>
      </c>
      <c r="G137" s="1"/>
      <c r="H137" s="1"/>
      <c r="I137" s="1"/>
      <c r="J137" s="1" t="s">
        <v>1327</v>
      </c>
      <c r="K137" s="1" t="s">
        <v>694</v>
      </c>
    </row>
    <row r="138" spans="1:11" x14ac:dyDescent="0.25">
      <c r="A138" s="1" t="s">
        <v>43</v>
      </c>
      <c r="B138" s="1" t="s">
        <v>499</v>
      </c>
      <c r="C138" s="1" t="s">
        <v>1331</v>
      </c>
      <c r="D138" s="1">
        <v>90</v>
      </c>
      <c r="E138" s="1" t="s">
        <v>805</v>
      </c>
      <c r="F138" s="1" t="s">
        <v>154</v>
      </c>
      <c r="G138" s="1"/>
      <c r="H138" s="1"/>
      <c r="I138" s="1"/>
      <c r="J138" s="1" t="s">
        <v>1327</v>
      </c>
      <c r="K138" s="1" t="s">
        <v>694</v>
      </c>
    </row>
    <row r="139" spans="1:11" x14ac:dyDescent="0.25">
      <c r="A139" s="1" t="s">
        <v>49</v>
      </c>
      <c r="B139" s="1" t="s">
        <v>500</v>
      </c>
      <c r="C139" s="1" t="s">
        <v>1331</v>
      </c>
      <c r="D139" s="1">
        <v>91</v>
      </c>
      <c r="E139" s="1" t="s">
        <v>804</v>
      </c>
      <c r="F139" s="1" t="s">
        <v>161</v>
      </c>
      <c r="G139" s="1"/>
      <c r="H139" s="1"/>
      <c r="I139" s="1"/>
      <c r="J139" s="1" t="s">
        <v>1327</v>
      </c>
      <c r="K139" s="1" t="s">
        <v>694</v>
      </c>
    </row>
    <row r="140" spans="1:11" x14ac:dyDescent="0.25">
      <c r="A140" s="1" t="s">
        <v>50</v>
      </c>
      <c r="B140" s="1" t="s">
        <v>501</v>
      </c>
      <c r="C140" s="1" t="s">
        <v>1331</v>
      </c>
      <c r="D140" s="1">
        <v>92</v>
      </c>
      <c r="E140" s="1" t="s">
        <v>779</v>
      </c>
      <c r="F140" s="1" t="s">
        <v>162</v>
      </c>
      <c r="G140" s="1"/>
      <c r="H140" s="1"/>
      <c r="I140" s="1"/>
      <c r="J140" s="1" t="s">
        <v>1327</v>
      </c>
      <c r="K140" s="1" t="s">
        <v>694</v>
      </c>
    </row>
    <row r="141" spans="1:11" x14ac:dyDescent="0.25">
      <c r="A141" s="1" t="s">
        <v>51</v>
      </c>
      <c r="B141" s="1" t="s">
        <v>502</v>
      </c>
      <c r="C141" s="1" t="s">
        <v>1331</v>
      </c>
      <c r="D141" s="1">
        <v>93</v>
      </c>
      <c r="E141" s="1" t="s">
        <v>758</v>
      </c>
      <c r="F141" s="1" t="s">
        <v>163</v>
      </c>
      <c r="G141" s="1"/>
      <c r="H141" s="1"/>
      <c r="I141" s="1"/>
      <c r="J141" s="1" t="s">
        <v>1327</v>
      </c>
      <c r="K141" s="1" t="s">
        <v>694</v>
      </c>
    </row>
    <row r="142" spans="1:11" x14ac:dyDescent="0.25">
      <c r="A142" s="1" t="s">
        <v>90</v>
      </c>
      <c r="B142" s="1" t="s">
        <v>503</v>
      </c>
      <c r="C142" s="1" t="s">
        <v>1331</v>
      </c>
      <c r="D142" s="1">
        <v>94</v>
      </c>
      <c r="E142" s="1" t="s">
        <v>824</v>
      </c>
      <c r="F142" s="1" t="s">
        <v>211</v>
      </c>
      <c r="G142" s="1"/>
      <c r="H142" s="1"/>
      <c r="I142" s="1"/>
      <c r="J142" s="1" t="s">
        <v>1327</v>
      </c>
      <c r="K142" s="1" t="s">
        <v>694</v>
      </c>
    </row>
    <row r="143" spans="1:11" x14ac:dyDescent="0.25">
      <c r="A143" s="1" t="s">
        <v>91</v>
      </c>
      <c r="B143" s="1" t="s">
        <v>504</v>
      </c>
      <c r="C143" s="1" t="s">
        <v>1331</v>
      </c>
      <c r="D143" s="1">
        <v>95</v>
      </c>
      <c r="E143" s="1" t="s">
        <v>800</v>
      </c>
      <c r="F143" s="1" t="s">
        <v>212</v>
      </c>
      <c r="G143" s="1"/>
      <c r="H143" s="1"/>
      <c r="I143" s="1"/>
      <c r="J143" s="1" t="s">
        <v>1327</v>
      </c>
      <c r="K143" s="1" t="s">
        <v>694</v>
      </c>
    </row>
    <row r="144" spans="1:11" x14ac:dyDescent="0.25">
      <c r="A144" s="1" t="s">
        <v>93</v>
      </c>
      <c r="B144" s="1" t="s">
        <v>505</v>
      </c>
      <c r="C144" s="1" t="s">
        <v>1331</v>
      </c>
      <c r="D144" s="1">
        <v>96</v>
      </c>
      <c r="E144" s="1" t="s">
        <v>858</v>
      </c>
      <c r="F144" s="1" t="s">
        <v>214</v>
      </c>
      <c r="G144" s="1"/>
      <c r="H144" s="1"/>
      <c r="I144" s="1"/>
      <c r="J144" s="1" t="s">
        <v>1327</v>
      </c>
      <c r="K144" s="1" t="s">
        <v>694</v>
      </c>
    </row>
    <row r="145" spans="1:11" x14ac:dyDescent="0.25">
      <c r="A145" s="1" t="s">
        <v>100</v>
      </c>
      <c r="B145" s="1" t="s">
        <v>506</v>
      </c>
      <c r="C145" s="1" t="s">
        <v>1331</v>
      </c>
      <c r="D145" s="1">
        <v>97</v>
      </c>
      <c r="E145" s="1" t="s">
        <v>874</v>
      </c>
      <c r="F145" s="1" t="s">
        <v>220</v>
      </c>
      <c r="G145" s="1"/>
      <c r="H145" s="1"/>
      <c r="I145" s="1"/>
      <c r="J145" s="1" t="s">
        <v>1327</v>
      </c>
      <c r="K145" s="1" t="s">
        <v>694</v>
      </c>
    </row>
    <row r="146" spans="1:11" x14ac:dyDescent="0.25">
      <c r="A146" s="1" t="s">
        <v>101</v>
      </c>
      <c r="B146" s="1" t="s">
        <v>507</v>
      </c>
      <c r="C146" s="1" t="s">
        <v>1331</v>
      </c>
      <c r="D146" s="1">
        <v>98</v>
      </c>
      <c r="E146" s="1" t="s">
        <v>875</v>
      </c>
      <c r="F146" s="1" t="s">
        <v>221</v>
      </c>
      <c r="G146" s="1"/>
      <c r="H146" s="1"/>
      <c r="I146" s="1"/>
      <c r="J146" s="1" t="s">
        <v>1327</v>
      </c>
      <c r="K146" s="1" t="s">
        <v>694</v>
      </c>
    </row>
    <row r="147" spans="1:11" x14ac:dyDescent="0.25">
      <c r="A147" s="1" t="s">
        <v>102</v>
      </c>
      <c r="B147" s="1" t="s">
        <v>508</v>
      </c>
      <c r="C147" s="1" t="s">
        <v>1331</v>
      </c>
      <c r="D147" s="1">
        <v>99</v>
      </c>
      <c r="E147" s="1" t="s">
        <v>819</v>
      </c>
      <c r="F147" s="1" t="s">
        <v>223</v>
      </c>
      <c r="G147" s="1"/>
      <c r="H147" s="1"/>
      <c r="I147" s="1"/>
      <c r="J147" s="1" t="s">
        <v>1327</v>
      </c>
      <c r="K147" s="1" t="s">
        <v>694</v>
      </c>
    </row>
    <row r="148" spans="1:11" x14ac:dyDescent="0.25">
      <c r="A148" s="1" t="s">
        <v>103</v>
      </c>
      <c r="B148" s="1" t="s">
        <v>379</v>
      </c>
      <c r="C148" s="1" t="s">
        <v>1331</v>
      </c>
      <c r="D148" s="1">
        <v>100</v>
      </c>
      <c r="E148" s="1" t="s">
        <v>753</v>
      </c>
      <c r="F148" s="1" t="s">
        <v>1215</v>
      </c>
      <c r="G148" s="1"/>
      <c r="H148" s="1"/>
      <c r="I148" s="1"/>
      <c r="J148" s="1" t="s">
        <v>1327</v>
      </c>
      <c r="K148" s="1" t="s">
        <v>694</v>
      </c>
    </row>
    <row r="149" spans="1:11" x14ac:dyDescent="0.25">
      <c r="A149" s="1" t="s">
        <v>335</v>
      </c>
      <c r="B149" s="1" t="s">
        <v>336</v>
      </c>
      <c r="C149" s="1" t="s">
        <v>1329</v>
      </c>
      <c r="D149" s="1">
        <v>21</v>
      </c>
      <c r="E149" s="1" t="s">
        <v>844</v>
      </c>
      <c r="F149" s="1" t="s">
        <v>1201</v>
      </c>
      <c r="G149" s="1" t="s">
        <v>511</v>
      </c>
      <c r="H149" s="1" t="s">
        <v>1040</v>
      </c>
      <c r="I149" s="1">
        <v>73</v>
      </c>
      <c r="J149" s="1" t="s">
        <v>246</v>
      </c>
      <c r="K149" s="1" t="s">
        <v>695</v>
      </c>
    </row>
    <row r="150" spans="1:11" x14ac:dyDescent="0.25">
      <c r="A150" s="1" t="s">
        <v>258</v>
      </c>
      <c r="B150" s="1" t="s">
        <v>259</v>
      </c>
      <c r="C150" s="1" t="s">
        <v>1330</v>
      </c>
      <c r="D150" s="1">
        <v>16</v>
      </c>
      <c r="E150" s="1" t="s">
        <v>748</v>
      </c>
      <c r="F150" s="1" t="s">
        <v>1205</v>
      </c>
      <c r="G150" s="1" t="s">
        <v>696</v>
      </c>
      <c r="H150" s="1" t="s">
        <v>519</v>
      </c>
      <c r="I150" s="1">
        <v>4000</v>
      </c>
      <c r="J150" s="1" t="s">
        <v>246</v>
      </c>
      <c r="K150" s="1" t="s">
        <v>695</v>
      </c>
    </row>
    <row r="151" spans="1:11" x14ac:dyDescent="0.25">
      <c r="A151" s="1" t="s">
        <v>260</v>
      </c>
      <c r="B151" s="1" t="s">
        <v>261</v>
      </c>
      <c r="C151" s="1" t="s">
        <v>1330</v>
      </c>
      <c r="D151" s="1">
        <v>17</v>
      </c>
      <c r="E151" s="1" t="s">
        <v>736</v>
      </c>
      <c r="F151" s="1" t="s">
        <v>1208</v>
      </c>
      <c r="G151" s="1" t="s">
        <v>696</v>
      </c>
      <c r="H151" s="1" t="s">
        <v>520</v>
      </c>
      <c r="I151" s="1">
        <v>2000</v>
      </c>
      <c r="J151" s="1" t="s">
        <v>246</v>
      </c>
      <c r="K151" s="1" t="s">
        <v>695</v>
      </c>
    </row>
    <row r="152" spans="1:11" x14ac:dyDescent="0.25">
      <c r="A152" s="1" t="s">
        <v>273</v>
      </c>
      <c r="B152" s="1" t="s">
        <v>274</v>
      </c>
      <c r="C152" s="1" t="s">
        <v>1330</v>
      </c>
      <c r="D152" s="1">
        <v>23</v>
      </c>
      <c r="E152" s="1" t="s">
        <v>850</v>
      </c>
      <c r="F152" s="1" t="s">
        <v>1204</v>
      </c>
      <c r="G152" s="1" t="s">
        <v>696</v>
      </c>
      <c r="H152" s="1" t="s">
        <v>527</v>
      </c>
      <c r="I152" s="1">
        <v>4000</v>
      </c>
      <c r="J152" s="1" t="s">
        <v>246</v>
      </c>
      <c r="K152" s="1" t="s">
        <v>695</v>
      </c>
    </row>
    <row r="153" spans="1:11" x14ac:dyDescent="0.25">
      <c r="A153" s="1" t="s">
        <v>277</v>
      </c>
      <c r="B153" s="1" t="s">
        <v>278</v>
      </c>
      <c r="C153" s="1" t="s">
        <v>1330</v>
      </c>
      <c r="D153" s="1">
        <v>25</v>
      </c>
      <c r="E153" s="1" t="s">
        <v>778</v>
      </c>
      <c r="F153" s="1" t="s">
        <v>1206</v>
      </c>
      <c r="G153" s="1" t="s">
        <v>696</v>
      </c>
      <c r="H153" s="1" t="s">
        <v>529</v>
      </c>
      <c r="I153" s="1">
        <v>4000</v>
      </c>
      <c r="J153" s="1" t="s">
        <v>246</v>
      </c>
      <c r="K153" s="1" t="s">
        <v>695</v>
      </c>
    </row>
    <row r="154" spans="1:11" x14ac:dyDescent="0.25">
      <c r="A154" s="1" t="s">
        <v>283</v>
      </c>
      <c r="B154" s="1" t="s">
        <v>284</v>
      </c>
      <c r="C154" s="1" t="s">
        <v>1330</v>
      </c>
      <c r="D154" s="1">
        <v>28</v>
      </c>
      <c r="E154" s="1" t="s">
        <v>816</v>
      </c>
      <c r="F154" s="1" t="s">
        <v>1207</v>
      </c>
      <c r="G154" s="1" t="s">
        <v>696</v>
      </c>
      <c r="H154" s="1" t="s">
        <v>532</v>
      </c>
      <c r="I154" s="1">
        <v>4000</v>
      </c>
      <c r="J154" s="1" t="s">
        <v>246</v>
      </c>
      <c r="K154" s="1" t="s">
        <v>695</v>
      </c>
    </row>
    <row r="155" spans="1:11" x14ac:dyDescent="0.25">
      <c r="A155" s="1" t="s">
        <v>304</v>
      </c>
      <c r="B155" s="1" t="s">
        <v>305</v>
      </c>
      <c r="C155" s="1" t="s">
        <v>1330</v>
      </c>
      <c r="D155" s="1">
        <v>38</v>
      </c>
      <c r="E155" s="1" t="s">
        <v>763</v>
      </c>
      <c r="F155" s="1" t="s">
        <v>1209</v>
      </c>
      <c r="G155" s="1" t="s">
        <v>696</v>
      </c>
      <c r="H155" s="1" t="s">
        <v>543</v>
      </c>
      <c r="I155" s="1">
        <v>2000</v>
      </c>
      <c r="J155" s="1" t="s">
        <v>246</v>
      </c>
      <c r="K155" s="1" t="s">
        <v>695</v>
      </c>
    </row>
    <row r="156" spans="1:11" x14ac:dyDescent="0.25">
      <c r="A156" s="1" t="s">
        <v>322</v>
      </c>
      <c r="B156" s="1" t="s">
        <v>323</v>
      </c>
      <c r="C156" s="1" t="s">
        <v>1329</v>
      </c>
      <c r="D156" s="1">
        <v>15</v>
      </c>
      <c r="E156" s="1" t="s">
        <v>737</v>
      </c>
      <c r="F156" s="1" t="s">
        <v>1186</v>
      </c>
      <c r="G156" s="1" t="s">
        <v>696</v>
      </c>
      <c r="H156" s="1" t="s">
        <v>560</v>
      </c>
      <c r="I156" s="1">
        <v>3000</v>
      </c>
      <c r="J156" s="1" t="s">
        <v>246</v>
      </c>
      <c r="K156" s="1" t="s">
        <v>695</v>
      </c>
    </row>
    <row r="157" spans="1:11" x14ac:dyDescent="0.25">
      <c r="A157" s="1" t="s">
        <v>324</v>
      </c>
      <c r="B157" s="1" t="s">
        <v>325</v>
      </c>
      <c r="C157" s="1" t="s">
        <v>1329</v>
      </c>
      <c r="D157" s="1">
        <v>16</v>
      </c>
      <c r="E157" s="1" t="s">
        <v>740</v>
      </c>
      <c r="F157" s="1" t="s">
        <v>1198</v>
      </c>
      <c r="G157" s="1" t="s">
        <v>696</v>
      </c>
      <c r="H157" s="1" t="s">
        <v>561</v>
      </c>
      <c r="I157" s="1">
        <v>3000</v>
      </c>
      <c r="J157" s="1" t="s">
        <v>246</v>
      </c>
      <c r="K157" s="1" t="s">
        <v>695</v>
      </c>
    </row>
    <row r="158" spans="1:11" x14ac:dyDescent="0.25">
      <c r="A158" s="1" t="s">
        <v>362</v>
      </c>
      <c r="B158" s="1" t="s">
        <v>363</v>
      </c>
      <c r="C158" s="1" t="s">
        <v>1332</v>
      </c>
      <c r="D158" s="1">
        <v>11</v>
      </c>
      <c r="E158" s="1" t="s">
        <v>817</v>
      </c>
      <c r="F158" s="1" t="s">
        <v>1200</v>
      </c>
      <c r="G158" s="1" t="s">
        <v>696</v>
      </c>
      <c r="H158" s="1" t="s">
        <v>586</v>
      </c>
      <c r="I158" s="1">
        <v>3000</v>
      </c>
      <c r="J158" s="1" t="s">
        <v>246</v>
      </c>
      <c r="K158" s="1" t="s">
        <v>695</v>
      </c>
    </row>
    <row r="159" spans="1:11" x14ac:dyDescent="0.25">
      <c r="A159" s="1" t="s">
        <v>414</v>
      </c>
      <c r="B159" s="1" t="s">
        <v>415</v>
      </c>
      <c r="C159" s="1" t="s">
        <v>1331</v>
      </c>
      <c r="D159" s="1">
        <v>41</v>
      </c>
      <c r="E159" s="1" t="s">
        <v>798</v>
      </c>
      <c r="F159" s="1" t="s">
        <v>1127</v>
      </c>
      <c r="G159" s="1" t="s">
        <v>696</v>
      </c>
      <c r="H159" s="1" t="s">
        <v>630</v>
      </c>
      <c r="I159" s="1">
        <v>5000</v>
      </c>
      <c r="J159" s="1" t="s">
        <v>246</v>
      </c>
      <c r="K159" s="1" t="s">
        <v>695</v>
      </c>
    </row>
    <row r="160" spans="1:11" x14ac:dyDescent="0.25">
      <c r="A160" s="1" t="s">
        <v>416</v>
      </c>
      <c r="B160" s="1" t="s">
        <v>417</v>
      </c>
      <c r="C160" s="1" t="s">
        <v>1331</v>
      </c>
      <c r="D160" s="1">
        <v>42</v>
      </c>
      <c r="E160" s="1" t="s">
        <v>749</v>
      </c>
      <c r="F160" s="1" t="s">
        <v>1179</v>
      </c>
      <c r="G160" s="1" t="s">
        <v>696</v>
      </c>
      <c r="H160" s="1" t="s">
        <v>631</v>
      </c>
      <c r="I160" s="1">
        <v>4000</v>
      </c>
      <c r="J160" s="1" t="s">
        <v>246</v>
      </c>
      <c r="K160" s="1" t="s">
        <v>695</v>
      </c>
    </row>
    <row r="161" spans="1:11" x14ac:dyDescent="0.25">
      <c r="A161" s="1" t="s">
        <v>418</v>
      </c>
      <c r="B161" s="1" t="s">
        <v>419</v>
      </c>
      <c r="C161" s="1" t="s">
        <v>1331</v>
      </c>
      <c r="D161" s="1">
        <v>43</v>
      </c>
      <c r="E161" s="1" t="s">
        <v>818</v>
      </c>
      <c r="F161" s="1" t="s">
        <v>1181</v>
      </c>
      <c r="G161" s="1" t="s">
        <v>696</v>
      </c>
      <c r="H161" s="1" t="s">
        <v>632</v>
      </c>
      <c r="I161" s="1">
        <v>4000</v>
      </c>
      <c r="J161" s="1" t="s">
        <v>246</v>
      </c>
      <c r="K161" s="1" t="s">
        <v>695</v>
      </c>
    </row>
    <row r="162" spans="1:11" x14ac:dyDescent="0.25">
      <c r="A162" s="1" t="s">
        <v>424</v>
      </c>
      <c r="B162" s="1" t="s">
        <v>425</v>
      </c>
      <c r="C162" s="1" t="s">
        <v>1331</v>
      </c>
      <c r="D162" s="1">
        <v>46</v>
      </c>
      <c r="E162" s="1" t="s">
        <v>790</v>
      </c>
      <c r="F162" s="1" t="s">
        <v>1126</v>
      </c>
      <c r="G162" s="1" t="s">
        <v>696</v>
      </c>
      <c r="H162" s="1" t="s">
        <v>635</v>
      </c>
      <c r="I162" s="1">
        <v>5000</v>
      </c>
      <c r="J162" s="1" t="s">
        <v>246</v>
      </c>
      <c r="K162" s="1" t="s">
        <v>695</v>
      </c>
    </row>
    <row r="163" spans="1:11" x14ac:dyDescent="0.25">
      <c r="A163" s="1" t="s">
        <v>426</v>
      </c>
      <c r="B163" s="1" t="s">
        <v>427</v>
      </c>
      <c r="C163" s="1" t="s">
        <v>1331</v>
      </c>
      <c r="D163" s="1">
        <v>47</v>
      </c>
      <c r="E163" s="1" t="s">
        <v>831</v>
      </c>
      <c r="F163" s="1" t="s">
        <v>1129</v>
      </c>
      <c r="G163" s="1" t="s">
        <v>696</v>
      </c>
      <c r="H163" s="1" t="s">
        <v>636</v>
      </c>
      <c r="I163" s="1">
        <v>5000</v>
      </c>
      <c r="J163" s="1" t="s">
        <v>246</v>
      </c>
      <c r="K163" s="1" t="s">
        <v>695</v>
      </c>
    </row>
    <row r="164" spans="1:11" x14ac:dyDescent="0.25">
      <c r="A164" s="1" t="s">
        <v>428</v>
      </c>
      <c r="B164" s="1" t="s">
        <v>429</v>
      </c>
      <c r="C164" s="1" t="s">
        <v>1331</v>
      </c>
      <c r="D164" s="1">
        <v>48</v>
      </c>
      <c r="E164" s="1" t="s">
        <v>720</v>
      </c>
      <c r="F164" s="1" t="s">
        <v>1178</v>
      </c>
      <c r="G164" s="1" t="s">
        <v>696</v>
      </c>
      <c r="H164" s="1" t="s">
        <v>637</v>
      </c>
      <c r="I164" s="1">
        <v>4000</v>
      </c>
      <c r="J164" s="1" t="s">
        <v>246</v>
      </c>
      <c r="K164" s="1" t="s">
        <v>695</v>
      </c>
    </row>
    <row r="165" spans="1:11" x14ac:dyDescent="0.25">
      <c r="A165" s="1" t="s">
        <v>441</v>
      </c>
      <c r="B165" s="1" t="s">
        <v>442</v>
      </c>
      <c r="C165" s="1" t="s">
        <v>1331</v>
      </c>
      <c r="D165" s="1">
        <v>54</v>
      </c>
      <c r="E165" s="1" t="s">
        <v>756</v>
      </c>
      <c r="F165" s="1" t="s">
        <v>1169</v>
      </c>
      <c r="G165" s="1" t="s">
        <v>696</v>
      </c>
      <c r="H165" s="1" t="s">
        <v>644</v>
      </c>
      <c r="I165" s="1">
        <v>4000</v>
      </c>
      <c r="J165" s="1" t="s">
        <v>246</v>
      </c>
      <c r="K165" s="1" t="s">
        <v>695</v>
      </c>
    </row>
    <row r="166" spans="1:11" x14ac:dyDescent="0.25">
      <c r="A166" s="1" t="s">
        <v>447</v>
      </c>
      <c r="B166" s="1" t="s">
        <v>448</v>
      </c>
      <c r="C166" s="1" t="s">
        <v>1331</v>
      </c>
      <c r="D166" s="1">
        <v>57</v>
      </c>
      <c r="E166" s="1" t="s">
        <v>857</v>
      </c>
      <c r="F166" s="1" t="s">
        <v>1175</v>
      </c>
      <c r="G166" s="1" t="s">
        <v>696</v>
      </c>
      <c r="H166" s="1" t="s">
        <v>647</v>
      </c>
      <c r="I166" s="1">
        <v>4000</v>
      </c>
      <c r="J166" s="1" t="s">
        <v>246</v>
      </c>
      <c r="K166" s="1" t="s">
        <v>695</v>
      </c>
    </row>
    <row r="167" spans="1:11" x14ac:dyDescent="0.25">
      <c r="A167" s="1" t="s">
        <v>456</v>
      </c>
      <c r="B167" s="1" t="s">
        <v>457</v>
      </c>
      <c r="C167" s="1" t="s">
        <v>1331</v>
      </c>
      <c r="D167" s="1">
        <v>61</v>
      </c>
      <c r="E167" s="1" t="s">
        <v>729</v>
      </c>
      <c r="F167" s="1" t="s">
        <v>1167</v>
      </c>
      <c r="G167" s="1" t="s">
        <v>696</v>
      </c>
      <c r="H167" s="1" t="s">
        <v>652</v>
      </c>
      <c r="I167" s="1">
        <v>4000</v>
      </c>
      <c r="J167" s="1" t="s">
        <v>246</v>
      </c>
      <c r="K167" s="1" t="s">
        <v>695</v>
      </c>
    </row>
    <row r="168" spans="1:11" x14ac:dyDescent="0.25">
      <c r="A168" s="1" t="s">
        <v>462</v>
      </c>
      <c r="B168" s="1" t="s">
        <v>463</v>
      </c>
      <c r="C168" s="1" t="s">
        <v>1331</v>
      </c>
      <c r="D168" s="1">
        <v>64</v>
      </c>
      <c r="E168" s="1" t="s">
        <v>788</v>
      </c>
      <c r="F168" s="1" t="s">
        <v>1172</v>
      </c>
      <c r="G168" s="1" t="s">
        <v>696</v>
      </c>
      <c r="H168" s="1" t="s">
        <v>655</v>
      </c>
      <c r="I168" s="1">
        <v>4000</v>
      </c>
      <c r="J168" s="1" t="s">
        <v>246</v>
      </c>
      <c r="K168" s="1" t="s">
        <v>695</v>
      </c>
    </row>
    <row r="169" spans="1:11" x14ac:dyDescent="0.25">
      <c r="A169" s="1" t="s">
        <v>468</v>
      </c>
      <c r="B169" s="1" t="s">
        <v>469</v>
      </c>
      <c r="C169" s="1" t="s">
        <v>1331</v>
      </c>
      <c r="D169" s="1">
        <v>67</v>
      </c>
      <c r="E169" s="1" t="s">
        <v>856</v>
      </c>
      <c r="F169" s="1" t="s">
        <v>1131</v>
      </c>
      <c r="G169" s="1" t="s">
        <v>696</v>
      </c>
      <c r="H169" s="1" t="s">
        <v>658</v>
      </c>
      <c r="I169" s="1">
        <v>5000</v>
      </c>
      <c r="J169" s="1" t="s">
        <v>246</v>
      </c>
      <c r="K169" s="1" t="s">
        <v>695</v>
      </c>
    </row>
    <row r="170" spans="1:11" x14ac:dyDescent="0.25">
      <c r="A170" s="1" t="s">
        <v>328</v>
      </c>
      <c r="B170" s="1" t="s">
        <v>329</v>
      </c>
      <c r="C170" s="1" t="s">
        <v>1329</v>
      </c>
      <c r="D170" s="1">
        <v>18</v>
      </c>
      <c r="E170" s="1" t="s">
        <v>801</v>
      </c>
      <c r="F170" s="1" t="s">
        <v>1192</v>
      </c>
      <c r="G170" s="1" t="s">
        <v>698</v>
      </c>
      <c r="H170" s="1" t="s">
        <v>1192</v>
      </c>
      <c r="I170" s="1">
        <v>4000</v>
      </c>
      <c r="J170" s="1" t="s">
        <v>246</v>
      </c>
      <c r="K170" s="1" t="s">
        <v>695</v>
      </c>
    </row>
    <row r="171" spans="1:11" x14ac:dyDescent="0.25">
      <c r="A171" s="1" t="s">
        <v>420</v>
      </c>
      <c r="B171" s="1" t="s">
        <v>421</v>
      </c>
      <c r="C171" s="1" t="s">
        <v>1331</v>
      </c>
      <c r="D171" s="1">
        <v>44</v>
      </c>
      <c r="E171" s="1" t="s">
        <v>739</v>
      </c>
      <c r="F171" s="1" t="s">
        <v>1168</v>
      </c>
      <c r="G171" s="1" t="s">
        <v>698</v>
      </c>
      <c r="H171" s="1" t="s">
        <v>1168</v>
      </c>
      <c r="I171" s="1">
        <v>5000</v>
      </c>
      <c r="J171" s="1" t="s">
        <v>246</v>
      </c>
      <c r="K171" s="1" t="s">
        <v>695</v>
      </c>
    </row>
    <row r="172" spans="1:11" x14ac:dyDescent="0.25">
      <c r="A172" s="1" t="s">
        <v>360</v>
      </c>
      <c r="B172" s="1" t="s">
        <v>361</v>
      </c>
      <c r="C172" s="1" t="s">
        <v>1332</v>
      </c>
      <c r="D172" s="1">
        <v>10</v>
      </c>
      <c r="E172" s="1" t="s">
        <v>849</v>
      </c>
      <c r="F172" s="1" t="s">
        <v>1203</v>
      </c>
      <c r="G172" s="1" t="s">
        <v>700</v>
      </c>
      <c r="H172" s="1" t="s">
        <v>1203</v>
      </c>
      <c r="I172" s="1">
        <v>1000</v>
      </c>
      <c r="J172" s="1" t="s">
        <v>246</v>
      </c>
      <c r="K172" s="1" t="s">
        <v>695</v>
      </c>
    </row>
    <row r="173" spans="1:11" x14ac:dyDescent="0.25">
      <c r="A173" s="1" t="s">
        <v>693</v>
      </c>
      <c r="B173" s="1" t="s">
        <v>701</v>
      </c>
      <c r="C173" s="1" t="s">
        <v>1332</v>
      </c>
      <c r="D173" s="1">
        <v>13</v>
      </c>
      <c r="E173" s="1" t="s">
        <v>806</v>
      </c>
      <c r="F173" s="1" t="s">
        <v>1199</v>
      </c>
      <c r="G173" s="1" t="s">
        <v>700</v>
      </c>
      <c r="H173" s="1" t="s">
        <v>1199</v>
      </c>
      <c r="I173" s="1">
        <v>1000</v>
      </c>
      <c r="J173" s="1" t="s">
        <v>246</v>
      </c>
      <c r="K173" s="1" t="s">
        <v>695</v>
      </c>
    </row>
    <row r="174" spans="1:11" x14ac:dyDescent="0.25">
      <c r="A174" s="1" t="s">
        <v>267</v>
      </c>
      <c r="B174" s="1" t="s">
        <v>268</v>
      </c>
      <c r="C174" s="1" t="s">
        <v>1330</v>
      </c>
      <c r="D174" s="1">
        <v>20</v>
      </c>
      <c r="E174" s="1" t="s">
        <v>784</v>
      </c>
      <c r="F174" s="1" t="s">
        <v>1210</v>
      </c>
      <c r="G174" s="1" t="s">
        <v>699</v>
      </c>
      <c r="H174" s="1" t="s">
        <v>1210</v>
      </c>
      <c r="I174" s="1">
        <v>2000</v>
      </c>
      <c r="J174" s="1" t="s">
        <v>246</v>
      </c>
      <c r="K174" s="1" t="s">
        <v>695</v>
      </c>
    </row>
    <row r="175" spans="1:11" x14ac:dyDescent="0.25">
      <c r="A175" s="1" t="s">
        <v>1</v>
      </c>
      <c r="B175" s="1" t="s">
        <v>250</v>
      </c>
      <c r="C175" s="1" t="s">
        <v>1330</v>
      </c>
      <c r="D175" s="1">
        <v>1</v>
      </c>
      <c r="E175" s="1" t="s">
        <v>702</v>
      </c>
      <c r="F175" s="1" t="s">
        <v>107</v>
      </c>
      <c r="G175" s="1" t="s">
        <v>696</v>
      </c>
      <c r="H175" s="1" t="s">
        <v>512</v>
      </c>
      <c r="I175" s="1">
        <v>12000</v>
      </c>
      <c r="J175" s="1" t="s">
        <v>246</v>
      </c>
      <c r="K175" s="1" t="s">
        <v>694</v>
      </c>
    </row>
    <row r="176" spans="1:11" x14ac:dyDescent="0.25">
      <c r="A176" s="1" t="s">
        <v>10</v>
      </c>
      <c r="B176" s="1" t="s">
        <v>332</v>
      </c>
      <c r="C176" s="1" t="s">
        <v>1329</v>
      </c>
      <c r="D176" s="1">
        <v>2</v>
      </c>
      <c r="E176" s="1" t="s">
        <v>717</v>
      </c>
      <c r="F176" s="1" t="s">
        <v>121</v>
      </c>
      <c r="G176" s="1" t="s">
        <v>696</v>
      </c>
      <c r="H176" s="1" t="s">
        <v>565</v>
      </c>
      <c r="I176" s="1">
        <v>5000</v>
      </c>
      <c r="J176" s="1" t="s">
        <v>246</v>
      </c>
      <c r="K176" s="1" t="s">
        <v>694</v>
      </c>
    </row>
    <row r="177" spans="1:11" x14ac:dyDescent="0.25">
      <c r="A177" s="1" t="s">
        <v>66</v>
      </c>
      <c r="B177" s="1" t="s">
        <v>357</v>
      </c>
      <c r="C177" s="1" t="s">
        <v>1329</v>
      </c>
      <c r="D177" s="1">
        <v>8</v>
      </c>
      <c r="E177" s="1" t="s">
        <v>733</v>
      </c>
      <c r="F177" s="1" t="s">
        <v>1213</v>
      </c>
      <c r="G177" s="1" t="s">
        <v>696</v>
      </c>
      <c r="H177" s="1" t="s">
        <v>582</v>
      </c>
      <c r="I177" s="1">
        <v>6000</v>
      </c>
      <c r="J177" s="1" t="s">
        <v>246</v>
      </c>
      <c r="K177" s="1" t="s">
        <v>694</v>
      </c>
    </row>
    <row r="178" spans="1:11" x14ac:dyDescent="0.25">
      <c r="A178" s="1" t="s">
        <v>36</v>
      </c>
      <c r="B178" s="1" t="s">
        <v>385</v>
      </c>
      <c r="C178" s="1" t="s">
        <v>1331</v>
      </c>
      <c r="D178" s="1">
        <v>16</v>
      </c>
      <c r="E178" s="1" t="s">
        <v>706</v>
      </c>
      <c r="F178" s="1" t="s">
        <v>147</v>
      </c>
      <c r="G178" s="1" t="s">
        <v>696</v>
      </c>
      <c r="H178" s="1" t="s">
        <v>602</v>
      </c>
      <c r="I178" s="1">
        <v>15000</v>
      </c>
      <c r="J178" s="1" t="s">
        <v>246</v>
      </c>
      <c r="K178" s="1" t="s">
        <v>694</v>
      </c>
    </row>
    <row r="179" spans="1:11" x14ac:dyDescent="0.25">
      <c r="A179" s="1" t="s">
        <v>281</v>
      </c>
      <c r="B179" s="1" t="s">
        <v>282</v>
      </c>
      <c r="C179" s="1" t="s">
        <v>1330</v>
      </c>
      <c r="D179" s="1">
        <v>27</v>
      </c>
      <c r="E179" s="1" t="s">
        <v>808</v>
      </c>
      <c r="F179" s="1" t="s">
        <v>1170</v>
      </c>
      <c r="G179" s="1" t="s">
        <v>696</v>
      </c>
      <c r="H179" s="1" t="s">
        <v>531</v>
      </c>
      <c r="I179" s="1">
        <v>3000</v>
      </c>
      <c r="J179" s="1" t="s">
        <v>1123</v>
      </c>
      <c r="K179" s="1" t="s">
        <v>695</v>
      </c>
    </row>
    <row r="180" spans="1:11" x14ac:dyDescent="0.25">
      <c r="A180" s="1" t="s">
        <v>296</v>
      </c>
      <c r="B180" s="1" t="s">
        <v>297</v>
      </c>
      <c r="C180" s="1" t="s">
        <v>1330</v>
      </c>
      <c r="D180" s="1">
        <v>34</v>
      </c>
      <c r="E180" s="1" t="s">
        <v>751</v>
      </c>
      <c r="F180" s="1" t="s">
        <v>1191</v>
      </c>
      <c r="G180" s="1" t="s">
        <v>696</v>
      </c>
      <c r="H180" s="1" t="s">
        <v>539</v>
      </c>
      <c r="I180" s="1">
        <v>1000</v>
      </c>
      <c r="J180" s="1" t="s">
        <v>1123</v>
      </c>
      <c r="K180" s="1" t="s">
        <v>695</v>
      </c>
    </row>
    <row r="181" spans="1:11" x14ac:dyDescent="0.25">
      <c r="A181" s="1" t="s">
        <v>330</v>
      </c>
      <c r="B181" s="1" t="s">
        <v>331</v>
      </c>
      <c r="C181" s="1" t="s">
        <v>1329</v>
      </c>
      <c r="D181" s="1">
        <v>19</v>
      </c>
      <c r="E181" s="1" t="s">
        <v>719</v>
      </c>
      <c r="F181" s="1" t="s">
        <v>1157</v>
      </c>
      <c r="G181" s="1" t="s">
        <v>696</v>
      </c>
      <c r="H181" s="1" t="s">
        <v>564</v>
      </c>
      <c r="I181" s="1">
        <v>3000</v>
      </c>
      <c r="J181" s="1" t="s">
        <v>1123</v>
      </c>
      <c r="K181" s="1" t="s">
        <v>695</v>
      </c>
    </row>
    <row r="182" spans="1:11" x14ac:dyDescent="0.25">
      <c r="A182" s="1" t="s">
        <v>370</v>
      </c>
      <c r="B182" s="1" t="s">
        <v>371</v>
      </c>
      <c r="C182" s="1" t="s">
        <v>1332</v>
      </c>
      <c r="D182" s="1">
        <v>4</v>
      </c>
      <c r="E182" s="1" t="s">
        <v>773</v>
      </c>
      <c r="F182" s="1" t="s">
        <v>1164</v>
      </c>
      <c r="G182" s="1" t="s">
        <v>696</v>
      </c>
      <c r="H182" s="1" t="s">
        <v>589</v>
      </c>
      <c r="I182" s="1">
        <v>4000</v>
      </c>
      <c r="J182" s="1" t="s">
        <v>1123</v>
      </c>
      <c r="K182" s="1" t="s">
        <v>695</v>
      </c>
    </row>
    <row r="183" spans="1:11" x14ac:dyDescent="0.25">
      <c r="A183" s="1" t="s">
        <v>445</v>
      </c>
      <c r="B183" s="1" t="s">
        <v>446</v>
      </c>
      <c r="C183" s="1" t="s">
        <v>1331</v>
      </c>
      <c r="D183" s="1">
        <v>56</v>
      </c>
      <c r="E183" s="1" t="s">
        <v>829</v>
      </c>
      <c r="F183" s="1" t="s">
        <v>1128</v>
      </c>
      <c r="G183" s="1" t="s">
        <v>696</v>
      </c>
      <c r="H183" s="1" t="s">
        <v>646</v>
      </c>
      <c r="I183" s="1">
        <v>5000</v>
      </c>
      <c r="J183" s="1" t="s">
        <v>1123</v>
      </c>
      <c r="K183" s="1" t="s">
        <v>695</v>
      </c>
    </row>
    <row r="184" spans="1:11" x14ac:dyDescent="0.25">
      <c r="A184" s="1" t="s">
        <v>464</v>
      </c>
      <c r="B184" s="1" t="s">
        <v>465</v>
      </c>
      <c r="C184" s="1" t="s">
        <v>1331</v>
      </c>
      <c r="D184" s="1">
        <v>65</v>
      </c>
      <c r="E184" s="1" t="s">
        <v>873</v>
      </c>
      <c r="F184" s="1" t="s">
        <v>1133</v>
      </c>
      <c r="G184" s="1" t="s">
        <v>696</v>
      </c>
      <c r="H184" s="1" t="s">
        <v>656</v>
      </c>
      <c r="I184" s="1">
        <v>5000</v>
      </c>
      <c r="J184" s="1" t="s">
        <v>1123</v>
      </c>
      <c r="K184" s="1" t="s">
        <v>695</v>
      </c>
    </row>
    <row r="185" spans="1:11" x14ac:dyDescent="0.25">
      <c r="A185" s="1" t="s">
        <v>477</v>
      </c>
      <c r="B185" s="1" t="s">
        <v>478</v>
      </c>
      <c r="C185" s="1" t="s">
        <v>1331</v>
      </c>
      <c r="D185" s="1">
        <v>71</v>
      </c>
      <c r="E185" s="1" t="s">
        <v>852</v>
      </c>
      <c r="F185" s="1" t="s">
        <v>1130</v>
      </c>
      <c r="G185" s="1" t="s">
        <v>696</v>
      </c>
      <c r="H185" s="1" t="s">
        <v>663</v>
      </c>
      <c r="I185" s="1">
        <v>5000</v>
      </c>
      <c r="J185" s="1" t="s">
        <v>1123</v>
      </c>
      <c r="K185" s="1" t="s">
        <v>695</v>
      </c>
    </row>
  </sheetData>
  <autoFilter ref="A1:O185" xr:uid="{82985303-E9E3-4185-A787-261390E605EE}"/>
  <sortState xmlns:xlrd2="http://schemas.microsoft.com/office/spreadsheetml/2017/richdata2" ref="A2:K185">
    <sortCondition ref="J2:J185"/>
    <sortCondition ref="K2:K185"/>
    <sortCondition ref="G2:G185"/>
    <sortCondition ref="C2:C185"/>
    <sortCondition ref="D2:D185"/>
  </sortState>
  <conditionalFormatting sqref="A1:A1048576">
    <cfRule type="duplicateValues" dxfId="7" priority="1"/>
  </conditionalFormatting>
  <conditionalFormatting sqref="B1:B1048576">
    <cfRule type="duplicateValues" dxfId="6" priority="2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30B6E-0BD0-4B79-830C-94E82717558A}">
  <sheetPr codeName="Sheet9">
    <pageSetUpPr fitToPage="1"/>
  </sheetPr>
  <dimension ref="A1:K185"/>
  <sheetViews>
    <sheetView workbookViewId="0">
      <selection activeCell="L1" sqref="L1"/>
    </sheetView>
  </sheetViews>
  <sheetFormatPr defaultRowHeight="15" x14ac:dyDescent="0.25"/>
  <cols>
    <col min="1" max="1" width="24.42578125" bestFit="1" customWidth="1"/>
    <col min="2" max="2" width="9.5703125" bestFit="1" customWidth="1"/>
    <col min="3" max="4" width="9.5703125" customWidth="1"/>
    <col min="5" max="5" width="43" bestFit="1" customWidth="1"/>
    <col min="6" max="6" width="29.42578125" bestFit="1" customWidth="1"/>
    <col min="7" max="7" width="16.5703125" bestFit="1" customWidth="1"/>
    <col min="8" max="8" width="25.42578125" bestFit="1" customWidth="1"/>
    <col min="9" max="9" width="7.5703125" bestFit="1" customWidth="1"/>
    <col min="10" max="10" width="12.42578125" bestFit="1" customWidth="1"/>
    <col min="11" max="11" width="7.5703125" bestFit="1" customWidth="1"/>
  </cols>
  <sheetData>
    <row r="1" spans="1:11" ht="18.75" x14ac:dyDescent="0.3">
      <c r="A1" s="24" t="s">
        <v>247</v>
      </c>
      <c r="B1" s="24" t="s">
        <v>249</v>
      </c>
      <c r="C1" s="25" t="s">
        <v>1339</v>
      </c>
      <c r="D1" s="25" t="s">
        <v>1340</v>
      </c>
      <c r="E1" s="24" t="s">
        <v>248</v>
      </c>
      <c r="F1" s="24" t="s">
        <v>1119</v>
      </c>
      <c r="G1" s="24" t="s">
        <v>1324</v>
      </c>
      <c r="H1" s="24" t="s">
        <v>1323</v>
      </c>
      <c r="I1" s="24" t="s">
        <v>1337</v>
      </c>
      <c r="J1" s="24" t="s">
        <v>1328</v>
      </c>
      <c r="K1" s="24" t="s">
        <v>692</v>
      </c>
    </row>
    <row r="2" spans="1:11" ht="18.75" x14ac:dyDescent="0.3">
      <c r="A2" s="25" t="s">
        <v>256</v>
      </c>
      <c r="B2" s="25" t="s">
        <v>257</v>
      </c>
      <c r="C2" s="25" t="s">
        <v>1330</v>
      </c>
      <c r="D2" s="25">
        <v>15</v>
      </c>
      <c r="E2" s="25" t="s">
        <v>781</v>
      </c>
      <c r="F2" s="25" t="s">
        <v>1165</v>
      </c>
      <c r="G2" s="25" t="s">
        <v>696</v>
      </c>
      <c r="H2" s="25" t="s">
        <v>518</v>
      </c>
      <c r="I2" s="25">
        <v>4000</v>
      </c>
      <c r="J2" s="25" t="s">
        <v>1321</v>
      </c>
      <c r="K2" s="25" t="s">
        <v>695</v>
      </c>
    </row>
    <row r="3" spans="1:11" ht="18.75" x14ac:dyDescent="0.3">
      <c r="A3" s="25" t="s">
        <v>262</v>
      </c>
      <c r="B3" s="25" t="s">
        <v>263</v>
      </c>
      <c r="C3" s="25" t="s">
        <v>1330</v>
      </c>
      <c r="D3" s="25">
        <v>18</v>
      </c>
      <c r="E3" s="25" t="s">
        <v>866</v>
      </c>
      <c r="F3" s="25" t="s">
        <v>1193</v>
      </c>
      <c r="G3" s="25" t="s">
        <v>696</v>
      </c>
      <c r="H3" s="25" t="s">
        <v>521</v>
      </c>
      <c r="I3" s="25">
        <v>3000</v>
      </c>
      <c r="J3" s="25" t="s">
        <v>1321</v>
      </c>
      <c r="K3" s="25" t="s">
        <v>695</v>
      </c>
    </row>
    <row r="4" spans="1:11" ht="18.75" x14ac:dyDescent="0.3">
      <c r="A4" s="25" t="s">
        <v>264</v>
      </c>
      <c r="B4" s="25" t="s">
        <v>265</v>
      </c>
      <c r="C4" s="25" t="s">
        <v>1330</v>
      </c>
      <c r="D4" s="25">
        <v>19</v>
      </c>
      <c r="E4" s="25" t="s">
        <v>810</v>
      </c>
      <c r="F4" s="25" t="s">
        <v>1171</v>
      </c>
      <c r="G4" s="25" t="s">
        <v>696</v>
      </c>
      <c r="H4" s="25" t="s">
        <v>522</v>
      </c>
      <c r="I4" s="25">
        <v>4000</v>
      </c>
      <c r="J4" s="25" t="s">
        <v>1321</v>
      </c>
      <c r="K4" s="25" t="s">
        <v>695</v>
      </c>
    </row>
    <row r="5" spans="1:11" ht="18.75" x14ac:dyDescent="0.3">
      <c r="A5" s="25" t="s">
        <v>269</v>
      </c>
      <c r="B5" s="25" t="s">
        <v>270</v>
      </c>
      <c r="C5" s="25" t="s">
        <v>1330</v>
      </c>
      <c r="D5" s="25">
        <v>21</v>
      </c>
      <c r="E5" s="25" t="s">
        <v>845</v>
      </c>
      <c r="F5" s="25" t="s">
        <v>1194</v>
      </c>
      <c r="G5" s="25" t="s">
        <v>696</v>
      </c>
      <c r="H5" s="25" t="s">
        <v>525</v>
      </c>
      <c r="I5" s="25">
        <v>2000</v>
      </c>
      <c r="J5" s="25" t="s">
        <v>1321</v>
      </c>
      <c r="K5" s="25" t="s">
        <v>695</v>
      </c>
    </row>
    <row r="6" spans="1:11" ht="18.75" x14ac:dyDescent="0.3">
      <c r="A6" s="25" t="s">
        <v>275</v>
      </c>
      <c r="B6" s="25" t="s">
        <v>276</v>
      </c>
      <c r="C6" s="25" t="s">
        <v>1330</v>
      </c>
      <c r="D6" s="25">
        <v>24</v>
      </c>
      <c r="E6" s="25" t="s">
        <v>815</v>
      </c>
      <c r="F6" s="25" t="s">
        <v>1185</v>
      </c>
      <c r="G6" s="25" t="s">
        <v>696</v>
      </c>
      <c r="H6" s="25" t="s">
        <v>1307</v>
      </c>
      <c r="I6" s="25">
        <v>3000</v>
      </c>
      <c r="J6" s="25" t="s">
        <v>1321</v>
      </c>
      <c r="K6" s="25" t="s">
        <v>695</v>
      </c>
    </row>
    <row r="7" spans="1:11" ht="18.75" x14ac:dyDescent="0.3">
      <c r="A7" s="25" t="s">
        <v>279</v>
      </c>
      <c r="B7" s="25" t="s">
        <v>280</v>
      </c>
      <c r="C7" s="25" t="s">
        <v>1330</v>
      </c>
      <c r="D7" s="25">
        <v>26</v>
      </c>
      <c r="E7" s="25" t="s">
        <v>834</v>
      </c>
      <c r="F7" s="25" t="s">
        <v>1173</v>
      </c>
      <c r="G7" s="25" t="s">
        <v>696</v>
      </c>
      <c r="H7" s="25" t="s">
        <v>1293</v>
      </c>
      <c r="I7" s="25">
        <v>4000</v>
      </c>
      <c r="J7" s="25" t="s">
        <v>1321</v>
      </c>
      <c r="K7" s="25" t="s">
        <v>695</v>
      </c>
    </row>
    <row r="8" spans="1:11" ht="18.75" x14ac:dyDescent="0.3">
      <c r="A8" s="25" t="s">
        <v>285</v>
      </c>
      <c r="B8" s="25" t="s">
        <v>286</v>
      </c>
      <c r="C8" s="25" t="s">
        <v>1330</v>
      </c>
      <c r="D8" s="25">
        <v>29</v>
      </c>
      <c r="E8" s="25" t="s">
        <v>861</v>
      </c>
      <c r="F8" s="25" t="s">
        <v>1177</v>
      </c>
      <c r="G8" s="25" t="s">
        <v>696</v>
      </c>
      <c r="H8" s="25" t="s">
        <v>533</v>
      </c>
      <c r="I8" s="25">
        <v>4000</v>
      </c>
      <c r="J8" s="25" t="s">
        <v>1321</v>
      </c>
      <c r="K8" s="25" t="s">
        <v>695</v>
      </c>
    </row>
    <row r="9" spans="1:11" ht="18.75" x14ac:dyDescent="0.3">
      <c r="A9" s="25" t="s">
        <v>290</v>
      </c>
      <c r="B9" s="25" t="s">
        <v>291</v>
      </c>
      <c r="C9" s="25" t="s">
        <v>1330</v>
      </c>
      <c r="D9" s="25">
        <v>31</v>
      </c>
      <c r="E9" s="25" t="s">
        <v>862</v>
      </c>
      <c r="F9" s="25" t="s">
        <v>1180</v>
      </c>
      <c r="G9" s="25" t="s">
        <v>696</v>
      </c>
      <c r="H9" s="25" t="s">
        <v>1309</v>
      </c>
      <c r="I9" s="25">
        <v>4000</v>
      </c>
      <c r="J9" s="25" t="s">
        <v>1321</v>
      </c>
      <c r="K9" s="25" t="s">
        <v>695</v>
      </c>
    </row>
    <row r="10" spans="1:11" ht="18.75" x14ac:dyDescent="0.3">
      <c r="A10" s="25" t="s">
        <v>292</v>
      </c>
      <c r="B10" s="25" t="s">
        <v>293</v>
      </c>
      <c r="C10" s="25" t="s">
        <v>1330</v>
      </c>
      <c r="D10" s="25">
        <v>32</v>
      </c>
      <c r="E10" s="25" t="s">
        <v>735</v>
      </c>
      <c r="F10" s="25" t="s">
        <v>1183</v>
      </c>
      <c r="G10" s="25" t="s">
        <v>696</v>
      </c>
      <c r="H10" s="25" t="s">
        <v>537</v>
      </c>
      <c r="I10" s="25">
        <v>2000</v>
      </c>
      <c r="J10" s="25" t="s">
        <v>1321</v>
      </c>
      <c r="K10" s="25" t="s">
        <v>695</v>
      </c>
    </row>
    <row r="11" spans="1:11" ht="18.75" x14ac:dyDescent="0.3">
      <c r="A11" s="25" t="s">
        <v>294</v>
      </c>
      <c r="B11" s="25" t="s">
        <v>295</v>
      </c>
      <c r="C11" s="25" t="s">
        <v>1330</v>
      </c>
      <c r="D11" s="25">
        <v>33</v>
      </c>
      <c r="E11" s="25" t="s">
        <v>835</v>
      </c>
      <c r="F11" s="25" t="s">
        <v>1189</v>
      </c>
      <c r="G11" s="25" t="s">
        <v>696</v>
      </c>
      <c r="H11" s="25" t="s">
        <v>538</v>
      </c>
      <c r="I11" s="25">
        <v>3000</v>
      </c>
      <c r="J11" s="25" t="s">
        <v>1321</v>
      </c>
      <c r="K11" s="25" t="s">
        <v>695</v>
      </c>
    </row>
    <row r="12" spans="1:11" ht="18.75" x14ac:dyDescent="0.3">
      <c r="A12" s="25" t="s">
        <v>298</v>
      </c>
      <c r="B12" s="25" t="s">
        <v>299</v>
      </c>
      <c r="C12" s="25" t="s">
        <v>1330</v>
      </c>
      <c r="D12" s="25">
        <v>35</v>
      </c>
      <c r="E12" s="25" t="s">
        <v>832</v>
      </c>
      <c r="F12" s="25" t="s">
        <v>1196</v>
      </c>
      <c r="G12" s="25" t="s">
        <v>696</v>
      </c>
      <c r="H12" s="25" t="s">
        <v>1317</v>
      </c>
      <c r="I12" s="25">
        <v>2000</v>
      </c>
      <c r="J12" s="25" t="s">
        <v>1321</v>
      </c>
      <c r="K12" s="25" t="s">
        <v>695</v>
      </c>
    </row>
    <row r="13" spans="1:11" ht="18.75" x14ac:dyDescent="0.3">
      <c r="A13" s="25" t="s">
        <v>300</v>
      </c>
      <c r="B13" s="25" t="s">
        <v>301</v>
      </c>
      <c r="C13" s="25" t="s">
        <v>1330</v>
      </c>
      <c r="D13" s="25">
        <v>36</v>
      </c>
      <c r="E13" s="25" t="s">
        <v>763</v>
      </c>
      <c r="F13" s="25" t="s">
        <v>1190</v>
      </c>
      <c r="G13" s="25" t="s">
        <v>696</v>
      </c>
      <c r="H13" s="25" t="s">
        <v>541</v>
      </c>
      <c r="I13" s="25">
        <v>2000</v>
      </c>
      <c r="J13" s="25" t="s">
        <v>1321</v>
      </c>
      <c r="K13" s="25" t="s">
        <v>695</v>
      </c>
    </row>
    <row r="14" spans="1:11" ht="18.75" x14ac:dyDescent="0.3">
      <c r="A14" s="25" t="s">
        <v>302</v>
      </c>
      <c r="B14" s="25" t="s">
        <v>303</v>
      </c>
      <c r="C14" s="25" t="s">
        <v>1330</v>
      </c>
      <c r="D14" s="25">
        <v>37</v>
      </c>
      <c r="E14" s="25" t="s">
        <v>826</v>
      </c>
      <c r="F14" s="25" t="s">
        <v>1188</v>
      </c>
      <c r="G14" s="25" t="s">
        <v>696</v>
      </c>
      <c r="H14" s="25" t="s">
        <v>1305</v>
      </c>
      <c r="I14" s="25">
        <v>3000</v>
      </c>
      <c r="J14" s="25" t="s">
        <v>1321</v>
      </c>
      <c r="K14" s="25" t="s">
        <v>695</v>
      </c>
    </row>
    <row r="15" spans="1:11" ht="18.75" x14ac:dyDescent="0.3">
      <c r="A15" s="25" t="s">
        <v>326</v>
      </c>
      <c r="B15" s="25" t="s">
        <v>327</v>
      </c>
      <c r="C15" s="25" t="s">
        <v>1329</v>
      </c>
      <c r="D15" s="25">
        <v>17</v>
      </c>
      <c r="E15" s="25" t="s">
        <v>786</v>
      </c>
      <c r="F15" s="25" t="s">
        <v>1160</v>
      </c>
      <c r="G15" s="25" t="s">
        <v>696</v>
      </c>
      <c r="H15" s="25" t="s">
        <v>562</v>
      </c>
      <c r="I15" s="25">
        <v>3000</v>
      </c>
      <c r="J15" s="25" t="s">
        <v>1321</v>
      </c>
      <c r="K15" s="25" t="s">
        <v>695</v>
      </c>
    </row>
    <row r="16" spans="1:11" ht="18.75" x14ac:dyDescent="0.3">
      <c r="A16" s="25" t="s">
        <v>435</v>
      </c>
      <c r="B16" s="25" t="s">
        <v>436</v>
      </c>
      <c r="C16" s="25" t="s">
        <v>1331</v>
      </c>
      <c r="D16" s="25">
        <v>51</v>
      </c>
      <c r="E16" s="25" t="s">
        <v>775</v>
      </c>
      <c r="F16" s="25" t="s">
        <v>1145</v>
      </c>
      <c r="G16" s="25" t="s">
        <v>696</v>
      </c>
      <c r="H16" s="25" t="s">
        <v>641</v>
      </c>
      <c r="I16" s="25">
        <v>4000</v>
      </c>
      <c r="J16" s="25" t="s">
        <v>1321</v>
      </c>
      <c r="K16" s="25" t="s">
        <v>695</v>
      </c>
    </row>
    <row r="17" spans="1:11" ht="18.75" x14ac:dyDescent="0.3">
      <c r="A17" s="25" t="s">
        <v>443</v>
      </c>
      <c r="B17" s="25" t="s">
        <v>444</v>
      </c>
      <c r="C17" s="25" t="s">
        <v>1331</v>
      </c>
      <c r="D17" s="25">
        <v>55</v>
      </c>
      <c r="E17" s="25" t="s">
        <v>859</v>
      </c>
      <c r="F17" s="25" t="s">
        <v>1148</v>
      </c>
      <c r="G17" s="25" t="s">
        <v>696</v>
      </c>
      <c r="H17" s="25" t="s">
        <v>1306</v>
      </c>
      <c r="I17" s="25">
        <v>4000</v>
      </c>
      <c r="J17" s="25" t="s">
        <v>1321</v>
      </c>
      <c r="K17" s="25" t="s">
        <v>695</v>
      </c>
    </row>
    <row r="18" spans="1:11" ht="18.75" x14ac:dyDescent="0.3">
      <c r="A18" s="25" t="s">
        <v>458</v>
      </c>
      <c r="B18" s="25" t="s">
        <v>459</v>
      </c>
      <c r="C18" s="25" t="s">
        <v>1331</v>
      </c>
      <c r="D18" s="25">
        <v>62</v>
      </c>
      <c r="E18" s="25" t="s">
        <v>754</v>
      </c>
      <c r="F18" s="25" t="s">
        <v>1142</v>
      </c>
      <c r="G18" s="25" t="s">
        <v>696</v>
      </c>
      <c r="H18" s="25" t="s">
        <v>1311</v>
      </c>
      <c r="I18" s="25">
        <v>5000</v>
      </c>
      <c r="J18" s="25" t="s">
        <v>1321</v>
      </c>
      <c r="K18" s="25" t="s">
        <v>695</v>
      </c>
    </row>
    <row r="19" spans="1:11" ht="18.75" x14ac:dyDescent="0.3">
      <c r="A19" s="25" t="s">
        <v>460</v>
      </c>
      <c r="B19" s="25" t="s">
        <v>461</v>
      </c>
      <c r="C19" s="25" t="s">
        <v>1331</v>
      </c>
      <c r="D19" s="25">
        <v>63</v>
      </c>
      <c r="E19" s="25" t="s">
        <v>757</v>
      </c>
      <c r="F19" s="25" t="s">
        <v>1144</v>
      </c>
      <c r="G19" s="25" t="s">
        <v>696</v>
      </c>
      <c r="H19" s="25" t="s">
        <v>654</v>
      </c>
      <c r="I19" s="25">
        <v>4000</v>
      </c>
      <c r="J19" s="25" t="s">
        <v>1321</v>
      </c>
      <c r="K19" s="25" t="s">
        <v>695</v>
      </c>
    </row>
    <row r="20" spans="1:11" ht="18.75" x14ac:dyDescent="0.3">
      <c r="A20" s="25" t="s">
        <v>466</v>
      </c>
      <c r="B20" s="25" t="s">
        <v>467</v>
      </c>
      <c r="C20" s="25" t="s">
        <v>1331</v>
      </c>
      <c r="D20" s="25">
        <v>66</v>
      </c>
      <c r="E20" s="25" t="s">
        <v>877</v>
      </c>
      <c r="F20" s="25" t="s">
        <v>1152</v>
      </c>
      <c r="G20" s="25" t="s">
        <v>696</v>
      </c>
      <c r="H20" s="25" t="s">
        <v>1304</v>
      </c>
      <c r="I20" s="25">
        <v>4000</v>
      </c>
      <c r="J20" s="25" t="s">
        <v>1321</v>
      </c>
      <c r="K20" s="25" t="s">
        <v>695</v>
      </c>
    </row>
    <row r="21" spans="1:11" ht="18.75" x14ac:dyDescent="0.3">
      <c r="A21" s="25" t="s">
        <v>479</v>
      </c>
      <c r="B21" s="25" t="s">
        <v>480</v>
      </c>
      <c r="C21" s="25" t="s">
        <v>1331</v>
      </c>
      <c r="D21" s="25">
        <v>72</v>
      </c>
      <c r="E21" s="25" t="s">
        <v>848</v>
      </c>
      <c r="F21" s="25" t="s">
        <v>1147</v>
      </c>
      <c r="G21" s="25" t="s">
        <v>696</v>
      </c>
      <c r="H21" s="25" t="s">
        <v>1303</v>
      </c>
      <c r="I21" s="25">
        <v>4000</v>
      </c>
      <c r="J21" s="25" t="s">
        <v>1321</v>
      </c>
      <c r="K21" s="25" t="s">
        <v>695</v>
      </c>
    </row>
    <row r="22" spans="1:11" ht="18.75" x14ac:dyDescent="0.3">
      <c r="A22" s="25" t="s">
        <v>481</v>
      </c>
      <c r="B22" s="25" t="s">
        <v>482</v>
      </c>
      <c r="C22" s="25" t="s">
        <v>1331</v>
      </c>
      <c r="D22" s="25">
        <v>73</v>
      </c>
      <c r="E22" s="25" t="s">
        <v>878</v>
      </c>
      <c r="F22" s="25" t="s">
        <v>1134</v>
      </c>
      <c r="G22" s="25" t="s">
        <v>696</v>
      </c>
      <c r="H22" s="25" t="s">
        <v>1308</v>
      </c>
      <c r="I22" s="25">
        <v>5000</v>
      </c>
      <c r="J22" s="25" t="s">
        <v>1321</v>
      </c>
      <c r="K22" s="25" t="s">
        <v>695</v>
      </c>
    </row>
    <row r="23" spans="1:11" ht="18.75" x14ac:dyDescent="0.3">
      <c r="A23" s="25" t="s">
        <v>271</v>
      </c>
      <c r="B23" s="25" t="s">
        <v>272</v>
      </c>
      <c r="C23" s="25" t="s">
        <v>1330</v>
      </c>
      <c r="D23" s="25">
        <v>22</v>
      </c>
      <c r="E23" s="25" t="s">
        <v>841</v>
      </c>
      <c r="F23" s="25" t="s">
        <v>1174</v>
      </c>
      <c r="G23" s="25" t="s">
        <v>698</v>
      </c>
      <c r="H23" s="25" t="s">
        <v>1174</v>
      </c>
      <c r="I23" s="25">
        <v>3000</v>
      </c>
      <c r="J23" s="25" t="s">
        <v>1321</v>
      </c>
      <c r="K23" s="25" t="s">
        <v>695</v>
      </c>
    </row>
    <row r="24" spans="1:11" ht="18.75" x14ac:dyDescent="0.3">
      <c r="A24" s="25" t="s">
        <v>288</v>
      </c>
      <c r="B24" s="25" t="s">
        <v>289</v>
      </c>
      <c r="C24" s="25" t="s">
        <v>1330</v>
      </c>
      <c r="D24" s="25">
        <v>30</v>
      </c>
      <c r="E24" s="25" t="s">
        <v>867</v>
      </c>
      <c r="F24" s="25" t="s">
        <v>1182</v>
      </c>
      <c r="G24" s="25" t="s">
        <v>698</v>
      </c>
      <c r="H24" s="25" t="s">
        <v>1182</v>
      </c>
      <c r="I24" s="25">
        <v>4000</v>
      </c>
      <c r="J24" s="25" t="s">
        <v>1321</v>
      </c>
      <c r="K24" s="25" t="s">
        <v>695</v>
      </c>
    </row>
    <row r="25" spans="1:11" ht="18.75" x14ac:dyDescent="0.3">
      <c r="A25" s="25" t="s">
        <v>333</v>
      </c>
      <c r="B25" s="25" t="s">
        <v>334</v>
      </c>
      <c r="C25" s="25" t="s">
        <v>1329</v>
      </c>
      <c r="D25" s="25">
        <v>20</v>
      </c>
      <c r="E25" s="25" t="s">
        <v>783</v>
      </c>
      <c r="F25" s="25" t="s">
        <v>1159</v>
      </c>
      <c r="G25" s="25" t="s">
        <v>698</v>
      </c>
      <c r="H25" s="25" t="s">
        <v>1159</v>
      </c>
      <c r="I25" s="25">
        <v>3000</v>
      </c>
      <c r="J25" s="25" t="s">
        <v>1321</v>
      </c>
      <c r="K25" s="25" t="s">
        <v>695</v>
      </c>
    </row>
    <row r="26" spans="1:11" ht="18.75" x14ac:dyDescent="0.3">
      <c r="A26" s="25" t="s">
        <v>337</v>
      </c>
      <c r="B26" s="25" t="s">
        <v>338</v>
      </c>
      <c r="C26" s="25" t="s">
        <v>1329</v>
      </c>
      <c r="D26" s="25">
        <v>22</v>
      </c>
      <c r="E26" s="25" t="s">
        <v>794</v>
      </c>
      <c r="F26" s="25" t="s">
        <v>1155</v>
      </c>
      <c r="G26" s="25" t="s">
        <v>698</v>
      </c>
      <c r="H26" s="25" t="s">
        <v>1155</v>
      </c>
      <c r="I26" s="25">
        <v>5000</v>
      </c>
      <c r="J26" s="25" t="s">
        <v>1321</v>
      </c>
      <c r="K26" s="25" t="s">
        <v>695</v>
      </c>
    </row>
    <row r="27" spans="1:11" ht="18.75" x14ac:dyDescent="0.3">
      <c r="A27" s="25" t="s">
        <v>341</v>
      </c>
      <c r="B27" s="25" t="s">
        <v>342</v>
      </c>
      <c r="C27" s="25" t="s">
        <v>1329</v>
      </c>
      <c r="D27" s="25">
        <v>24</v>
      </c>
      <c r="E27" s="25" t="s">
        <v>710</v>
      </c>
      <c r="F27" s="25" t="s">
        <v>1153</v>
      </c>
      <c r="G27" s="25" t="s">
        <v>698</v>
      </c>
      <c r="H27" s="25" t="s">
        <v>1153</v>
      </c>
      <c r="I27" s="25">
        <v>3000</v>
      </c>
      <c r="J27" s="25" t="s">
        <v>1321</v>
      </c>
      <c r="K27" s="25" t="s">
        <v>695</v>
      </c>
    </row>
    <row r="28" spans="1:11" ht="18.75" x14ac:dyDescent="0.3">
      <c r="A28" s="25" t="s">
        <v>343</v>
      </c>
      <c r="B28" s="25" t="s">
        <v>344</v>
      </c>
      <c r="C28" s="25" t="s">
        <v>1329</v>
      </c>
      <c r="D28" s="25">
        <v>25</v>
      </c>
      <c r="E28" s="25" t="s">
        <v>718</v>
      </c>
      <c r="F28" s="25" t="s">
        <v>1156</v>
      </c>
      <c r="G28" s="25" t="s">
        <v>698</v>
      </c>
      <c r="H28" s="25" t="s">
        <v>1156</v>
      </c>
      <c r="I28" s="25">
        <v>3000</v>
      </c>
      <c r="J28" s="25" t="s">
        <v>1321</v>
      </c>
      <c r="K28" s="25" t="s">
        <v>695</v>
      </c>
    </row>
    <row r="29" spans="1:11" ht="18.75" x14ac:dyDescent="0.3">
      <c r="A29" s="25" t="s">
        <v>345</v>
      </c>
      <c r="B29" s="25" t="s">
        <v>346</v>
      </c>
      <c r="C29" s="25" t="s">
        <v>1329</v>
      </c>
      <c r="D29" s="25">
        <v>26</v>
      </c>
      <c r="E29" s="25" t="s">
        <v>876</v>
      </c>
      <c r="F29" s="25" t="s">
        <v>1158</v>
      </c>
      <c r="G29" s="25" t="s">
        <v>698</v>
      </c>
      <c r="H29" s="25" t="s">
        <v>1158</v>
      </c>
      <c r="I29" s="25">
        <v>3000</v>
      </c>
      <c r="J29" s="25" t="s">
        <v>1321</v>
      </c>
      <c r="K29" s="25" t="s">
        <v>695</v>
      </c>
    </row>
    <row r="30" spans="1:11" ht="18.75" x14ac:dyDescent="0.3">
      <c r="A30" s="25" t="s">
        <v>412</v>
      </c>
      <c r="B30" s="25" t="s">
        <v>413</v>
      </c>
      <c r="C30" s="25" t="s">
        <v>1331</v>
      </c>
      <c r="D30" s="25">
        <v>40</v>
      </c>
      <c r="E30" s="25" t="s">
        <v>774</v>
      </c>
      <c r="F30" s="25" t="s">
        <v>1149</v>
      </c>
      <c r="G30" s="25" t="s">
        <v>698</v>
      </c>
      <c r="H30" s="25" t="s">
        <v>1149</v>
      </c>
      <c r="I30" s="25">
        <v>4000</v>
      </c>
      <c r="J30" s="25" t="s">
        <v>1321</v>
      </c>
      <c r="K30" s="25" t="s">
        <v>695</v>
      </c>
    </row>
    <row r="31" spans="1:11" ht="18.75" x14ac:dyDescent="0.3">
      <c r="A31" s="25" t="s">
        <v>422</v>
      </c>
      <c r="B31" s="25" t="s">
        <v>423</v>
      </c>
      <c r="C31" s="25" t="s">
        <v>1331</v>
      </c>
      <c r="D31" s="25">
        <v>45</v>
      </c>
      <c r="E31" s="25" t="s">
        <v>743</v>
      </c>
      <c r="F31" s="25" t="s">
        <v>1136</v>
      </c>
      <c r="G31" s="25" t="s">
        <v>698</v>
      </c>
      <c r="H31" s="25" t="s">
        <v>1136</v>
      </c>
      <c r="I31" s="25">
        <v>5000</v>
      </c>
      <c r="J31" s="25" t="s">
        <v>1321</v>
      </c>
      <c r="K31" s="25" t="s">
        <v>695</v>
      </c>
    </row>
    <row r="32" spans="1:11" ht="18.75" x14ac:dyDescent="0.3">
      <c r="A32" s="25" t="s">
        <v>430</v>
      </c>
      <c r="B32" s="25" t="s">
        <v>431</v>
      </c>
      <c r="C32" s="25" t="s">
        <v>1331</v>
      </c>
      <c r="D32" s="25">
        <v>49</v>
      </c>
      <c r="E32" s="25" t="s">
        <v>872</v>
      </c>
      <c r="F32" s="25" t="s">
        <v>1143</v>
      </c>
      <c r="G32" s="25" t="s">
        <v>698</v>
      </c>
      <c r="H32" s="25" t="s">
        <v>1143</v>
      </c>
      <c r="I32" s="25">
        <v>5000</v>
      </c>
      <c r="J32" s="25" t="s">
        <v>1321</v>
      </c>
      <c r="K32" s="25" t="s">
        <v>695</v>
      </c>
    </row>
    <row r="33" spans="1:11" ht="18.75" x14ac:dyDescent="0.3">
      <c r="A33" s="25" t="s">
        <v>433</v>
      </c>
      <c r="B33" s="25" t="s">
        <v>434</v>
      </c>
      <c r="C33" s="25" t="s">
        <v>1331</v>
      </c>
      <c r="D33" s="25">
        <v>50</v>
      </c>
      <c r="E33" s="25" t="s">
        <v>865</v>
      </c>
      <c r="F33" s="25" t="s">
        <v>1141</v>
      </c>
      <c r="G33" s="25" t="s">
        <v>698</v>
      </c>
      <c r="H33" s="25" t="s">
        <v>1141</v>
      </c>
      <c r="I33" s="25">
        <v>5000</v>
      </c>
      <c r="J33" s="25" t="s">
        <v>1321</v>
      </c>
      <c r="K33" s="25" t="s">
        <v>695</v>
      </c>
    </row>
    <row r="34" spans="1:11" ht="18.75" x14ac:dyDescent="0.3">
      <c r="A34" s="25" t="s">
        <v>437</v>
      </c>
      <c r="B34" s="25" t="s">
        <v>438</v>
      </c>
      <c r="C34" s="25" t="s">
        <v>1331</v>
      </c>
      <c r="D34" s="25">
        <v>52</v>
      </c>
      <c r="E34" s="25" t="s">
        <v>825</v>
      </c>
      <c r="F34" s="25" t="s">
        <v>1146</v>
      </c>
      <c r="G34" s="25" t="s">
        <v>698</v>
      </c>
      <c r="H34" s="25" t="s">
        <v>1146</v>
      </c>
      <c r="I34" s="25">
        <v>4000</v>
      </c>
      <c r="J34" s="25" t="s">
        <v>1321</v>
      </c>
      <c r="K34" s="25" t="s">
        <v>695</v>
      </c>
    </row>
    <row r="35" spans="1:11" ht="18.75" x14ac:dyDescent="0.3">
      <c r="A35" s="25" t="s">
        <v>439</v>
      </c>
      <c r="B35" s="25" t="s">
        <v>440</v>
      </c>
      <c r="C35" s="25" t="s">
        <v>1331</v>
      </c>
      <c r="D35" s="25">
        <v>53</v>
      </c>
      <c r="E35" s="25" t="s">
        <v>870</v>
      </c>
      <c r="F35" s="25" t="s">
        <v>1132</v>
      </c>
      <c r="G35" s="25" t="s">
        <v>698</v>
      </c>
      <c r="H35" s="25" t="s">
        <v>1132</v>
      </c>
      <c r="I35" s="25">
        <v>5000</v>
      </c>
      <c r="J35" s="25" t="s">
        <v>1321</v>
      </c>
      <c r="K35" s="25" t="s">
        <v>695</v>
      </c>
    </row>
    <row r="36" spans="1:11" ht="18.75" x14ac:dyDescent="0.3">
      <c r="A36" s="25" t="s">
        <v>449</v>
      </c>
      <c r="B36" s="25" t="s">
        <v>450</v>
      </c>
      <c r="C36" s="25" t="s">
        <v>1331</v>
      </c>
      <c r="D36" s="25">
        <v>58</v>
      </c>
      <c r="E36" s="25" t="s">
        <v>803</v>
      </c>
      <c r="F36" s="25" t="s">
        <v>1137</v>
      </c>
      <c r="G36" s="25" t="s">
        <v>698</v>
      </c>
      <c r="H36" s="25" t="s">
        <v>1137</v>
      </c>
      <c r="I36" s="25">
        <v>5000</v>
      </c>
      <c r="J36" s="25" t="s">
        <v>1321</v>
      </c>
      <c r="K36" s="25" t="s">
        <v>695</v>
      </c>
    </row>
    <row r="37" spans="1:11" ht="18.75" x14ac:dyDescent="0.3">
      <c r="A37" s="25" t="s">
        <v>451</v>
      </c>
      <c r="B37" s="25" t="s">
        <v>452</v>
      </c>
      <c r="C37" s="25" t="s">
        <v>1331</v>
      </c>
      <c r="D37" s="25">
        <v>59</v>
      </c>
      <c r="E37" s="25" t="s">
        <v>842</v>
      </c>
      <c r="F37" s="25" t="s">
        <v>1139</v>
      </c>
      <c r="G37" s="25" t="s">
        <v>698</v>
      </c>
      <c r="H37" s="25" t="s">
        <v>1139</v>
      </c>
      <c r="I37" s="25">
        <v>5000</v>
      </c>
      <c r="J37" s="25" t="s">
        <v>1321</v>
      </c>
      <c r="K37" s="25" t="s">
        <v>695</v>
      </c>
    </row>
    <row r="38" spans="1:11" ht="18.75" x14ac:dyDescent="0.3">
      <c r="A38" s="25" t="s">
        <v>454</v>
      </c>
      <c r="B38" s="25" t="s">
        <v>455</v>
      </c>
      <c r="C38" s="25" t="s">
        <v>1331</v>
      </c>
      <c r="D38" s="25">
        <v>60</v>
      </c>
      <c r="E38" s="25" t="s">
        <v>838</v>
      </c>
      <c r="F38" s="25" t="s">
        <v>1150</v>
      </c>
      <c r="G38" s="25" t="s">
        <v>698</v>
      </c>
      <c r="H38" s="25" t="s">
        <v>1150</v>
      </c>
      <c r="I38" s="25">
        <v>4000</v>
      </c>
      <c r="J38" s="25" t="s">
        <v>1321</v>
      </c>
      <c r="K38" s="25" t="s">
        <v>695</v>
      </c>
    </row>
    <row r="39" spans="1:11" ht="18.75" x14ac:dyDescent="0.3">
      <c r="A39" s="25" t="s">
        <v>470</v>
      </c>
      <c r="B39" s="25" t="s">
        <v>471</v>
      </c>
      <c r="C39" s="25" t="s">
        <v>1331</v>
      </c>
      <c r="D39" s="25">
        <v>68</v>
      </c>
      <c r="E39" s="25" t="s">
        <v>847</v>
      </c>
      <c r="F39" s="25" t="s">
        <v>1151</v>
      </c>
      <c r="G39" s="25" t="s">
        <v>698</v>
      </c>
      <c r="H39" s="25" t="s">
        <v>1151</v>
      </c>
      <c r="I39" s="25">
        <v>4000</v>
      </c>
      <c r="J39" s="25" t="s">
        <v>1321</v>
      </c>
      <c r="K39" s="25" t="s">
        <v>695</v>
      </c>
    </row>
    <row r="40" spans="1:11" ht="18.75" x14ac:dyDescent="0.3">
      <c r="A40" s="25" t="s">
        <v>472</v>
      </c>
      <c r="B40" s="25" t="s">
        <v>473</v>
      </c>
      <c r="C40" s="25" t="s">
        <v>1331</v>
      </c>
      <c r="D40" s="25">
        <v>69</v>
      </c>
      <c r="E40" s="25" t="s">
        <v>860</v>
      </c>
      <c r="F40" s="25" t="s">
        <v>1140</v>
      </c>
      <c r="G40" s="25" t="s">
        <v>698</v>
      </c>
      <c r="H40" s="25" t="s">
        <v>1140</v>
      </c>
      <c r="I40" s="25">
        <v>5000</v>
      </c>
      <c r="J40" s="25" t="s">
        <v>1321</v>
      </c>
      <c r="K40" s="25" t="s">
        <v>695</v>
      </c>
    </row>
    <row r="41" spans="1:11" ht="18.75" x14ac:dyDescent="0.3">
      <c r="A41" s="25" t="s">
        <v>475</v>
      </c>
      <c r="B41" s="25" t="s">
        <v>476</v>
      </c>
      <c r="C41" s="25" t="s">
        <v>1331</v>
      </c>
      <c r="D41" s="25">
        <v>70</v>
      </c>
      <c r="E41" s="25" t="s">
        <v>833</v>
      </c>
      <c r="F41" s="25" t="s">
        <v>1138</v>
      </c>
      <c r="G41" s="25" t="s">
        <v>698</v>
      </c>
      <c r="H41" s="25" t="s">
        <v>1138</v>
      </c>
      <c r="I41" s="25">
        <v>5000</v>
      </c>
      <c r="J41" s="25" t="s">
        <v>1321</v>
      </c>
      <c r="K41" s="25" t="s">
        <v>695</v>
      </c>
    </row>
    <row r="42" spans="1:11" ht="18.75" x14ac:dyDescent="0.3">
      <c r="A42" s="25" t="s">
        <v>339</v>
      </c>
      <c r="B42" s="25" t="s">
        <v>340</v>
      </c>
      <c r="C42" s="25" t="s">
        <v>1329</v>
      </c>
      <c r="D42" s="25">
        <v>23</v>
      </c>
      <c r="E42" s="25" t="s">
        <v>797</v>
      </c>
      <c r="F42" s="25" t="s">
        <v>1154</v>
      </c>
      <c r="G42" s="25" t="s">
        <v>1316</v>
      </c>
      <c r="H42" s="25" t="s">
        <v>1325</v>
      </c>
      <c r="I42" s="25">
        <v>3000</v>
      </c>
      <c r="J42" s="25" t="s">
        <v>1321</v>
      </c>
      <c r="K42" s="25" t="s">
        <v>695</v>
      </c>
    </row>
    <row r="43" spans="1:11" ht="18.75" x14ac:dyDescent="0.3">
      <c r="A43" s="25" t="s">
        <v>364</v>
      </c>
      <c r="B43" s="25" t="s">
        <v>365</v>
      </c>
      <c r="C43" s="25" t="s">
        <v>1332</v>
      </c>
      <c r="D43" s="25">
        <v>12</v>
      </c>
      <c r="E43" s="25" t="s">
        <v>839</v>
      </c>
      <c r="F43" s="25" t="s">
        <v>1162</v>
      </c>
      <c r="G43" s="25" t="s">
        <v>700</v>
      </c>
      <c r="H43" s="25" t="s">
        <v>1162</v>
      </c>
      <c r="I43" s="25">
        <v>3000</v>
      </c>
      <c r="J43" s="25" t="s">
        <v>1321</v>
      </c>
      <c r="K43" s="25" t="s">
        <v>695</v>
      </c>
    </row>
    <row r="44" spans="1:11" ht="18.75" x14ac:dyDescent="0.3">
      <c r="A44" s="25" t="s">
        <v>308</v>
      </c>
      <c r="B44" s="25" t="s">
        <v>306</v>
      </c>
      <c r="C44" s="25" t="s">
        <v>1330</v>
      </c>
      <c r="D44" s="25">
        <v>39</v>
      </c>
      <c r="E44" s="25" t="s">
        <v>855</v>
      </c>
      <c r="F44" s="25" t="s">
        <v>1195</v>
      </c>
      <c r="G44" s="25" t="s">
        <v>699</v>
      </c>
      <c r="H44" s="25" t="s">
        <v>1195</v>
      </c>
      <c r="I44" s="25">
        <v>500</v>
      </c>
      <c r="J44" s="25" t="s">
        <v>1321</v>
      </c>
      <c r="K44" s="25" t="s">
        <v>695</v>
      </c>
    </row>
    <row r="45" spans="1:11" ht="18.75" x14ac:dyDescent="0.3">
      <c r="A45" s="25" t="s">
        <v>366</v>
      </c>
      <c r="B45" s="25" t="s">
        <v>367</v>
      </c>
      <c r="C45" s="25" t="s">
        <v>1332</v>
      </c>
      <c r="D45" s="25">
        <v>2</v>
      </c>
      <c r="E45" s="25" t="s">
        <v>795</v>
      </c>
      <c r="F45" s="25" t="s">
        <v>1166</v>
      </c>
      <c r="G45" s="25" t="s">
        <v>699</v>
      </c>
      <c r="H45" s="25" t="s">
        <v>1166</v>
      </c>
      <c r="I45" s="25">
        <v>4000</v>
      </c>
      <c r="J45" s="25" t="s">
        <v>1321</v>
      </c>
      <c r="K45" s="25" t="s">
        <v>695</v>
      </c>
    </row>
    <row r="46" spans="1:11" ht="18.75" x14ac:dyDescent="0.3">
      <c r="A46" s="25" t="s">
        <v>368</v>
      </c>
      <c r="B46" s="25" t="s">
        <v>369</v>
      </c>
      <c r="C46" s="25" t="s">
        <v>1332</v>
      </c>
      <c r="D46" s="25">
        <v>3</v>
      </c>
      <c r="E46" s="25" t="s">
        <v>796</v>
      </c>
      <c r="F46" s="25" t="s">
        <v>1184</v>
      </c>
      <c r="G46" s="25" t="s">
        <v>699</v>
      </c>
      <c r="H46" s="25" t="s">
        <v>1184</v>
      </c>
      <c r="I46" s="25">
        <v>3000</v>
      </c>
      <c r="J46" s="25" t="s">
        <v>1321</v>
      </c>
      <c r="K46" s="25" t="s">
        <v>695</v>
      </c>
    </row>
    <row r="47" spans="1:11" ht="18.75" x14ac:dyDescent="0.3">
      <c r="A47" s="25" t="s">
        <v>2</v>
      </c>
      <c r="B47" s="25" t="s">
        <v>266</v>
      </c>
      <c r="C47" s="25" t="s">
        <v>1330</v>
      </c>
      <c r="D47" s="25">
        <v>2</v>
      </c>
      <c r="E47" s="25" t="s">
        <v>750</v>
      </c>
      <c r="F47" s="25" t="s">
        <v>109</v>
      </c>
      <c r="G47" s="25"/>
      <c r="H47" s="25"/>
      <c r="I47" s="25"/>
      <c r="J47" s="25" t="s">
        <v>1327</v>
      </c>
      <c r="K47" s="25" t="s">
        <v>1336</v>
      </c>
    </row>
    <row r="48" spans="1:11" ht="18.75" x14ac:dyDescent="0.3">
      <c r="A48" s="25" t="s">
        <v>3</v>
      </c>
      <c r="B48" s="25" t="s">
        <v>287</v>
      </c>
      <c r="C48" s="25" t="s">
        <v>1330</v>
      </c>
      <c r="D48" s="25">
        <v>3</v>
      </c>
      <c r="E48" s="25" t="s">
        <v>709</v>
      </c>
      <c r="F48" s="25" t="s">
        <v>110</v>
      </c>
      <c r="G48" s="25"/>
      <c r="H48" s="25"/>
      <c r="I48" s="25"/>
      <c r="J48" s="25" t="s">
        <v>1327</v>
      </c>
      <c r="K48" s="25" t="s">
        <v>1336</v>
      </c>
    </row>
    <row r="49" spans="1:11" ht="18.75" x14ac:dyDescent="0.3">
      <c r="A49" s="25" t="s">
        <v>7</v>
      </c>
      <c r="B49" s="25" t="s">
        <v>307</v>
      </c>
      <c r="C49" s="25" t="s">
        <v>1330</v>
      </c>
      <c r="D49" s="25">
        <v>4</v>
      </c>
      <c r="E49" s="25" t="s">
        <v>704</v>
      </c>
      <c r="F49" s="25" t="s">
        <v>115</v>
      </c>
      <c r="G49" s="25"/>
      <c r="H49" s="25"/>
      <c r="I49" s="25"/>
      <c r="J49" s="25" t="s">
        <v>1327</v>
      </c>
      <c r="K49" s="25" t="s">
        <v>1336</v>
      </c>
    </row>
    <row r="50" spans="1:11" ht="18.75" x14ac:dyDescent="0.3">
      <c r="A50" s="25" t="s">
        <v>8</v>
      </c>
      <c r="B50" s="25" t="s">
        <v>311</v>
      </c>
      <c r="C50" s="25" t="s">
        <v>1330</v>
      </c>
      <c r="D50" s="25">
        <v>5</v>
      </c>
      <c r="E50" s="25" t="s">
        <v>722</v>
      </c>
      <c r="F50" s="25" t="s">
        <v>116</v>
      </c>
      <c r="G50" s="25"/>
      <c r="H50" s="25"/>
      <c r="I50" s="25"/>
      <c r="J50" s="25" t="s">
        <v>1327</v>
      </c>
      <c r="K50" s="25" t="s">
        <v>1336</v>
      </c>
    </row>
    <row r="51" spans="1:11" ht="18.75" x14ac:dyDescent="0.3">
      <c r="A51" s="25" t="s">
        <v>55</v>
      </c>
      <c r="B51" s="25" t="s">
        <v>312</v>
      </c>
      <c r="C51" s="25" t="s">
        <v>1330</v>
      </c>
      <c r="D51" s="25">
        <v>6</v>
      </c>
      <c r="E51" s="25" t="s">
        <v>762</v>
      </c>
      <c r="F51" s="25" t="s">
        <v>166</v>
      </c>
      <c r="G51" s="25"/>
      <c r="H51" s="25"/>
      <c r="I51" s="25"/>
      <c r="J51" s="25" t="s">
        <v>1327</v>
      </c>
      <c r="K51" s="25" t="s">
        <v>1336</v>
      </c>
    </row>
    <row r="52" spans="1:11" ht="18.75" x14ac:dyDescent="0.3">
      <c r="A52" s="25" t="s">
        <v>56</v>
      </c>
      <c r="B52" s="25" t="s">
        <v>313</v>
      </c>
      <c r="C52" s="25" t="s">
        <v>1330</v>
      </c>
      <c r="D52" s="25">
        <v>7</v>
      </c>
      <c r="E52" s="25" t="s">
        <v>742</v>
      </c>
      <c r="F52" s="25" t="s">
        <v>168</v>
      </c>
      <c r="G52" s="25"/>
      <c r="H52" s="25"/>
      <c r="I52" s="25"/>
      <c r="J52" s="25" t="s">
        <v>1327</v>
      </c>
      <c r="K52" s="25" t="s">
        <v>1336</v>
      </c>
    </row>
    <row r="53" spans="1:11" ht="18.75" x14ac:dyDescent="0.3">
      <c r="A53" s="25" t="s">
        <v>57</v>
      </c>
      <c r="B53" s="25" t="s">
        <v>314</v>
      </c>
      <c r="C53" s="25" t="s">
        <v>1330</v>
      </c>
      <c r="D53" s="25">
        <v>8</v>
      </c>
      <c r="E53" s="25" t="s">
        <v>768</v>
      </c>
      <c r="F53" s="25" t="s">
        <v>169</v>
      </c>
      <c r="G53" s="25"/>
      <c r="H53" s="25"/>
      <c r="I53" s="25"/>
      <c r="J53" s="25" t="s">
        <v>1327</v>
      </c>
      <c r="K53" s="25" t="s">
        <v>1336</v>
      </c>
    </row>
    <row r="54" spans="1:11" ht="18.75" x14ac:dyDescent="0.3">
      <c r="A54" s="25" t="s">
        <v>58</v>
      </c>
      <c r="B54" s="25" t="s">
        <v>315</v>
      </c>
      <c r="C54" s="25" t="s">
        <v>1330</v>
      </c>
      <c r="D54" s="25">
        <v>9</v>
      </c>
      <c r="E54" s="25" t="s">
        <v>724</v>
      </c>
      <c r="F54" s="25" t="s">
        <v>171</v>
      </c>
      <c r="G54" s="25"/>
      <c r="H54" s="25"/>
      <c r="I54" s="25"/>
      <c r="J54" s="25" t="s">
        <v>1327</v>
      </c>
      <c r="K54" s="25" t="s">
        <v>1336</v>
      </c>
    </row>
    <row r="55" spans="1:11" ht="18.75" x14ac:dyDescent="0.3">
      <c r="A55" s="25" t="s">
        <v>75</v>
      </c>
      <c r="B55" s="25" t="s">
        <v>251</v>
      </c>
      <c r="C55" s="25" t="s">
        <v>1330</v>
      </c>
      <c r="D55" s="25">
        <v>10</v>
      </c>
      <c r="E55" s="25" t="s">
        <v>827</v>
      </c>
      <c r="F55" s="25" t="s">
        <v>192</v>
      </c>
      <c r="G55" s="25"/>
      <c r="H55" s="25"/>
      <c r="I55" s="25"/>
      <c r="J55" s="25" t="s">
        <v>1327</v>
      </c>
      <c r="K55" s="25" t="s">
        <v>1336</v>
      </c>
    </row>
    <row r="56" spans="1:11" ht="18.75" x14ac:dyDescent="0.3">
      <c r="A56" s="25" t="s">
        <v>76</v>
      </c>
      <c r="B56" s="25" t="s">
        <v>252</v>
      </c>
      <c r="C56" s="25" t="s">
        <v>1330</v>
      </c>
      <c r="D56" s="25">
        <v>11</v>
      </c>
      <c r="E56" s="25" t="s">
        <v>814</v>
      </c>
      <c r="F56" s="25" t="s">
        <v>193</v>
      </c>
      <c r="G56" s="25"/>
      <c r="H56" s="25"/>
      <c r="I56" s="25"/>
      <c r="J56" s="25" t="s">
        <v>1327</v>
      </c>
      <c r="K56" s="25" t="s">
        <v>1336</v>
      </c>
    </row>
    <row r="57" spans="1:11" ht="18.75" x14ac:dyDescent="0.3">
      <c r="A57" s="25" t="s">
        <v>77</v>
      </c>
      <c r="B57" s="25" t="s">
        <v>253</v>
      </c>
      <c r="C57" s="25" t="s">
        <v>1330</v>
      </c>
      <c r="D57" s="25">
        <v>12</v>
      </c>
      <c r="E57" s="25" t="s">
        <v>730</v>
      </c>
      <c r="F57" s="25" t="s">
        <v>1214</v>
      </c>
      <c r="G57" s="25"/>
      <c r="H57" s="25"/>
      <c r="I57" s="25"/>
      <c r="J57" s="25" t="s">
        <v>1327</v>
      </c>
      <c r="K57" s="25" t="s">
        <v>1336</v>
      </c>
    </row>
    <row r="58" spans="1:11" ht="18.75" x14ac:dyDescent="0.3">
      <c r="A58" s="25" t="s">
        <v>78</v>
      </c>
      <c r="B58" s="25" t="s">
        <v>254</v>
      </c>
      <c r="C58" s="25" t="s">
        <v>1330</v>
      </c>
      <c r="D58" s="25">
        <v>13</v>
      </c>
      <c r="E58" s="25" t="s">
        <v>822</v>
      </c>
      <c r="F58" s="25" t="s">
        <v>195</v>
      </c>
      <c r="G58" s="25"/>
      <c r="H58" s="25"/>
      <c r="I58" s="25"/>
      <c r="J58" s="25" t="s">
        <v>1327</v>
      </c>
      <c r="K58" s="25" t="s">
        <v>1336</v>
      </c>
    </row>
    <row r="59" spans="1:11" ht="18.75" x14ac:dyDescent="0.3">
      <c r="A59" s="25" t="s">
        <v>230</v>
      </c>
      <c r="B59" s="25" t="s">
        <v>255</v>
      </c>
      <c r="C59" s="25" t="s">
        <v>1330</v>
      </c>
      <c r="D59" s="25">
        <v>14</v>
      </c>
      <c r="E59" s="25" t="s">
        <v>725</v>
      </c>
      <c r="F59" s="25" t="s">
        <v>1124</v>
      </c>
      <c r="G59" s="25"/>
      <c r="H59" s="25"/>
      <c r="I59" s="25"/>
      <c r="J59" s="25" t="s">
        <v>1327</v>
      </c>
      <c r="K59" s="25" t="s">
        <v>1336</v>
      </c>
    </row>
    <row r="60" spans="1:11" ht="18.75" x14ac:dyDescent="0.3">
      <c r="A60" s="25" t="s">
        <v>74</v>
      </c>
      <c r="B60" s="25" t="s">
        <v>1333</v>
      </c>
      <c r="C60" s="25" t="s">
        <v>1330</v>
      </c>
      <c r="D60" s="25">
        <v>40</v>
      </c>
      <c r="E60" s="25" t="s">
        <v>880</v>
      </c>
      <c r="F60" s="25" t="s">
        <v>191</v>
      </c>
      <c r="G60" s="25"/>
      <c r="H60" s="25"/>
      <c r="I60" s="25"/>
      <c r="J60" s="25" t="s">
        <v>1327</v>
      </c>
      <c r="K60" s="25" t="s">
        <v>1336</v>
      </c>
    </row>
    <row r="61" spans="1:11" ht="18.75" x14ac:dyDescent="0.3">
      <c r="A61" s="25" t="s">
        <v>72</v>
      </c>
      <c r="B61" s="25" t="s">
        <v>309</v>
      </c>
      <c r="C61" s="25" t="s">
        <v>1330</v>
      </c>
      <c r="D61" s="25">
        <v>41</v>
      </c>
      <c r="E61" s="25" t="s">
        <v>879</v>
      </c>
      <c r="F61" s="25" t="s">
        <v>188</v>
      </c>
      <c r="G61" s="25"/>
      <c r="H61" s="25"/>
      <c r="I61" s="25"/>
      <c r="J61" s="25" t="s">
        <v>1327</v>
      </c>
      <c r="K61" s="25" t="s">
        <v>1336</v>
      </c>
    </row>
    <row r="62" spans="1:11" ht="18.75" x14ac:dyDescent="0.3">
      <c r="A62" s="25" t="s">
        <v>73</v>
      </c>
      <c r="B62" s="25" t="s">
        <v>310</v>
      </c>
      <c r="C62" s="25" t="s">
        <v>1330</v>
      </c>
      <c r="D62" s="25">
        <v>42</v>
      </c>
      <c r="E62" s="25" t="s">
        <v>864</v>
      </c>
      <c r="F62" s="25" t="s">
        <v>189</v>
      </c>
      <c r="G62" s="25"/>
      <c r="H62" s="25"/>
      <c r="I62" s="25"/>
      <c r="J62" s="25" t="s">
        <v>1327</v>
      </c>
      <c r="K62" s="25" t="s">
        <v>1336</v>
      </c>
    </row>
    <row r="63" spans="1:11" ht="18.75" x14ac:dyDescent="0.3">
      <c r="A63" s="25" t="s">
        <v>9</v>
      </c>
      <c r="B63" s="25" t="s">
        <v>316</v>
      </c>
      <c r="C63" s="25" t="s">
        <v>1329</v>
      </c>
      <c r="D63" s="25">
        <v>1</v>
      </c>
      <c r="E63" s="25" t="s">
        <v>759</v>
      </c>
      <c r="F63" s="25" t="s">
        <v>120</v>
      </c>
      <c r="G63" s="25"/>
      <c r="H63" s="25"/>
      <c r="I63" s="25"/>
      <c r="J63" s="25" t="s">
        <v>1327</v>
      </c>
      <c r="K63" s="25" t="s">
        <v>1336</v>
      </c>
    </row>
    <row r="64" spans="1:11" ht="18.75" x14ac:dyDescent="0.3">
      <c r="A64" s="25" t="s">
        <v>60</v>
      </c>
      <c r="B64" s="25" t="s">
        <v>350</v>
      </c>
      <c r="C64" s="25" t="s">
        <v>1329</v>
      </c>
      <c r="D64" s="25">
        <v>3</v>
      </c>
      <c r="E64" s="25" t="s">
        <v>716</v>
      </c>
      <c r="F64" s="25" t="s">
        <v>174</v>
      </c>
      <c r="G64" s="25"/>
      <c r="H64" s="25"/>
      <c r="I64" s="25"/>
      <c r="J64" s="25" t="s">
        <v>1327</v>
      </c>
      <c r="K64" s="25" t="s">
        <v>1336</v>
      </c>
    </row>
    <row r="65" spans="1:11" ht="18.75" x14ac:dyDescent="0.3">
      <c r="A65" s="25" t="s">
        <v>61</v>
      </c>
      <c r="B65" s="25" t="s">
        <v>353</v>
      </c>
      <c r="C65" s="25" t="s">
        <v>1329</v>
      </c>
      <c r="D65" s="25">
        <v>4</v>
      </c>
      <c r="E65" s="25" t="s">
        <v>719</v>
      </c>
      <c r="F65" s="25" t="s">
        <v>176</v>
      </c>
      <c r="G65" s="25"/>
      <c r="H65" s="25"/>
      <c r="I65" s="25"/>
      <c r="J65" s="25" t="s">
        <v>1327</v>
      </c>
      <c r="K65" s="25" t="s">
        <v>1336</v>
      </c>
    </row>
    <row r="66" spans="1:11" ht="18.75" x14ac:dyDescent="0.3">
      <c r="A66" s="25" t="s">
        <v>62</v>
      </c>
      <c r="B66" s="25" t="s">
        <v>354</v>
      </c>
      <c r="C66" s="25" t="s">
        <v>1329</v>
      </c>
      <c r="D66" s="25">
        <v>5</v>
      </c>
      <c r="E66" s="25" t="s">
        <v>767</v>
      </c>
      <c r="F66" s="25" t="s">
        <v>178</v>
      </c>
      <c r="G66" s="25"/>
      <c r="H66" s="25"/>
      <c r="I66" s="25"/>
      <c r="J66" s="25" t="s">
        <v>1327</v>
      </c>
      <c r="K66" s="25" t="s">
        <v>1336</v>
      </c>
    </row>
    <row r="67" spans="1:11" ht="18.75" x14ac:dyDescent="0.3">
      <c r="A67" s="25" t="s">
        <v>63</v>
      </c>
      <c r="B67" s="25" t="s">
        <v>355</v>
      </c>
      <c r="C67" s="25" t="s">
        <v>1329</v>
      </c>
      <c r="D67" s="25">
        <v>6</v>
      </c>
      <c r="E67" s="25" t="s">
        <v>727</v>
      </c>
      <c r="F67" s="25" t="s">
        <v>180</v>
      </c>
      <c r="G67" s="25"/>
      <c r="H67" s="25"/>
      <c r="I67" s="25"/>
      <c r="J67" s="25" t="s">
        <v>1327</v>
      </c>
      <c r="K67" s="25" t="s">
        <v>1336</v>
      </c>
    </row>
    <row r="68" spans="1:11" ht="18.75" x14ac:dyDescent="0.3">
      <c r="A68" s="25" t="s">
        <v>64</v>
      </c>
      <c r="B68" s="25" t="s">
        <v>356</v>
      </c>
      <c r="C68" s="25" t="s">
        <v>1329</v>
      </c>
      <c r="D68" s="25">
        <v>7</v>
      </c>
      <c r="E68" s="25" t="s">
        <v>771</v>
      </c>
      <c r="F68" s="25" t="s">
        <v>181</v>
      </c>
      <c r="G68" s="25"/>
      <c r="H68" s="25"/>
      <c r="I68" s="25"/>
      <c r="J68" s="25" t="s">
        <v>1327</v>
      </c>
      <c r="K68" s="25" t="s">
        <v>1336</v>
      </c>
    </row>
    <row r="69" spans="1:11" ht="18.75" x14ac:dyDescent="0.3">
      <c r="A69" s="25" t="s">
        <v>79</v>
      </c>
      <c r="B69" s="25" t="s">
        <v>358</v>
      </c>
      <c r="C69" s="25" t="s">
        <v>1329</v>
      </c>
      <c r="D69" s="25">
        <v>9</v>
      </c>
      <c r="E69" s="25" t="s">
        <v>716</v>
      </c>
      <c r="F69" s="25" t="s">
        <v>196</v>
      </c>
      <c r="G69" s="25"/>
      <c r="H69" s="25"/>
      <c r="I69" s="25"/>
      <c r="J69" s="25" t="s">
        <v>1327</v>
      </c>
      <c r="K69" s="25" t="s">
        <v>1336</v>
      </c>
    </row>
    <row r="70" spans="1:11" ht="18.75" x14ac:dyDescent="0.3">
      <c r="A70" s="25" t="s">
        <v>81</v>
      </c>
      <c r="B70" s="25" t="s">
        <v>317</v>
      </c>
      <c r="C70" s="25" t="s">
        <v>1329</v>
      </c>
      <c r="D70" s="25">
        <v>10</v>
      </c>
      <c r="E70" s="25" t="s">
        <v>772</v>
      </c>
      <c r="F70" s="25" t="s">
        <v>198</v>
      </c>
      <c r="G70" s="25"/>
      <c r="H70" s="25"/>
      <c r="I70" s="25"/>
      <c r="J70" s="25" t="s">
        <v>1327</v>
      </c>
      <c r="K70" s="25" t="s">
        <v>1336</v>
      </c>
    </row>
    <row r="71" spans="1:11" ht="18.75" x14ac:dyDescent="0.3">
      <c r="A71" s="25" t="s">
        <v>82</v>
      </c>
      <c r="B71" s="25" t="s">
        <v>318</v>
      </c>
      <c r="C71" s="25" t="s">
        <v>1329</v>
      </c>
      <c r="D71" s="25">
        <v>11</v>
      </c>
      <c r="E71" s="25" t="s">
        <v>760</v>
      </c>
      <c r="F71" s="25" t="s">
        <v>199</v>
      </c>
      <c r="G71" s="25"/>
      <c r="H71" s="25"/>
      <c r="I71" s="25"/>
      <c r="J71" s="25" t="s">
        <v>1327</v>
      </c>
      <c r="K71" s="25" t="s">
        <v>1336</v>
      </c>
    </row>
    <row r="72" spans="1:11" ht="18.75" x14ac:dyDescent="0.3">
      <c r="A72" s="25" t="s">
        <v>84</v>
      </c>
      <c r="B72" s="25" t="s">
        <v>319</v>
      </c>
      <c r="C72" s="25" t="s">
        <v>1329</v>
      </c>
      <c r="D72" s="25">
        <v>12</v>
      </c>
      <c r="E72" s="25" t="s">
        <v>840</v>
      </c>
      <c r="F72" s="25" t="s">
        <v>201</v>
      </c>
      <c r="G72" s="25"/>
      <c r="H72" s="25"/>
      <c r="I72" s="25"/>
      <c r="J72" s="25" t="s">
        <v>1327</v>
      </c>
      <c r="K72" s="25" t="s">
        <v>1336</v>
      </c>
    </row>
    <row r="73" spans="1:11" ht="18.75" x14ac:dyDescent="0.3">
      <c r="A73" s="25" t="s">
        <v>85</v>
      </c>
      <c r="B73" s="25" t="s">
        <v>320</v>
      </c>
      <c r="C73" s="25" t="s">
        <v>1329</v>
      </c>
      <c r="D73" s="25">
        <v>13</v>
      </c>
      <c r="E73" s="25" t="s">
        <v>846</v>
      </c>
      <c r="F73" s="25" t="s">
        <v>202</v>
      </c>
      <c r="G73" s="25"/>
      <c r="H73" s="25"/>
      <c r="I73" s="25"/>
      <c r="J73" s="25" t="s">
        <v>1327</v>
      </c>
      <c r="K73" s="25" t="s">
        <v>1336</v>
      </c>
    </row>
    <row r="74" spans="1:11" ht="18.75" x14ac:dyDescent="0.3">
      <c r="A74" s="25" t="s">
        <v>229</v>
      </c>
      <c r="B74" s="25" t="s">
        <v>321</v>
      </c>
      <c r="C74" s="25" t="s">
        <v>1329</v>
      </c>
      <c r="D74" s="25">
        <v>14</v>
      </c>
      <c r="E74" s="25" t="s">
        <v>738</v>
      </c>
      <c r="F74" s="25" t="s">
        <v>1125</v>
      </c>
      <c r="G74" s="25"/>
      <c r="H74" s="25"/>
      <c r="I74" s="25"/>
      <c r="J74" s="25" t="s">
        <v>1327</v>
      </c>
      <c r="K74" s="25" t="s">
        <v>1336</v>
      </c>
    </row>
    <row r="75" spans="1:11" ht="18.75" x14ac:dyDescent="0.3">
      <c r="A75" s="25" t="s">
        <v>65</v>
      </c>
      <c r="B75" s="25" t="s">
        <v>347</v>
      </c>
      <c r="C75" s="25" t="s">
        <v>1329</v>
      </c>
      <c r="D75" s="25">
        <v>27</v>
      </c>
      <c r="E75" s="25" t="s">
        <v>837</v>
      </c>
      <c r="F75" s="25" t="s">
        <v>182</v>
      </c>
      <c r="G75" s="25"/>
      <c r="H75" s="25"/>
      <c r="I75" s="25"/>
      <c r="J75" s="25" t="s">
        <v>1327</v>
      </c>
      <c r="K75" s="25" t="s">
        <v>1336</v>
      </c>
    </row>
    <row r="76" spans="1:11" ht="18.75" x14ac:dyDescent="0.3">
      <c r="A76" s="25" t="s">
        <v>80</v>
      </c>
      <c r="B76" s="25" t="s">
        <v>348</v>
      </c>
      <c r="C76" s="25" t="s">
        <v>1329</v>
      </c>
      <c r="D76" s="25">
        <v>28</v>
      </c>
      <c r="E76" s="25" t="s">
        <v>868</v>
      </c>
      <c r="F76" s="25" t="s">
        <v>197</v>
      </c>
      <c r="G76" s="25"/>
      <c r="H76" s="25"/>
      <c r="I76" s="25"/>
      <c r="J76" s="25" t="s">
        <v>1327</v>
      </c>
      <c r="K76" s="25" t="s">
        <v>1336</v>
      </c>
    </row>
    <row r="77" spans="1:11" ht="18.75" x14ac:dyDescent="0.3">
      <c r="A77" s="25" t="s">
        <v>83</v>
      </c>
      <c r="B77" s="25" t="s">
        <v>349</v>
      </c>
      <c r="C77" s="25" t="s">
        <v>1329</v>
      </c>
      <c r="D77" s="25">
        <v>29</v>
      </c>
      <c r="E77" s="25" t="s">
        <v>868</v>
      </c>
      <c r="F77" s="25" t="s">
        <v>200</v>
      </c>
      <c r="G77" s="25"/>
      <c r="H77" s="25"/>
      <c r="I77" s="25"/>
      <c r="J77" s="25" t="s">
        <v>1327</v>
      </c>
      <c r="K77" s="25" t="s">
        <v>1336</v>
      </c>
    </row>
    <row r="78" spans="1:11" ht="18.75" x14ac:dyDescent="0.3">
      <c r="A78" s="25" t="s">
        <v>86</v>
      </c>
      <c r="B78" s="25" t="s">
        <v>351</v>
      </c>
      <c r="C78" s="25" t="s">
        <v>1329</v>
      </c>
      <c r="D78" s="25">
        <v>30</v>
      </c>
      <c r="E78" s="25" t="s">
        <v>869</v>
      </c>
      <c r="F78" s="25" t="s">
        <v>204</v>
      </c>
      <c r="G78" s="25"/>
      <c r="H78" s="25"/>
      <c r="I78" s="25"/>
      <c r="J78" s="25" t="s">
        <v>1327</v>
      </c>
      <c r="K78" s="25" t="s">
        <v>1336</v>
      </c>
    </row>
    <row r="79" spans="1:11" ht="18.75" x14ac:dyDescent="0.3">
      <c r="A79" s="25" t="s">
        <v>87</v>
      </c>
      <c r="B79" s="25" t="s">
        <v>352</v>
      </c>
      <c r="C79" s="25" t="s">
        <v>1329</v>
      </c>
      <c r="D79" s="25">
        <v>31</v>
      </c>
      <c r="E79" s="25" t="s">
        <v>863</v>
      </c>
      <c r="F79" s="25" t="s">
        <v>206</v>
      </c>
      <c r="G79" s="25"/>
      <c r="H79" s="25"/>
      <c r="I79" s="25"/>
      <c r="J79" s="25" t="s">
        <v>1327</v>
      </c>
      <c r="K79" s="25" t="s">
        <v>1336</v>
      </c>
    </row>
    <row r="80" spans="1:11" ht="18.75" x14ac:dyDescent="0.3">
      <c r="A80" s="25" t="s">
        <v>89</v>
      </c>
      <c r="B80" s="25" t="s">
        <v>359</v>
      </c>
      <c r="C80" s="25" t="s">
        <v>1332</v>
      </c>
      <c r="D80" s="25">
        <v>1</v>
      </c>
      <c r="E80" s="25" t="s">
        <v>734</v>
      </c>
      <c r="F80" s="25" t="s">
        <v>210</v>
      </c>
      <c r="G80" s="25"/>
      <c r="H80" s="25"/>
      <c r="I80" s="25"/>
      <c r="J80" s="25" t="s">
        <v>1327</v>
      </c>
      <c r="K80" s="25" t="s">
        <v>1336</v>
      </c>
    </row>
    <row r="81" spans="1:11" ht="18.75" x14ac:dyDescent="0.3">
      <c r="A81" s="25" t="s">
        <v>88</v>
      </c>
      <c r="B81" s="25" t="s">
        <v>372</v>
      </c>
      <c r="C81" s="25" t="s">
        <v>1332</v>
      </c>
      <c r="D81" s="25">
        <v>5</v>
      </c>
      <c r="E81" s="25" t="s">
        <v>881</v>
      </c>
      <c r="F81" s="25" t="s">
        <v>208</v>
      </c>
      <c r="G81" s="25"/>
      <c r="H81" s="25"/>
      <c r="I81" s="25"/>
      <c r="J81" s="25" t="s">
        <v>1327</v>
      </c>
      <c r="K81" s="25" t="s">
        <v>1336</v>
      </c>
    </row>
    <row r="82" spans="1:11" ht="18.75" x14ac:dyDescent="0.3">
      <c r="A82" s="25" t="s">
        <v>67</v>
      </c>
      <c r="B82" s="25" t="s">
        <v>373</v>
      </c>
      <c r="C82" s="25" t="s">
        <v>1332</v>
      </c>
      <c r="D82" s="25">
        <v>6</v>
      </c>
      <c r="E82" s="25" t="s">
        <v>791</v>
      </c>
      <c r="F82" s="25" t="s">
        <v>184</v>
      </c>
      <c r="G82" s="25"/>
      <c r="H82" s="25"/>
      <c r="I82" s="25"/>
      <c r="J82" s="25" t="s">
        <v>1327</v>
      </c>
      <c r="K82" s="25" t="s">
        <v>1336</v>
      </c>
    </row>
    <row r="83" spans="1:11" ht="18.75" x14ac:dyDescent="0.3">
      <c r="A83" s="25" t="s">
        <v>68</v>
      </c>
      <c r="B83" s="25" t="s">
        <v>374</v>
      </c>
      <c r="C83" s="25" t="s">
        <v>1332</v>
      </c>
      <c r="D83" s="25">
        <v>7</v>
      </c>
      <c r="E83" s="25" t="s">
        <v>708</v>
      </c>
      <c r="F83" s="25" t="s">
        <v>185</v>
      </c>
      <c r="G83" s="25"/>
      <c r="H83" s="25"/>
      <c r="I83" s="25"/>
      <c r="J83" s="25" t="s">
        <v>1327</v>
      </c>
      <c r="K83" s="25" t="s">
        <v>1336</v>
      </c>
    </row>
    <row r="84" spans="1:11" ht="18.75" x14ac:dyDescent="0.3">
      <c r="A84" s="25" t="s">
        <v>69</v>
      </c>
      <c r="B84" s="25" t="s">
        <v>375</v>
      </c>
      <c r="C84" s="25" t="s">
        <v>1332</v>
      </c>
      <c r="D84" s="25">
        <v>8</v>
      </c>
      <c r="E84" s="25" t="s">
        <v>715</v>
      </c>
      <c r="F84" s="25" t="s">
        <v>186</v>
      </c>
      <c r="G84" s="25"/>
      <c r="H84" s="25"/>
      <c r="I84" s="25"/>
      <c r="J84" s="25" t="s">
        <v>1327</v>
      </c>
      <c r="K84" s="25" t="s">
        <v>1336</v>
      </c>
    </row>
    <row r="85" spans="1:11" ht="18.75" x14ac:dyDescent="0.3">
      <c r="A85" s="25" t="s">
        <v>71</v>
      </c>
      <c r="B85" s="25" t="s">
        <v>376</v>
      </c>
      <c r="C85" s="25" t="s">
        <v>1332</v>
      </c>
      <c r="D85" s="25">
        <v>9</v>
      </c>
      <c r="E85" s="25" t="s">
        <v>871</v>
      </c>
      <c r="F85" s="25" t="s">
        <v>187</v>
      </c>
      <c r="G85" s="25"/>
      <c r="H85" s="25"/>
      <c r="I85" s="25"/>
      <c r="J85" s="25" t="s">
        <v>1327</v>
      </c>
      <c r="K85" s="25" t="s">
        <v>1336</v>
      </c>
    </row>
    <row r="86" spans="1:11" ht="18.75" x14ac:dyDescent="0.3">
      <c r="A86" s="25" t="s">
        <v>4</v>
      </c>
      <c r="B86" s="25" t="s">
        <v>377</v>
      </c>
      <c r="C86" s="25" t="s">
        <v>1331</v>
      </c>
      <c r="D86" s="25">
        <v>1</v>
      </c>
      <c r="E86" s="25" t="s">
        <v>723</v>
      </c>
      <c r="F86" s="25" t="s">
        <v>111</v>
      </c>
      <c r="G86" s="25"/>
      <c r="H86" s="25"/>
      <c r="I86" s="25"/>
      <c r="J86" s="25" t="s">
        <v>1327</v>
      </c>
      <c r="K86" s="25" t="s">
        <v>1336</v>
      </c>
    </row>
    <row r="87" spans="1:11" ht="18.75" x14ac:dyDescent="0.3">
      <c r="A87" s="25" t="s">
        <v>5</v>
      </c>
      <c r="B87" s="25" t="s">
        <v>389</v>
      </c>
      <c r="C87" s="25" t="s">
        <v>1331</v>
      </c>
      <c r="D87" s="25">
        <v>2</v>
      </c>
      <c r="E87" s="25" t="s">
        <v>711</v>
      </c>
      <c r="F87" s="25" t="s">
        <v>112</v>
      </c>
      <c r="G87" s="25"/>
      <c r="H87" s="25"/>
      <c r="I87" s="25"/>
      <c r="J87" s="25" t="s">
        <v>1327</v>
      </c>
      <c r="K87" s="25" t="s">
        <v>1336</v>
      </c>
    </row>
    <row r="88" spans="1:11" ht="18.75" x14ac:dyDescent="0.3">
      <c r="A88" s="25" t="s">
        <v>6</v>
      </c>
      <c r="B88" s="25" t="s">
        <v>400</v>
      </c>
      <c r="C88" s="25" t="s">
        <v>1331</v>
      </c>
      <c r="D88" s="25">
        <v>3</v>
      </c>
      <c r="E88" s="25" t="s">
        <v>752</v>
      </c>
      <c r="F88" s="25" t="s">
        <v>113</v>
      </c>
      <c r="G88" s="25"/>
      <c r="H88" s="25"/>
      <c r="I88" s="25"/>
      <c r="J88" s="25" t="s">
        <v>1327</v>
      </c>
      <c r="K88" s="25" t="s">
        <v>1336</v>
      </c>
    </row>
    <row r="89" spans="1:11" ht="18.75" x14ac:dyDescent="0.3">
      <c r="A89" s="25" t="s">
        <v>11</v>
      </c>
      <c r="B89" s="25" t="s">
        <v>411</v>
      </c>
      <c r="C89" s="25" t="s">
        <v>1331</v>
      </c>
      <c r="D89" s="25">
        <v>4</v>
      </c>
      <c r="E89" s="25" t="s">
        <v>792</v>
      </c>
      <c r="F89" s="25" t="s">
        <v>122</v>
      </c>
      <c r="G89" s="25"/>
      <c r="H89" s="25"/>
      <c r="I89" s="25"/>
      <c r="J89" s="25" t="s">
        <v>1327</v>
      </c>
      <c r="K89" s="25" t="s">
        <v>1336</v>
      </c>
    </row>
    <row r="90" spans="1:11" ht="18.75" x14ac:dyDescent="0.3">
      <c r="A90" s="25" t="s">
        <v>12</v>
      </c>
      <c r="B90" s="25" t="s">
        <v>432</v>
      </c>
      <c r="C90" s="25" t="s">
        <v>1331</v>
      </c>
      <c r="D90" s="25">
        <v>5</v>
      </c>
      <c r="E90" s="25" t="s">
        <v>761</v>
      </c>
      <c r="F90" s="25" t="s">
        <v>1211</v>
      </c>
      <c r="G90" s="25"/>
      <c r="H90" s="25"/>
      <c r="I90" s="25"/>
      <c r="J90" s="25" t="s">
        <v>1327</v>
      </c>
      <c r="K90" s="25" t="s">
        <v>1336</v>
      </c>
    </row>
    <row r="91" spans="1:11" ht="18.75" x14ac:dyDescent="0.3">
      <c r="A91" s="25" t="s">
        <v>13</v>
      </c>
      <c r="B91" s="25" t="s">
        <v>453</v>
      </c>
      <c r="C91" s="25" t="s">
        <v>1331</v>
      </c>
      <c r="D91" s="25">
        <v>6</v>
      </c>
      <c r="E91" s="25" t="s">
        <v>777</v>
      </c>
      <c r="F91" s="25" t="s">
        <v>123</v>
      </c>
      <c r="G91" s="25"/>
      <c r="H91" s="25"/>
      <c r="I91" s="25"/>
      <c r="J91" s="25" t="s">
        <v>1327</v>
      </c>
      <c r="K91" s="25" t="s">
        <v>1336</v>
      </c>
    </row>
    <row r="92" spans="1:11" ht="18.75" x14ac:dyDescent="0.3">
      <c r="A92" s="25" t="s">
        <v>15</v>
      </c>
      <c r="B92" s="25" t="s">
        <v>474</v>
      </c>
      <c r="C92" s="25" t="s">
        <v>1331</v>
      </c>
      <c r="D92" s="25">
        <v>7</v>
      </c>
      <c r="E92" s="25" t="s">
        <v>780</v>
      </c>
      <c r="F92" s="25" t="s">
        <v>125</v>
      </c>
      <c r="G92" s="25"/>
      <c r="H92" s="25"/>
      <c r="I92" s="25"/>
      <c r="J92" s="25" t="s">
        <v>1327</v>
      </c>
      <c r="K92" s="25" t="s">
        <v>1336</v>
      </c>
    </row>
    <row r="93" spans="1:11" ht="18.75" x14ac:dyDescent="0.3">
      <c r="A93" s="25" t="s">
        <v>18</v>
      </c>
      <c r="B93" s="25" t="s">
        <v>487</v>
      </c>
      <c r="C93" s="25" t="s">
        <v>1331</v>
      </c>
      <c r="D93" s="25">
        <v>8</v>
      </c>
      <c r="E93" s="25" t="s">
        <v>726</v>
      </c>
      <c r="F93" s="25" t="s">
        <v>128</v>
      </c>
      <c r="G93" s="25"/>
      <c r="H93" s="25"/>
      <c r="I93" s="25"/>
      <c r="J93" s="25" t="s">
        <v>1327</v>
      </c>
      <c r="K93" s="25" t="s">
        <v>1336</v>
      </c>
    </row>
    <row r="94" spans="1:11" ht="18.75" x14ac:dyDescent="0.3">
      <c r="A94" s="25" t="s">
        <v>20</v>
      </c>
      <c r="B94" s="25" t="s">
        <v>498</v>
      </c>
      <c r="C94" s="25" t="s">
        <v>1331</v>
      </c>
      <c r="D94" s="25">
        <v>9</v>
      </c>
      <c r="E94" s="25" t="s">
        <v>705</v>
      </c>
      <c r="F94" s="25" t="s">
        <v>130</v>
      </c>
      <c r="G94" s="25"/>
      <c r="H94" s="25"/>
      <c r="I94" s="25"/>
      <c r="J94" s="25" t="s">
        <v>1327</v>
      </c>
      <c r="K94" s="25" t="s">
        <v>1336</v>
      </c>
    </row>
    <row r="95" spans="1:11" ht="18.75" x14ac:dyDescent="0.3">
      <c r="A95" s="25" t="s">
        <v>24</v>
      </c>
      <c r="B95" s="25" t="s">
        <v>378</v>
      </c>
      <c r="C95" s="25" t="s">
        <v>1331</v>
      </c>
      <c r="D95" s="25">
        <v>10</v>
      </c>
      <c r="E95" s="25" t="s">
        <v>776</v>
      </c>
      <c r="F95" s="25" t="s">
        <v>135</v>
      </c>
      <c r="G95" s="25"/>
      <c r="H95" s="25"/>
      <c r="I95" s="25"/>
      <c r="J95" s="25" t="s">
        <v>1327</v>
      </c>
      <c r="K95" s="25" t="s">
        <v>1336</v>
      </c>
    </row>
    <row r="96" spans="1:11" ht="18.75" x14ac:dyDescent="0.3">
      <c r="A96" s="25" t="s">
        <v>26</v>
      </c>
      <c r="B96" s="25" t="s">
        <v>380</v>
      </c>
      <c r="C96" s="25" t="s">
        <v>1331</v>
      </c>
      <c r="D96" s="25">
        <v>11</v>
      </c>
      <c r="E96" s="25" t="s">
        <v>821</v>
      </c>
      <c r="F96" s="25" t="s">
        <v>137</v>
      </c>
      <c r="G96" s="25"/>
      <c r="H96" s="25"/>
      <c r="I96" s="25"/>
      <c r="J96" s="25" t="s">
        <v>1327</v>
      </c>
      <c r="K96" s="25" t="s">
        <v>1336</v>
      </c>
    </row>
    <row r="97" spans="1:11" ht="18.75" x14ac:dyDescent="0.3">
      <c r="A97" s="25" t="s">
        <v>27</v>
      </c>
      <c r="B97" s="25" t="s">
        <v>381</v>
      </c>
      <c r="C97" s="25" t="s">
        <v>1331</v>
      </c>
      <c r="D97" s="25">
        <v>12</v>
      </c>
      <c r="E97" s="25" t="s">
        <v>703</v>
      </c>
      <c r="F97" s="25" t="s">
        <v>138</v>
      </c>
      <c r="G97" s="25"/>
      <c r="H97" s="25"/>
      <c r="I97" s="25"/>
      <c r="J97" s="25" t="s">
        <v>1327</v>
      </c>
      <c r="K97" s="25" t="s">
        <v>1336</v>
      </c>
    </row>
    <row r="98" spans="1:11" ht="18.75" x14ac:dyDescent="0.3">
      <c r="A98" s="25" t="s">
        <v>28</v>
      </c>
      <c r="B98" s="25" t="s">
        <v>382</v>
      </c>
      <c r="C98" s="25" t="s">
        <v>1331</v>
      </c>
      <c r="D98" s="25">
        <v>13</v>
      </c>
      <c r="E98" s="25" t="s">
        <v>813</v>
      </c>
      <c r="F98" s="25" t="s">
        <v>139</v>
      </c>
      <c r="G98" s="25"/>
      <c r="H98" s="25"/>
      <c r="I98" s="25"/>
      <c r="J98" s="25" t="s">
        <v>1327</v>
      </c>
      <c r="K98" s="25" t="s">
        <v>1336</v>
      </c>
    </row>
    <row r="99" spans="1:11" ht="18.75" x14ac:dyDescent="0.3">
      <c r="A99" s="25" t="s">
        <v>29</v>
      </c>
      <c r="B99" s="25" t="s">
        <v>383</v>
      </c>
      <c r="C99" s="25" t="s">
        <v>1331</v>
      </c>
      <c r="D99" s="25">
        <v>14</v>
      </c>
      <c r="E99" s="25" t="s">
        <v>765</v>
      </c>
      <c r="F99" s="25" t="s">
        <v>140</v>
      </c>
      <c r="G99" s="25"/>
      <c r="H99" s="25"/>
      <c r="I99" s="25"/>
      <c r="J99" s="25" t="s">
        <v>1327</v>
      </c>
      <c r="K99" s="25" t="s">
        <v>1336</v>
      </c>
    </row>
    <row r="100" spans="1:11" ht="18.75" x14ac:dyDescent="0.3">
      <c r="A100" s="25" t="s">
        <v>32</v>
      </c>
      <c r="B100" s="25" t="s">
        <v>384</v>
      </c>
      <c r="C100" s="25" t="s">
        <v>1331</v>
      </c>
      <c r="D100" s="25">
        <v>15</v>
      </c>
      <c r="E100" s="25" t="s">
        <v>830</v>
      </c>
      <c r="F100" s="25" t="s">
        <v>143</v>
      </c>
      <c r="G100" s="25"/>
      <c r="H100" s="25"/>
      <c r="I100" s="25"/>
      <c r="J100" s="25" t="s">
        <v>1327</v>
      </c>
      <c r="K100" s="25" t="s">
        <v>1336</v>
      </c>
    </row>
    <row r="101" spans="1:11" ht="18.75" x14ac:dyDescent="0.3">
      <c r="A101" s="25" t="s">
        <v>38</v>
      </c>
      <c r="B101" s="25" t="s">
        <v>386</v>
      </c>
      <c r="C101" s="25" t="s">
        <v>1331</v>
      </c>
      <c r="D101" s="25">
        <v>17</v>
      </c>
      <c r="E101" s="25" t="s">
        <v>714</v>
      </c>
      <c r="F101" s="25" t="s">
        <v>149</v>
      </c>
      <c r="G101" s="25"/>
      <c r="H101" s="25"/>
      <c r="I101" s="25"/>
      <c r="J101" s="25" t="s">
        <v>1327</v>
      </c>
      <c r="K101" s="25" t="s">
        <v>1336</v>
      </c>
    </row>
    <row r="102" spans="1:11" ht="18.75" x14ac:dyDescent="0.3">
      <c r="A102" s="25" t="s">
        <v>39</v>
      </c>
      <c r="B102" s="25" t="s">
        <v>387</v>
      </c>
      <c r="C102" s="25" t="s">
        <v>1331</v>
      </c>
      <c r="D102" s="25">
        <v>18</v>
      </c>
      <c r="E102" s="25" t="s">
        <v>764</v>
      </c>
      <c r="F102" s="25" t="s">
        <v>150</v>
      </c>
      <c r="G102" s="25"/>
      <c r="H102" s="25"/>
      <c r="I102" s="25"/>
      <c r="J102" s="25" t="s">
        <v>1327</v>
      </c>
      <c r="K102" s="25" t="s">
        <v>1336</v>
      </c>
    </row>
    <row r="103" spans="1:11" ht="18.75" x14ac:dyDescent="0.3">
      <c r="A103" s="25" t="s">
        <v>40</v>
      </c>
      <c r="B103" s="25" t="s">
        <v>388</v>
      </c>
      <c r="C103" s="25" t="s">
        <v>1331</v>
      </c>
      <c r="D103" s="25">
        <v>19</v>
      </c>
      <c r="E103" s="25" t="s">
        <v>799</v>
      </c>
      <c r="F103" s="25" t="s">
        <v>151</v>
      </c>
      <c r="G103" s="25"/>
      <c r="H103" s="25"/>
      <c r="I103" s="25"/>
      <c r="J103" s="25" t="s">
        <v>1327</v>
      </c>
      <c r="K103" s="25" t="s">
        <v>1336</v>
      </c>
    </row>
    <row r="104" spans="1:11" ht="18.75" x14ac:dyDescent="0.3">
      <c r="A104" s="25" t="s">
        <v>41</v>
      </c>
      <c r="B104" s="25" t="s">
        <v>390</v>
      </c>
      <c r="C104" s="25" t="s">
        <v>1331</v>
      </c>
      <c r="D104" s="25">
        <v>20</v>
      </c>
      <c r="E104" s="25" t="s">
        <v>828</v>
      </c>
      <c r="F104" s="25" t="s">
        <v>152</v>
      </c>
      <c r="G104" s="25"/>
      <c r="H104" s="25"/>
      <c r="I104" s="25"/>
      <c r="J104" s="25" t="s">
        <v>1327</v>
      </c>
      <c r="K104" s="25" t="s">
        <v>1336</v>
      </c>
    </row>
    <row r="105" spans="1:11" ht="18.75" x14ac:dyDescent="0.3">
      <c r="A105" s="25" t="s">
        <v>42</v>
      </c>
      <c r="B105" s="25" t="s">
        <v>391</v>
      </c>
      <c r="C105" s="25" t="s">
        <v>1331</v>
      </c>
      <c r="D105" s="25">
        <v>21</v>
      </c>
      <c r="E105" s="25" t="s">
        <v>744</v>
      </c>
      <c r="F105" s="25" t="s">
        <v>153</v>
      </c>
      <c r="G105" s="25"/>
      <c r="H105" s="25"/>
      <c r="I105" s="25"/>
      <c r="J105" s="25" t="s">
        <v>1327</v>
      </c>
      <c r="K105" s="25" t="s">
        <v>1336</v>
      </c>
    </row>
    <row r="106" spans="1:11" ht="18.75" x14ac:dyDescent="0.3">
      <c r="A106" s="25" t="s">
        <v>44</v>
      </c>
      <c r="B106" s="25" t="s">
        <v>392</v>
      </c>
      <c r="C106" s="25" t="s">
        <v>1331</v>
      </c>
      <c r="D106" s="25">
        <v>22</v>
      </c>
      <c r="E106" s="25" t="s">
        <v>721</v>
      </c>
      <c r="F106" s="25" t="s">
        <v>155</v>
      </c>
      <c r="G106" s="25"/>
      <c r="H106" s="25"/>
      <c r="I106" s="25"/>
      <c r="J106" s="25" t="s">
        <v>1327</v>
      </c>
      <c r="K106" s="25" t="s">
        <v>1336</v>
      </c>
    </row>
    <row r="107" spans="1:11" ht="18.75" x14ac:dyDescent="0.3">
      <c r="A107" s="25" t="s">
        <v>45</v>
      </c>
      <c r="B107" s="25" t="s">
        <v>393</v>
      </c>
      <c r="C107" s="25" t="s">
        <v>1331</v>
      </c>
      <c r="D107" s="25">
        <v>23</v>
      </c>
      <c r="E107" s="25" t="s">
        <v>820</v>
      </c>
      <c r="F107" s="25" t="s">
        <v>156</v>
      </c>
      <c r="G107" s="25"/>
      <c r="H107" s="25"/>
      <c r="I107" s="25"/>
      <c r="J107" s="25" t="s">
        <v>1327</v>
      </c>
      <c r="K107" s="25" t="s">
        <v>1336</v>
      </c>
    </row>
    <row r="108" spans="1:11" ht="18.75" x14ac:dyDescent="0.3">
      <c r="A108" s="25" t="s">
        <v>46</v>
      </c>
      <c r="B108" s="25" t="s">
        <v>394</v>
      </c>
      <c r="C108" s="25" t="s">
        <v>1331</v>
      </c>
      <c r="D108" s="25">
        <v>24</v>
      </c>
      <c r="E108" s="25" t="s">
        <v>812</v>
      </c>
      <c r="F108" s="25" t="s">
        <v>157</v>
      </c>
      <c r="G108" s="25"/>
      <c r="H108" s="25"/>
      <c r="I108" s="25"/>
      <c r="J108" s="25" t="s">
        <v>1327</v>
      </c>
      <c r="K108" s="25" t="s">
        <v>1336</v>
      </c>
    </row>
    <row r="109" spans="1:11" ht="18.75" x14ac:dyDescent="0.3">
      <c r="A109" s="25" t="s">
        <v>47</v>
      </c>
      <c r="B109" s="25" t="s">
        <v>395</v>
      </c>
      <c r="C109" s="25" t="s">
        <v>1331</v>
      </c>
      <c r="D109" s="25">
        <v>25</v>
      </c>
      <c r="E109" s="25" t="s">
        <v>707</v>
      </c>
      <c r="F109" s="25" t="s">
        <v>158</v>
      </c>
      <c r="G109" s="25"/>
      <c r="H109" s="25"/>
      <c r="I109" s="25"/>
      <c r="J109" s="25" t="s">
        <v>1327</v>
      </c>
      <c r="K109" s="25" t="s">
        <v>1336</v>
      </c>
    </row>
    <row r="110" spans="1:11" ht="18.75" x14ac:dyDescent="0.3">
      <c r="A110" s="25" t="s">
        <v>48</v>
      </c>
      <c r="B110" s="25" t="s">
        <v>396</v>
      </c>
      <c r="C110" s="25" t="s">
        <v>1331</v>
      </c>
      <c r="D110" s="25">
        <v>26</v>
      </c>
      <c r="E110" s="25" t="s">
        <v>755</v>
      </c>
      <c r="F110" s="25" t="s">
        <v>160</v>
      </c>
      <c r="G110" s="25"/>
      <c r="H110" s="25"/>
      <c r="I110" s="25"/>
      <c r="J110" s="25" t="s">
        <v>1327</v>
      </c>
      <c r="K110" s="25" t="s">
        <v>1336</v>
      </c>
    </row>
    <row r="111" spans="1:11" ht="18.75" x14ac:dyDescent="0.3">
      <c r="A111" s="25" t="s">
        <v>52</v>
      </c>
      <c r="B111" s="25" t="s">
        <v>397</v>
      </c>
      <c r="C111" s="25" t="s">
        <v>1331</v>
      </c>
      <c r="D111" s="25">
        <v>27</v>
      </c>
      <c r="E111" s="25" t="s">
        <v>802</v>
      </c>
      <c r="F111" s="25" t="s">
        <v>1212</v>
      </c>
      <c r="G111" s="25"/>
      <c r="H111" s="25"/>
      <c r="I111" s="25"/>
      <c r="J111" s="25" t="s">
        <v>1327</v>
      </c>
      <c r="K111" s="25" t="s">
        <v>1336</v>
      </c>
    </row>
    <row r="112" spans="1:11" ht="18.75" x14ac:dyDescent="0.3">
      <c r="A112" s="25" t="s">
        <v>53</v>
      </c>
      <c r="B112" s="25" t="s">
        <v>398</v>
      </c>
      <c r="C112" s="25" t="s">
        <v>1331</v>
      </c>
      <c r="D112" s="25">
        <v>28</v>
      </c>
      <c r="E112" s="25" t="s">
        <v>747</v>
      </c>
      <c r="F112" s="25" t="s">
        <v>164</v>
      </c>
      <c r="G112" s="25"/>
      <c r="H112" s="25"/>
      <c r="I112" s="25"/>
      <c r="J112" s="25" t="s">
        <v>1327</v>
      </c>
      <c r="K112" s="25" t="s">
        <v>1336</v>
      </c>
    </row>
    <row r="113" spans="1:11" ht="18.75" x14ac:dyDescent="0.3">
      <c r="A113" s="25" t="s">
        <v>54</v>
      </c>
      <c r="B113" s="25" t="s">
        <v>399</v>
      </c>
      <c r="C113" s="25" t="s">
        <v>1331</v>
      </c>
      <c r="D113" s="25">
        <v>29</v>
      </c>
      <c r="E113" s="25" t="s">
        <v>731</v>
      </c>
      <c r="F113" s="25" t="s">
        <v>165</v>
      </c>
      <c r="G113" s="25"/>
      <c r="H113" s="25"/>
      <c r="I113" s="25"/>
      <c r="J113" s="25" t="s">
        <v>1327</v>
      </c>
      <c r="K113" s="25" t="s">
        <v>1336</v>
      </c>
    </row>
    <row r="114" spans="1:11" ht="18.75" x14ac:dyDescent="0.3">
      <c r="A114" s="25" t="s">
        <v>59</v>
      </c>
      <c r="B114" s="25" t="s">
        <v>401</v>
      </c>
      <c r="C114" s="25" t="s">
        <v>1331</v>
      </c>
      <c r="D114" s="25">
        <v>30</v>
      </c>
      <c r="E114" s="25" t="s">
        <v>732</v>
      </c>
      <c r="F114" s="25" t="s">
        <v>172</v>
      </c>
      <c r="G114" s="25"/>
      <c r="H114" s="25"/>
      <c r="I114" s="25"/>
      <c r="J114" s="25" t="s">
        <v>1327</v>
      </c>
      <c r="K114" s="25" t="s">
        <v>1336</v>
      </c>
    </row>
    <row r="115" spans="1:11" ht="18.75" x14ac:dyDescent="0.3">
      <c r="A115" s="25" t="s">
        <v>70</v>
      </c>
      <c r="B115" s="25" t="s">
        <v>402</v>
      </c>
      <c r="C115" s="25" t="s">
        <v>1331</v>
      </c>
      <c r="D115" s="25">
        <v>31</v>
      </c>
      <c r="E115" s="25" t="s">
        <v>713</v>
      </c>
      <c r="F115" s="25" t="s">
        <v>118</v>
      </c>
      <c r="G115" s="25"/>
      <c r="H115" s="25"/>
      <c r="I115" s="25"/>
      <c r="J115" s="25" t="s">
        <v>1327</v>
      </c>
      <c r="K115" s="25" t="s">
        <v>1336</v>
      </c>
    </row>
    <row r="116" spans="1:11" ht="18.75" x14ac:dyDescent="0.3">
      <c r="A116" s="25" t="s">
        <v>92</v>
      </c>
      <c r="B116" s="25" t="s">
        <v>403</v>
      </c>
      <c r="C116" s="25" t="s">
        <v>1331</v>
      </c>
      <c r="D116" s="25">
        <v>32</v>
      </c>
      <c r="E116" s="25" t="s">
        <v>769</v>
      </c>
      <c r="F116" s="25" t="s">
        <v>213</v>
      </c>
      <c r="G116" s="25"/>
      <c r="H116" s="25"/>
      <c r="I116" s="25"/>
      <c r="J116" s="25" t="s">
        <v>1327</v>
      </c>
      <c r="K116" s="25" t="s">
        <v>1336</v>
      </c>
    </row>
    <row r="117" spans="1:11" ht="18.75" x14ac:dyDescent="0.3">
      <c r="A117" s="25" t="s">
        <v>94</v>
      </c>
      <c r="B117" s="25" t="s">
        <v>404</v>
      </c>
      <c r="C117" s="25" t="s">
        <v>1331</v>
      </c>
      <c r="D117" s="25">
        <v>33</v>
      </c>
      <c r="E117" s="25" t="s">
        <v>728</v>
      </c>
      <c r="F117" s="25" t="s">
        <v>117</v>
      </c>
      <c r="G117" s="25"/>
      <c r="H117" s="25"/>
      <c r="I117" s="25"/>
      <c r="J117" s="25" t="s">
        <v>1327</v>
      </c>
      <c r="K117" s="25" t="s">
        <v>1336</v>
      </c>
    </row>
    <row r="118" spans="1:11" ht="18.75" x14ac:dyDescent="0.3">
      <c r="A118" s="25" t="s">
        <v>95</v>
      </c>
      <c r="B118" s="25" t="s">
        <v>405</v>
      </c>
      <c r="C118" s="25" t="s">
        <v>1331</v>
      </c>
      <c r="D118" s="25">
        <v>34</v>
      </c>
      <c r="E118" s="25" t="s">
        <v>787</v>
      </c>
      <c r="F118" s="25" t="s">
        <v>215</v>
      </c>
      <c r="G118" s="25"/>
      <c r="H118" s="25"/>
      <c r="I118" s="25"/>
      <c r="J118" s="25" t="s">
        <v>1327</v>
      </c>
      <c r="K118" s="25" t="s">
        <v>1336</v>
      </c>
    </row>
    <row r="119" spans="1:11" ht="18.75" x14ac:dyDescent="0.3">
      <c r="A119" s="25" t="s">
        <v>96</v>
      </c>
      <c r="B119" s="25" t="s">
        <v>406</v>
      </c>
      <c r="C119" s="25" t="s">
        <v>1331</v>
      </c>
      <c r="D119" s="25">
        <v>35</v>
      </c>
      <c r="E119" s="25" t="s">
        <v>770</v>
      </c>
      <c r="F119" s="25" t="s">
        <v>216</v>
      </c>
      <c r="G119" s="25"/>
      <c r="H119" s="25"/>
      <c r="I119" s="25"/>
      <c r="J119" s="25" t="s">
        <v>1327</v>
      </c>
      <c r="K119" s="25" t="s">
        <v>1336</v>
      </c>
    </row>
    <row r="120" spans="1:11" ht="18.75" x14ac:dyDescent="0.3">
      <c r="A120" s="25" t="s">
        <v>97</v>
      </c>
      <c r="B120" s="25" t="s">
        <v>407</v>
      </c>
      <c r="C120" s="25" t="s">
        <v>1331</v>
      </c>
      <c r="D120" s="25">
        <v>36</v>
      </c>
      <c r="E120" s="25" t="s">
        <v>793</v>
      </c>
      <c r="F120" s="25" t="s">
        <v>217</v>
      </c>
      <c r="G120" s="25"/>
      <c r="H120" s="25"/>
      <c r="I120" s="25"/>
      <c r="J120" s="25" t="s">
        <v>1327</v>
      </c>
      <c r="K120" s="25" t="s">
        <v>1336</v>
      </c>
    </row>
    <row r="121" spans="1:11" ht="18.75" x14ac:dyDescent="0.3">
      <c r="A121" s="25" t="s">
        <v>98</v>
      </c>
      <c r="B121" s="25" t="s">
        <v>408</v>
      </c>
      <c r="C121" s="25" t="s">
        <v>1331</v>
      </c>
      <c r="D121" s="25">
        <v>37</v>
      </c>
      <c r="E121" s="25" t="s">
        <v>823</v>
      </c>
      <c r="F121" s="25" t="s">
        <v>218</v>
      </c>
      <c r="G121" s="25"/>
      <c r="H121" s="25"/>
      <c r="I121" s="25"/>
      <c r="J121" s="25" t="s">
        <v>1327</v>
      </c>
      <c r="K121" s="25" t="s">
        <v>1336</v>
      </c>
    </row>
    <row r="122" spans="1:11" ht="18.75" x14ac:dyDescent="0.3">
      <c r="A122" s="25" t="s">
        <v>99</v>
      </c>
      <c r="B122" s="25" t="s">
        <v>409</v>
      </c>
      <c r="C122" s="25" t="s">
        <v>1331</v>
      </c>
      <c r="D122" s="25">
        <v>38</v>
      </c>
      <c r="E122" s="25" t="s">
        <v>843</v>
      </c>
      <c r="F122" s="25" t="s">
        <v>219</v>
      </c>
      <c r="G122" s="25"/>
      <c r="H122" s="25"/>
      <c r="I122" s="25"/>
      <c r="J122" s="25" t="s">
        <v>1327</v>
      </c>
      <c r="K122" s="25" t="s">
        <v>1336</v>
      </c>
    </row>
    <row r="123" spans="1:11" ht="18.75" x14ac:dyDescent="0.3">
      <c r="A123" s="25" t="s">
        <v>104</v>
      </c>
      <c r="B123" s="25" t="s">
        <v>410</v>
      </c>
      <c r="C123" s="25" t="s">
        <v>1331</v>
      </c>
      <c r="D123" s="25">
        <v>39</v>
      </c>
      <c r="E123" s="25" t="s">
        <v>807</v>
      </c>
      <c r="F123" s="25" t="s">
        <v>225</v>
      </c>
      <c r="G123" s="25"/>
      <c r="H123" s="25"/>
      <c r="I123" s="25"/>
      <c r="J123" s="25" t="s">
        <v>1327</v>
      </c>
      <c r="K123" s="25" t="s">
        <v>1336</v>
      </c>
    </row>
    <row r="124" spans="1:11" ht="18.75" x14ac:dyDescent="0.3">
      <c r="A124" s="25" t="s">
        <v>14</v>
      </c>
      <c r="B124" s="25" t="s">
        <v>483</v>
      </c>
      <c r="C124" s="25" t="s">
        <v>1331</v>
      </c>
      <c r="D124" s="25">
        <v>76</v>
      </c>
      <c r="E124" s="25" t="s">
        <v>766</v>
      </c>
      <c r="F124" s="25" t="s">
        <v>124</v>
      </c>
      <c r="G124" s="25"/>
      <c r="H124" s="25"/>
      <c r="I124" s="25"/>
      <c r="J124" s="25" t="s">
        <v>1327</v>
      </c>
      <c r="K124" s="25" t="s">
        <v>1336</v>
      </c>
    </row>
    <row r="125" spans="1:11" ht="18.75" x14ac:dyDescent="0.3">
      <c r="A125" s="25" t="s">
        <v>16</v>
      </c>
      <c r="B125" s="25" t="s">
        <v>484</v>
      </c>
      <c r="C125" s="25" t="s">
        <v>1331</v>
      </c>
      <c r="D125" s="25">
        <v>77</v>
      </c>
      <c r="E125" s="25" t="s">
        <v>745</v>
      </c>
      <c r="F125" s="25" t="s">
        <v>126</v>
      </c>
      <c r="G125" s="25"/>
      <c r="H125" s="25"/>
      <c r="I125" s="25"/>
      <c r="J125" s="25" t="s">
        <v>1327</v>
      </c>
      <c r="K125" s="25" t="s">
        <v>1336</v>
      </c>
    </row>
    <row r="126" spans="1:11" ht="18.75" x14ac:dyDescent="0.3">
      <c r="A126" s="25" t="s">
        <v>17</v>
      </c>
      <c r="B126" s="25" t="s">
        <v>485</v>
      </c>
      <c r="C126" s="25" t="s">
        <v>1331</v>
      </c>
      <c r="D126" s="25">
        <v>78</v>
      </c>
      <c r="E126" s="25" t="s">
        <v>809</v>
      </c>
      <c r="F126" s="25" t="s">
        <v>127</v>
      </c>
      <c r="G126" s="25"/>
      <c r="H126" s="25"/>
      <c r="I126" s="25"/>
      <c r="J126" s="25" t="s">
        <v>1327</v>
      </c>
      <c r="K126" s="25" t="s">
        <v>1336</v>
      </c>
    </row>
    <row r="127" spans="1:11" ht="18.75" x14ac:dyDescent="0.3">
      <c r="A127" s="25" t="s">
        <v>19</v>
      </c>
      <c r="B127" s="25" t="s">
        <v>486</v>
      </c>
      <c r="C127" s="25" t="s">
        <v>1331</v>
      </c>
      <c r="D127" s="25">
        <v>79</v>
      </c>
      <c r="E127" s="25" t="s">
        <v>854</v>
      </c>
      <c r="F127" s="25" t="s">
        <v>129</v>
      </c>
      <c r="G127" s="25"/>
      <c r="H127" s="25"/>
      <c r="I127" s="25"/>
      <c r="J127" s="25" t="s">
        <v>1327</v>
      </c>
      <c r="K127" s="25" t="s">
        <v>1336</v>
      </c>
    </row>
    <row r="128" spans="1:11" ht="18.75" x14ac:dyDescent="0.3">
      <c r="A128" s="25" t="s">
        <v>21</v>
      </c>
      <c r="B128" s="25" t="s">
        <v>488</v>
      </c>
      <c r="C128" s="25" t="s">
        <v>1331</v>
      </c>
      <c r="D128" s="25">
        <v>80</v>
      </c>
      <c r="E128" s="25" t="s">
        <v>811</v>
      </c>
      <c r="F128" s="25" t="s">
        <v>131</v>
      </c>
      <c r="G128" s="25"/>
      <c r="H128" s="25"/>
      <c r="I128" s="25"/>
      <c r="J128" s="25" t="s">
        <v>1327</v>
      </c>
      <c r="K128" s="25" t="s">
        <v>1336</v>
      </c>
    </row>
    <row r="129" spans="1:11" ht="18.75" x14ac:dyDescent="0.3">
      <c r="A129" s="25" t="s">
        <v>22</v>
      </c>
      <c r="B129" s="25" t="s">
        <v>489</v>
      </c>
      <c r="C129" s="25" t="s">
        <v>1331</v>
      </c>
      <c r="D129" s="25">
        <v>81</v>
      </c>
      <c r="E129" s="25" t="s">
        <v>851</v>
      </c>
      <c r="F129" s="25" t="s">
        <v>133</v>
      </c>
      <c r="G129" s="25"/>
      <c r="H129" s="25"/>
      <c r="I129" s="25"/>
      <c r="J129" s="25" t="s">
        <v>1327</v>
      </c>
      <c r="K129" s="25" t="s">
        <v>1336</v>
      </c>
    </row>
    <row r="130" spans="1:11" ht="18.75" x14ac:dyDescent="0.3">
      <c r="A130" s="25" t="s">
        <v>23</v>
      </c>
      <c r="B130" s="25" t="s">
        <v>490</v>
      </c>
      <c r="C130" s="25" t="s">
        <v>1331</v>
      </c>
      <c r="D130" s="25">
        <v>82</v>
      </c>
      <c r="E130" s="25" t="s">
        <v>789</v>
      </c>
      <c r="F130" s="25" t="s">
        <v>134</v>
      </c>
      <c r="G130" s="25"/>
      <c r="H130" s="25"/>
      <c r="I130" s="25"/>
      <c r="J130" s="25" t="s">
        <v>1327</v>
      </c>
      <c r="K130" s="25" t="s">
        <v>1336</v>
      </c>
    </row>
    <row r="131" spans="1:11" ht="18.75" x14ac:dyDescent="0.3">
      <c r="A131" s="25" t="s">
        <v>25</v>
      </c>
      <c r="B131" s="25" t="s">
        <v>491</v>
      </c>
      <c r="C131" s="25" t="s">
        <v>1331</v>
      </c>
      <c r="D131" s="25">
        <v>83</v>
      </c>
      <c r="E131" s="25" t="s">
        <v>746</v>
      </c>
      <c r="F131" s="25" t="s">
        <v>136</v>
      </c>
      <c r="G131" s="25"/>
      <c r="H131" s="25"/>
      <c r="I131" s="25"/>
      <c r="J131" s="25" t="s">
        <v>1327</v>
      </c>
      <c r="K131" s="25" t="s">
        <v>1336</v>
      </c>
    </row>
    <row r="132" spans="1:11" ht="18.75" x14ac:dyDescent="0.3">
      <c r="A132" s="25" t="s">
        <v>30</v>
      </c>
      <c r="B132" s="25" t="s">
        <v>492</v>
      </c>
      <c r="C132" s="25" t="s">
        <v>1331</v>
      </c>
      <c r="D132" s="25">
        <v>84</v>
      </c>
      <c r="E132" s="25" t="s">
        <v>853</v>
      </c>
      <c r="F132" s="25" t="s">
        <v>141</v>
      </c>
      <c r="G132" s="25"/>
      <c r="H132" s="25"/>
      <c r="I132" s="25"/>
      <c r="J132" s="25" t="s">
        <v>1327</v>
      </c>
      <c r="K132" s="25" t="s">
        <v>1336</v>
      </c>
    </row>
    <row r="133" spans="1:11" ht="18.75" x14ac:dyDescent="0.3">
      <c r="A133" s="25" t="s">
        <v>31</v>
      </c>
      <c r="B133" s="25" t="s">
        <v>493</v>
      </c>
      <c r="C133" s="25" t="s">
        <v>1331</v>
      </c>
      <c r="D133" s="25">
        <v>85</v>
      </c>
      <c r="E133" s="25" t="s">
        <v>785</v>
      </c>
      <c r="F133" s="25" t="s">
        <v>142</v>
      </c>
      <c r="G133" s="25"/>
      <c r="H133" s="25"/>
      <c r="I133" s="25"/>
      <c r="J133" s="25" t="s">
        <v>1327</v>
      </c>
      <c r="K133" s="25" t="s">
        <v>1336</v>
      </c>
    </row>
    <row r="134" spans="1:11" ht="18.75" x14ac:dyDescent="0.3">
      <c r="A134" s="25" t="s">
        <v>33</v>
      </c>
      <c r="B134" s="25" t="s">
        <v>494</v>
      </c>
      <c r="C134" s="25" t="s">
        <v>1331</v>
      </c>
      <c r="D134" s="25">
        <v>86</v>
      </c>
      <c r="E134" s="25" t="s">
        <v>836</v>
      </c>
      <c r="F134" s="25" t="s">
        <v>144</v>
      </c>
      <c r="G134" s="25"/>
      <c r="H134" s="25"/>
      <c r="I134" s="25"/>
      <c r="J134" s="25" t="s">
        <v>1327</v>
      </c>
      <c r="K134" s="25" t="s">
        <v>1336</v>
      </c>
    </row>
    <row r="135" spans="1:11" ht="18.75" x14ac:dyDescent="0.3">
      <c r="A135" s="25" t="s">
        <v>34</v>
      </c>
      <c r="B135" s="25" t="s">
        <v>495</v>
      </c>
      <c r="C135" s="25" t="s">
        <v>1331</v>
      </c>
      <c r="D135" s="25">
        <v>87</v>
      </c>
      <c r="E135" s="25" t="s">
        <v>712</v>
      </c>
      <c r="F135" s="25" t="s">
        <v>145</v>
      </c>
      <c r="G135" s="25"/>
      <c r="H135" s="25"/>
      <c r="I135" s="25"/>
      <c r="J135" s="25" t="s">
        <v>1327</v>
      </c>
      <c r="K135" s="25" t="s">
        <v>1336</v>
      </c>
    </row>
    <row r="136" spans="1:11" ht="18.75" x14ac:dyDescent="0.3">
      <c r="A136" s="25" t="s">
        <v>35</v>
      </c>
      <c r="B136" s="25" t="s">
        <v>496</v>
      </c>
      <c r="C136" s="25" t="s">
        <v>1331</v>
      </c>
      <c r="D136" s="25">
        <v>88</v>
      </c>
      <c r="E136" s="25" t="s">
        <v>741</v>
      </c>
      <c r="F136" s="25" t="s">
        <v>146</v>
      </c>
      <c r="G136" s="25"/>
      <c r="H136" s="25"/>
      <c r="I136" s="25"/>
      <c r="J136" s="25" t="s">
        <v>1327</v>
      </c>
      <c r="K136" s="25" t="s">
        <v>1336</v>
      </c>
    </row>
    <row r="137" spans="1:11" ht="18.75" x14ac:dyDescent="0.3">
      <c r="A137" s="25" t="s">
        <v>37</v>
      </c>
      <c r="B137" s="25" t="s">
        <v>497</v>
      </c>
      <c r="C137" s="25" t="s">
        <v>1331</v>
      </c>
      <c r="D137" s="25">
        <v>89</v>
      </c>
      <c r="E137" s="25" t="s">
        <v>782</v>
      </c>
      <c r="F137" s="25" t="s">
        <v>148</v>
      </c>
      <c r="G137" s="25"/>
      <c r="H137" s="25"/>
      <c r="I137" s="25"/>
      <c r="J137" s="25" t="s">
        <v>1327</v>
      </c>
      <c r="K137" s="25" t="s">
        <v>1336</v>
      </c>
    </row>
    <row r="138" spans="1:11" ht="18.75" x14ac:dyDescent="0.3">
      <c r="A138" s="25" t="s">
        <v>43</v>
      </c>
      <c r="B138" s="25" t="s">
        <v>499</v>
      </c>
      <c r="C138" s="25" t="s">
        <v>1331</v>
      </c>
      <c r="D138" s="25">
        <v>90</v>
      </c>
      <c r="E138" s="25" t="s">
        <v>805</v>
      </c>
      <c r="F138" s="25" t="s">
        <v>154</v>
      </c>
      <c r="G138" s="25"/>
      <c r="H138" s="25"/>
      <c r="I138" s="25"/>
      <c r="J138" s="25" t="s">
        <v>1327</v>
      </c>
      <c r="K138" s="25" t="s">
        <v>1336</v>
      </c>
    </row>
    <row r="139" spans="1:11" ht="18.75" x14ac:dyDescent="0.3">
      <c r="A139" s="25" t="s">
        <v>49</v>
      </c>
      <c r="B139" s="25" t="s">
        <v>500</v>
      </c>
      <c r="C139" s="25" t="s">
        <v>1331</v>
      </c>
      <c r="D139" s="25">
        <v>91</v>
      </c>
      <c r="E139" s="25" t="s">
        <v>804</v>
      </c>
      <c r="F139" s="25" t="s">
        <v>161</v>
      </c>
      <c r="G139" s="25"/>
      <c r="H139" s="25"/>
      <c r="I139" s="25"/>
      <c r="J139" s="25" t="s">
        <v>1327</v>
      </c>
      <c r="K139" s="25" t="s">
        <v>1336</v>
      </c>
    </row>
    <row r="140" spans="1:11" ht="18.75" x14ac:dyDescent="0.3">
      <c r="A140" s="25" t="s">
        <v>50</v>
      </c>
      <c r="B140" s="25" t="s">
        <v>501</v>
      </c>
      <c r="C140" s="25" t="s">
        <v>1331</v>
      </c>
      <c r="D140" s="25">
        <v>92</v>
      </c>
      <c r="E140" s="25" t="s">
        <v>779</v>
      </c>
      <c r="F140" s="25" t="s">
        <v>162</v>
      </c>
      <c r="G140" s="25"/>
      <c r="H140" s="25"/>
      <c r="I140" s="25"/>
      <c r="J140" s="25" t="s">
        <v>1327</v>
      </c>
      <c r="K140" s="25" t="s">
        <v>1336</v>
      </c>
    </row>
    <row r="141" spans="1:11" ht="18.75" x14ac:dyDescent="0.3">
      <c r="A141" s="25" t="s">
        <v>51</v>
      </c>
      <c r="B141" s="25" t="s">
        <v>502</v>
      </c>
      <c r="C141" s="25" t="s">
        <v>1331</v>
      </c>
      <c r="D141" s="25">
        <v>93</v>
      </c>
      <c r="E141" s="25" t="s">
        <v>758</v>
      </c>
      <c r="F141" s="25" t="s">
        <v>163</v>
      </c>
      <c r="G141" s="25"/>
      <c r="H141" s="25"/>
      <c r="I141" s="25"/>
      <c r="J141" s="25" t="s">
        <v>1327</v>
      </c>
      <c r="K141" s="25" t="s">
        <v>1336</v>
      </c>
    </row>
    <row r="142" spans="1:11" ht="18.75" x14ac:dyDescent="0.3">
      <c r="A142" s="25" t="s">
        <v>90</v>
      </c>
      <c r="B142" s="25" t="s">
        <v>503</v>
      </c>
      <c r="C142" s="25" t="s">
        <v>1331</v>
      </c>
      <c r="D142" s="25">
        <v>94</v>
      </c>
      <c r="E142" s="25" t="s">
        <v>824</v>
      </c>
      <c r="F142" s="25" t="s">
        <v>211</v>
      </c>
      <c r="G142" s="25"/>
      <c r="H142" s="25"/>
      <c r="I142" s="25"/>
      <c r="J142" s="25" t="s">
        <v>1327</v>
      </c>
      <c r="K142" s="25" t="s">
        <v>1336</v>
      </c>
    </row>
    <row r="143" spans="1:11" ht="18.75" x14ac:dyDescent="0.3">
      <c r="A143" s="25" t="s">
        <v>91</v>
      </c>
      <c r="B143" s="25" t="s">
        <v>504</v>
      </c>
      <c r="C143" s="25" t="s">
        <v>1331</v>
      </c>
      <c r="D143" s="25">
        <v>95</v>
      </c>
      <c r="E143" s="25" t="s">
        <v>800</v>
      </c>
      <c r="F143" s="25" t="s">
        <v>212</v>
      </c>
      <c r="G143" s="25"/>
      <c r="H143" s="25"/>
      <c r="I143" s="25"/>
      <c r="J143" s="25" t="s">
        <v>1327</v>
      </c>
      <c r="K143" s="25" t="s">
        <v>1336</v>
      </c>
    </row>
    <row r="144" spans="1:11" ht="18.75" x14ac:dyDescent="0.3">
      <c r="A144" s="25" t="s">
        <v>93</v>
      </c>
      <c r="B144" s="25" t="s">
        <v>505</v>
      </c>
      <c r="C144" s="25" t="s">
        <v>1331</v>
      </c>
      <c r="D144" s="25">
        <v>96</v>
      </c>
      <c r="E144" s="25" t="s">
        <v>858</v>
      </c>
      <c r="F144" s="25" t="s">
        <v>214</v>
      </c>
      <c r="G144" s="25"/>
      <c r="H144" s="25"/>
      <c r="I144" s="25"/>
      <c r="J144" s="25" t="s">
        <v>1327</v>
      </c>
      <c r="K144" s="25" t="s">
        <v>1336</v>
      </c>
    </row>
    <row r="145" spans="1:11" ht="18.75" x14ac:dyDescent="0.3">
      <c r="A145" s="25" t="s">
        <v>100</v>
      </c>
      <c r="B145" s="25" t="s">
        <v>506</v>
      </c>
      <c r="C145" s="25" t="s">
        <v>1331</v>
      </c>
      <c r="D145" s="25">
        <v>97</v>
      </c>
      <c r="E145" s="25" t="s">
        <v>874</v>
      </c>
      <c r="F145" s="25" t="s">
        <v>220</v>
      </c>
      <c r="G145" s="25"/>
      <c r="H145" s="25"/>
      <c r="I145" s="25"/>
      <c r="J145" s="25" t="s">
        <v>1327</v>
      </c>
      <c r="K145" s="25" t="s">
        <v>1336</v>
      </c>
    </row>
    <row r="146" spans="1:11" ht="18.75" x14ac:dyDescent="0.3">
      <c r="A146" s="25" t="s">
        <v>101</v>
      </c>
      <c r="B146" s="25" t="s">
        <v>507</v>
      </c>
      <c r="C146" s="25" t="s">
        <v>1331</v>
      </c>
      <c r="D146" s="25">
        <v>98</v>
      </c>
      <c r="E146" s="25" t="s">
        <v>875</v>
      </c>
      <c r="F146" s="25" t="s">
        <v>221</v>
      </c>
      <c r="G146" s="25"/>
      <c r="H146" s="25"/>
      <c r="I146" s="25"/>
      <c r="J146" s="25" t="s">
        <v>1327</v>
      </c>
      <c r="K146" s="25" t="s">
        <v>1336</v>
      </c>
    </row>
    <row r="147" spans="1:11" ht="18.75" x14ac:dyDescent="0.3">
      <c r="A147" s="25" t="s">
        <v>102</v>
      </c>
      <c r="B147" s="25" t="s">
        <v>508</v>
      </c>
      <c r="C147" s="25" t="s">
        <v>1331</v>
      </c>
      <c r="D147" s="25">
        <v>99</v>
      </c>
      <c r="E147" s="25" t="s">
        <v>819</v>
      </c>
      <c r="F147" s="25" t="s">
        <v>223</v>
      </c>
      <c r="G147" s="25"/>
      <c r="H147" s="25"/>
      <c r="I147" s="25"/>
      <c r="J147" s="25" t="s">
        <v>1327</v>
      </c>
      <c r="K147" s="25" t="s">
        <v>1336</v>
      </c>
    </row>
    <row r="148" spans="1:11" ht="18.75" x14ac:dyDescent="0.3">
      <c r="A148" s="25" t="s">
        <v>103</v>
      </c>
      <c r="B148" s="25" t="s">
        <v>379</v>
      </c>
      <c r="C148" s="25" t="s">
        <v>1331</v>
      </c>
      <c r="D148" s="25">
        <v>100</v>
      </c>
      <c r="E148" s="25" t="s">
        <v>753</v>
      </c>
      <c r="F148" s="25" t="s">
        <v>1215</v>
      </c>
      <c r="G148" s="25"/>
      <c r="H148" s="25"/>
      <c r="I148" s="25"/>
      <c r="J148" s="25" t="s">
        <v>1327</v>
      </c>
      <c r="K148" s="25" t="s">
        <v>1336</v>
      </c>
    </row>
    <row r="149" spans="1:11" ht="18.75" x14ac:dyDescent="0.3">
      <c r="A149" s="25" t="s">
        <v>335</v>
      </c>
      <c r="B149" s="25" t="s">
        <v>336</v>
      </c>
      <c r="C149" s="25" t="s">
        <v>1329</v>
      </c>
      <c r="D149" s="25">
        <v>21</v>
      </c>
      <c r="E149" s="25" t="s">
        <v>844</v>
      </c>
      <c r="F149" s="25" t="s">
        <v>1201</v>
      </c>
      <c r="G149" s="25" t="s">
        <v>511</v>
      </c>
      <c r="H149" s="25" t="s">
        <v>1040</v>
      </c>
      <c r="I149" s="25">
        <v>73</v>
      </c>
      <c r="J149" s="25" t="s">
        <v>246</v>
      </c>
      <c r="K149" s="25" t="s">
        <v>695</v>
      </c>
    </row>
    <row r="150" spans="1:11" ht="18.75" x14ac:dyDescent="0.3">
      <c r="A150" s="25" t="s">
        <v>258</v>
      </c>
      <c r="B150" s="25" t="s">
        <v>259</v>
      </c>
      <c r="C150" s="25" t="s">
        <v>1330</v>
      </c>
      <c r="D150" s="25">
        <v>16</v>
      </c>
      <c r="E150" s="25" t="s">
        <v>748</v>
      </c>
      <c r="F150" s="25" t="s">
        <v>1205</v>
      </c>
      <c r="G150" s="25" t="s">
        <v>696</v>
      </c>
      <c r="H150" s="25" t="s">
        <v>519</v>
      </c>
      <c r="I150" s="25">
        <v>4000</v>
      </c>
      <c r="J150" s="25" t="s">
        <v>246</v>
      </c>
      <c r="K150" s="25" t="s">
        <v>695</v>
      </c>
    </row>
    <row r="151" spans="1:11" ht="18.75" x14ac:dyDescent="0.3">
      <c r="A151" s="25" t="s">
        <v>260</v>
      </c>
      <c r="B151" s="25" t="s">
        <v>261</v>
      </c>
      <c r="C151" s="25" t="s">
        <v>1330</v>
      </c>
      <c r="D151" s="25">
        <v>17</v>
      </c>
      <c r="E151" s="25" t="s">
        <v>736</v>
      </c>
      <c r="F151" s="25" t="s">
        <v>1208</v>
      </c>
      <c r="G151" s="25" t="s">
        <v>696</v>
      </c>
      <c r="H151" s="25" t="s">
        <v>520</v>
      </c>
      <c r="I151" s="25">
        <v>2000</v>
      </c>
      <c r="J151" s="25" t="s">
        <v>246</v>
      </c>
      <c r="K151" s="25" t="s">
        <v>695</v>
      </c>
    </row>
    <row r="152" spans="1:11" ht="18.75" x14ac:dyDescent="0.3">
      <c r="A152" s="25" t="s">
        <v>273</v>
      </c>
      <c r="B152" s="25" t="s">
        <v>274</v>
      </c>
      <c r="C152" s="25" t="s">
        <v>1330</v>
      </c>
      <c r="D152" s="25">
        <v>23</v>
      </c>
      <c r="E152" s="25" t="s">
        <v>850</v>
      </c>
      <c r="F152" s="25" t="s">
        <v>1204</v>
      </c>
      <c r="G152" s="25" t="s">
        <v>696</v>
      </c>
      <c r="H152" s="25" t="s">
        <v>527</v>
      </c>
      <c r="I152" s="25">
        <v>4000</v>
      </c>
      <c r="J152" s="25" t="s">
        <v>246</v>
      </c>
      <c r="K152" s="25" t="s">
        <v>695</v>
      </c>
    </row>
    <row r="153" spans="1:11" ht="18.75" x14ac:dyDescent="0.3">
      <c r="A153" s="25" t="s">
        <v>277</v>
      </c>
      <c r="B153" s="25" t="s">
        <v>278</v>
      </c>
      <c r="C153" s="25" t="s">
        <v>1330</v>
      </c>
      <c r="D153" s="25">
        <v>25</v>
      </c>
      <c r="E153" s="25" t="s">
        <v>778</v>
      </c>
      <c r="F153" s="25" t="s">
        <v>1206</v>
      </c>
      <c r="G153" s="25" t="s">
        <v>696</v>
      </c>
      <c r="H153" s="25" t="s">
        <v>529</v>
      </c>
      <c r="I153" s="25">
        <v>4000</v>
      </c>
      <c r="J153" s="25" t="s">
        <v>246</v>
      </c>
      <c r="K153" s="25" t="s">
        <v>695</v>
      </c>
    </row>
    <row r="154" spans="1:11" ht="18.75" x14ac:dyDescent="0.3">
      <c r="A154" s="25" t="s">
        <v>283</v>
      </c>
      <c r="B154" s="25" t="s">
        <v>284</v>
      </c>
      <c r="C154" s="25" t="s">
        <v>1330</v>
      </c>
      <c r="D154" s="25">
        <v>28</v>
      </c>
      <c r="E154" s="25" t="s">
        <v>816</v>
      </c>
      <c r="F154" s="25" t="s">
        <v>1207</v>
      </c>
      <c r="G154" s="25" t="s">
        <v>696</v>
      </c>
      <c r="H154" s="25" t="s">
        <v>532</v>
      </c>
      <c r="I154" s="25">
        <v>4000</v>
      </c>
      <c r="J154" s="25" t="s">
        <v>246</v>
      </c>
      <c r="K154" s="25" t="s">
        <v>695</v>
      </c>
    </row>
    <row r="155" spans="1:11" ht="18.75" x14ac:dyDescent="0.3">
      <c r="A155" s="25" t="s">
        <v>304</v>
      </c>
      <c r="B155" s="25" t="s">
        <v>305</v>
      </c>
      <c r="C155" s="25" t="s">
        <v>1330</v>
      </c>
      <c r="D155" s="25">
        <v>38</v>
      </c>
      <c r="E155" s="25" t="s">
        <v>763</v>
      </c>
      <c r="F155" s="25" t="s">
        <v>1209</v>
      </c>
      <c r="G155" s="25" t="s">
        <v>696</v>
      </c>
      <c r="H155" s="25" t="s">
        <v>543</v>
      </c>
      <c r="I155" s="25">
        <v>2000</v>
      </c>
      <c r="J155" s="25" t="s">
        <v>246</v>
      </c>
      <c r="K155" s="25" t="s">
        <v>695</v>
      </c>
    </row>
    <row r="156" spans="1:11" ht="18.75" x14ac:dyDescent="0.3">
      <c r="A156" s="25" t="s">
        <v>322</v>
      </c>
      <c r="B156" s="25" t="s">
        <v>323</v>
      </c>
      <c r="C156" s="25" t="s">
        <v>1329</v>
      </c>
      <c r="D156" s="25">
        <v>15</v>
      </c>
      <c r="E156" s="25" t="s">
        <v>737</v>
      </c>
      <c r="F156" s="25" t="s">
        <v>1186</v>
      </c>
      <c r="G156" s="25" t="s">
        <v>696</v>
      </c>
      <c r="H156" s="25" t="s">
        <v>560</v>
      </c>
      <c r="I156" s="25">
        <v>3000</v>
      </c>
      <c r="J156" s="25" t="s">
        <v>246</v>
      </c>
      <c r="K156" s="25" t="s">
        <v>695</v>
      </c>
    </row>
    <row r="157" spans="1:11" ht="18.75" x14ac:dyDescent="0.3">
      <c r="A157" s="25" t="s">
        <v>324</v>
      </c>
      <c r="B157" s="25" t="s">
        <v>325</v>
      </c>
      <c r="C157" s="25" t="s">
        <v>1329</v>
      </c>
      <c r="D157" s="25">
        <v>16</v>
      </c>
      <c r="E157" s="25" t="s">
        <v>740</v>
      </c>
      <c r="F157" s="25" t="s">
        <v>1198</v>
      </c>
      <c r="G157" s="25" t="s">
        <v>696</v>
      </c>
      <c r="H157" s="25" t="s">
        <v>561</v>
      </c>
      <c r="I157" s="25">
        <v>3000</v>
      </c>
      <c r="J157" s="25" t="s">
        <v>246</v>
      </c>
      <c r="K157" s="25" t="s">
        <v>695</v>
      </c>
    </row>
    <row r="158" spans="1:11" ht="18.75" x14ac:dyDescent="0.3">
      <c r="A158" s="25" t="s">
        <v>362</v>
      </c>
      <c r="B158" s="25" t="s">
        <v>363</v>
      </c>
      <c r="C158" s="25" t="s">
        <v>1332</v>
      </c>
      <c r="D158" s="25">
        <v>11</v>
      </c>
      <c r="E158" s="25" t="s">
        <v>817</v>
      </c>
      <c r="F158" s="25" t="s">
        <v>1200</v>
      </c>
      <c r="G158" s="25" t="s">
        <v>696</v>
      </c>
      <c r="H158" s="25" t="s">
        <v>586</v>
      </c>
      <c r="I158" s="25">
        <v>3000</v>
      </c>
      <c r="J158" s="25" t="s">
        <v>246</v>
      </c>
      <c r="K158" s="25" t="s">
        <v>695</v>
      </c>
    </row>
    <row r="159" spans="1:11" ht="18.75" x14ac:dyDescent="0.3">
      <c r="A159" s="25" t="s">
        <v>414</v>
      </c>
      <c r="B159" s="25" t="s">
        <v>415</v>
      </c>
      <c r="C159" s="25" t="s">
        <v>1331</v>
      </c>
      <c r="D159" s="25">
        <v>41</v>
      </c>
      <c r="E159" s="25" t="s">
        <v>798</v>
      </c>
      <c r="F159" s="25" t="s">
        <v>1127</v>
      </c>
      <c r="G159" s="25" t="s">
        <v>696</v>
      </c>
      <c r="H159" s="25" t="s">
        <v>630</v>
      </c>
      <c r="I159" s="25">
        <v>5000</v>
      </c>
      <c r="J159" s="25" t="s">
        <v>246</v>
      </c>
      <c r="K159" s="25" t="s">
        <v>695</v>
      </c>
    </row>
    <row r="160" spans="1:11" ht="18.75" x14ac:dyDescent="0.3">
      <c r="A160" s="25" t="s">
        <v>416</v>
      </c>
      <c r="B160" s="25" t="s">
        <v>417</v>
      </c>
      <c r="C160" s="25" t="s">
        <v>1331</v>
      </c>
      <c r="D160" s="25">
        <v>42</v>
      </c>
      <c r="E160" s="25" t="s">
        <v>749</v>
      </c>
      <c r="F160" s="25" t="s">
        <v>1179</v>
      </c>
      <c r="G160" s="25" t="s">
        <v>696</v>
      </c>
      <c r="H160" s="25" t="s">
        <v>631</v>
      </c>
      <c r="I160" s="25">
        <v>4000</v>
      </c>
      <c r="J160" s="25" t="s">
        <v>246</v>
      </c>
      <c r="K160" s="25" t="s">
        <v>695</v>
      </c>
    </row>
    <row r="161" spans="1:11" ht="18.75" x14ac:dyDescent="0.3">
      <c r="A161" s="25" t="s">
        <v>418</v>
      </c>
      <c r="B161" s="25" t="s">
        <v>419</v>
      </c>
      <c r="C161" s="25" t="s">
        <v>1331</v>
      </c>
      <c r="D161" s="25">
        <v>43</v>
      </c>
      <c r="E161" s="25" t="s">
        <v>818</v>
      </c>
      <c r="F161" s="25" t="s">
        <v>1181</v>
      </c>
      <c r="G161" s="25" t="s">
        <v>696</v>
      </c>
      <c r="H161" s="25" t="s">
        <v>632</v>
      </c>
      <c r="I161" s="25">
        <v>4000</v>
      </c>
      <c r="J161" s="25" t="s">
        <v>246</v>
      </c>
      <c r="K161" s="25" t="s">
        <v>695</v>
      </c>
    </row>
    <row r="162" spans="1:11" ht="18.75" x14ac:dyDescent="0.3">
      <c r="A162" s="25" t="s">
        <v>424</v>
      </c>
      <c r="B162" s="25" t="s">
        <v>425</v>
      </c>
      <c r="C162" s="25" t="s">
        <v>1331</v>
      </c>
      <c r="D162" s="25">
        <v>46</v>
      </c>
      <c r="E162" s="25" t="s">
        <v>790</v>
      </c>
      <c r="F162" s="25" t="s">
        <v>1126</v>
      </c>
      <c r="G162" s="25" t="s">
        <v>696</v>
      </c>
      <c r="H162" s="25" t="s">
        <v>635</v>
      </c>
      <c r="I162" s="25">
        <v>5000</v>
      </c>
      <c r="J162" s="25" t="s">
        <v>246</v>
      </c>
      <c r="K162" s="25" t="s">
        <v>695</v>
      </c>
    </row>
    <row r="163" spans="1:11" ht="18.75" x14ac:dyDescent="0.3">
      <c r="A163" s="25" t="s">
        <v>426</v>
      </c>
      <c r="B163" s="25" t="s">
        <v>427</v>
      </c>
      <c r="C163" s="25" t="s">
        <v>1331</v>
      </c>
      <c r="D163" s="25">
        <v>47</v>
      </c>
      <c r="E163" s="25" t="s">
        <v>831</v>
      </c>
      <c r="F163" s="25" t="s">
        <v>1129</v>
      </c>
      <c r="G163" s="25" t="s">
        <v>696</v>
      </c>
      <c r="H163" s="25" t="s">
        <v>636</v>
      </c>
      <c r="I163" s="25">
        <v>5000</v>
      </c>
      <c r="J163" s="25" t="s">
        <v>246</v>
      </c>
      <c r="K163" s="25" t="s">
        <v>695</v>
      </c>
    </row>
    <row r="164" spans="1:11" ht="18.75" x14ac:dyDescent="0.3">
      <c r="A164" s="25" t="s">
        <v>428</v>
      </c>
      <c r="B164" s="25" t="s">
        <v>429</v>
      </c>
      <c r="C164" s="25" t="s">
        <v>1331</v>
      </c>
      <c r="D164" s="25">
        <v>48</v>
      </c>
      <c r="E164" s="25" t="s">
        <v>720</v>
      </c>
      <c r="F164" s="25" t="s">
        <v>1178</v>
      </c>
      <c r="G164" s="25" t="s">
        <v>696</v>
      </c>
      <c r="H164" s="25" t="s">
        <v>637</v>
      </c>
      <c r="I164" s="25">
        <v>4000</v>
      </c>
      <c r="J164" s="25" t="s">
        <v>246</v>
      </c>
      <c r="K164" s="25" t="s">
        <v>695</v>
      </c>
    </row>
    <row r="165" spans="1:11" ht="18.75" x14ac:dyDescent="0.3">
      <c r="A165" s="25" t="s">
        <v>441</v>
      </c>
      <c r="B165" s="25" t="s">
        <v>442</v>
      </c>
      <c r="C165" s="25" t="s">
        <v>1331</v>
      </c>
      <c r="D165" s="25">
        <v>54</v>
      </c>
      <c r="E165" s="25" t="s">
        <v>756</v>
      </c>
      <c r="F165" s="25" t="s">
        <v>1169</v>
      </c>
      <c r="G165" s="25" t="s">
        <v>696</v>
      </c>
      <c r="H165" s="25" t="s">
        <v>644</v>
      </c>
      <c r="I165" s="25">
        <v>4000</v>
      </c>
      <c r="J165" s="25" t="s">
        <v>246</v>
      </c>
      <c r="K165" s="25" t="s">
        <v>695</v>
      </c>
    </row>
    <row r="166" spans="1:11" ht="18.75" x14ac:dyDescent="0.3">
      <c r="A166" s="25" t="s">
        <v>447</v>
      </c>
      <c r="B166" s="25" t="s">
        <v>448</v>
      </c>
      <c r="C166" s="25" t="s">
        <v>1331</v>
      </c>
      <c r="D166" s="25">
        <v>57</v>
      </c>
      <c r="E166" s="25" t="s">
        <v>857</v>
      </c>
      <c r="F166" s="25" t="s">
        <v>1175</v>
      </c>
      <c r="G166" s="25" t="s">
        <v>696</v>
      </c>
      <c r="H166" s="25" t="s">
        <v>647</v>
      </c>
      <c r="I166" s="25">
        <v>4000</v>
      </c>
      <c r="J166" s="25" t="s">
        <v>246</v>
      </c>
      <c r="K166" s="25" t="s">
        <v>695</v>
      </c>
    </row>
    <row r="167" spans="1:11" ht="18.75" x14ac:dyDescent="0.3">
      <c r="A167" s="25" t="s">
        <v>456</v>
      </c>
      <c r="B167" s="25" t="s">
        <v>457</v>
      </c>
      <c r="C167" s="25" t="s">
        <v>1331</v>
      </c>
      <c r="D167" s="25">
        <v>61</v>
      </c>
      <c r="E167" s="25" t="s">
        <v>729</v>
      </c>
      <c r="F167" s="25" t="s">
        <v>1167</v>
      </c>
      <c r="G167" s="25" t="s">
        <v>696</v>
      </c>
      <c r="H167" s="25" t="s">
        <v>652</v>
      </c>
      <c r="I167" s="25">
        <v>4000</v>
      </c>
      <c r="J167" s="25" t="s">
        <v>246</v>
      </c>
      <c r="K167" s="25" t="s">
        <v>695</v>
      </c>
    </row>
    <row r="168" spans="1:11" ht="18.75" x14ac:dyDescent="0.3">
      <c r="A168" s="25" t="s">
        <v>462</v>
      </c>
      <c r="B168" s="25" t="s">
        <v>463</v>
      </c>
      <c r="C168" s="25" t="s">
        <v>1331</v>
      </c>
      <c r="D168" s="25">
        <v>64</v>
      </c>
      <c r="E168" s="25" t="s">
        <v>788</v>
      </c>
      <c r="F168" s="25" t="s">
        <v>1172</v>
      </c>
      <c r="G168" s="25" t="s">
        <v>696</v>
      </c>
      <c r="H168" s="25" t="s">
        <v>655</v>
      </c>
      <c r="I168" s="25">
        <v>4000</v>
      </c>
      <c r="J168" s="25" t="s">
        <v>246</v>
      </c>
      <c r="K168" s="25" t="s">
        <v>695</v>
      </c>
    </row>
    <row r="169" spans="1:11" ht="18.75" x14ac:dyDescent="0.3">
      <c r="A169" s="25" t="s">
        <v>468</v>
      </c>
      <c r="B169" s="25" t="s">
        <v>469</v>
      </c>
      <c r="C169" s="25" t="s">
        <v>1331</v>
      </c>
      <c r="D169" s="25">
        <v>67</v>
      </c>
      <c r="E169" s="25" t="s">
        <v>856</v>
      </c>
      <c r="F169" s="25" t="s">
        <v>1131</v>
      </c>
      <c r="G169" s="25" t="s">
        <v>696</v>
      </c>
      <c r="H169" s="25" t="s">
        <v>658</v>
      </c>
      <c r="I169" s="25">
        <v>5000</v>
      </c>
      <c r="J169" s="25" t="s">
        <v>246</v>
      </c>
      <c r="K169" s="25" t="s">
        <v>695</v>
      </c>
    </row>
    <row r="170" spans="1:11" ht="18.75" x14ac:dyDescent="0.3">
      <c r="A170" s="25" t="s">
        <v>328</v>
      </c>
      <c r="B170" s="25" t="s">
        <v>329</v>
      </c>
      <c r="C170" s="25" t="s">
        <v>1329</v>
      </c>
      <c r="D170" s="25">
        <v>18</v>
      </c>
      <c r="E170" s="25" t="s">
        <v>801</v>
      </c>
      <c r="F170" s="25" t="s">
        <v>1192</v>
      </c>
      <c r="G170" s="25" t="s">
        <v>698</v>
      </c>
      <c r="H170" s="25" t="s">
        <v>1192</v>
      </c>
      <c r="I170" s="25">
        <v>4000</v>
      </c>
      <c r="J170" s="25" t="s">
        <v>246</v>
      </c>
      <c r="K170" s="25" t="s">
        <v>695</v>
      </c>
    </row>
    <row r="171" spans="1:11" ht="18.75" x14ac:dyDescent="0.3">
      <c r="A171" s="25" t="s">
        <v>420</v>
      </c>
      <c r="B171" s="25" t="s">
        <v>421</v>
      </c>
      <c r="C171" s="25" t="s">
        <v>1331</v>
      </c>
      <c r="D171" s="25">
        <v>44</v>
      </c>
      <c r="E171" s="25" t="s">
        <v>739</v>
      </c>
      <c r="F171" s="25" t="s">
        <v>1168</v>
      </c>
      <c r="G171" s="25" t="s">
        <v>698</v>
      </c>
      <c r="H171" s="25" t="s">
        <v>1168</v>
      </c>
      <c r="I171" s="25">
        <v>5000</v>
      </c>
      <c r="J171" s="25" t="s">
        <v>246</v>
      </c>
      <c r="K171" s="25" t="s">
        <v>695</v>
      </c>
    </row>
    <row r="172" spans="1:11" ht="18.75" x14ac:dyDescent="0.3">
      <c r="A172" s="25" t="s">
        <v>360</v>
      </c>
      <c r="B172" s="25" t="s">
        <v>361</v>
      </c>
      <c r="C172" s="25" t="s">
        <v>1332</v>
      </c>
      <c r="D172" s="25">
        <v>10</v>
      </c>
      <c r="E172" s="25" t="s">
        <v>849</v>
      </c>
      <c r="F172" s="25" t="s">
        <v>1203</v>
      </c>
      <c r="G172" s="25" t="s">
        <v>700</v>
      </c>
      <c r="H172" s="25" t="s">
        <v>1203</v>
      </c>
      <c r="I172" s="25">
        <v>1000</v>
      </c>
      <c r="J172" s="25" t="s">
        <v>246</v>
      </c>
      <c r="K172" s="25" t="s">
        <v>695</v>
      </c>
    </row>
    <row r="173" spans="1:11" ht="18.75" x14ac:dyDescent="0.3">
      <c r="A173" s="25" t="s">
        <v>693</v>
      </c>
      <c r="B173" s="25" t="s">
        <v>701</v>
      </c>
      <c r="C173" s="25" t="s">
        <v>1332</v>
      </c>
      <c r="D173" s="25">
        <v>13</v>
      </c>
      <c r="E173" s="25" t="s">
        <v>806</v>
      </c>
      <c r="F173" s="25" t="s">
        <v>1199</v>
      </c>
      <c r="G173" s="25" t="s">
        <v>700</v>
      </c>
      <c r="H173" s="25" t="s">
        <v>1199</v>
      </c>
      <c r="I173" s="25">
        <v>1000</v>
      </c>
      <c r="J173" s="25" t="s">
        <v>246</v>
      </c>
      <c r="K173" s="25" t="s">
        <v>695</v>
      </c>
    </row>
    <row r="174" spans="1:11" ht="18.75" x14ac:dyDescent="0.3">
      <c r="A174" s="25" t="s">
        <v>267</v>
      </c>
      <c r="B174" s="25" t="s">
        <v>268</v>
      </c>
      <c r="C174" s="25" t="s">
        <v>1330</v>
      </c>
      <c r="D174" s="25">
        <v>20</v>
      </c>
      <c r="E174" s="25" t="s">
        <v>784</v>
      </c>
      <c r="F174" s="25" t="s">
        <v>1210</v>
      </c>
      <c r="G174" s="25" t="s">
        <v>699</v>
      </c>
      <c r="H174" s="25" t="s">
        <v>1210</v>
      </c>
      <c r="I174" s="25">
        <v>2000</v>
      </c>
      <c r="J174" s="25" t="s">
        <v>246</v>
      </c>
      <c r="K174" s="25" t="s">
        <v>695</v>
      </c>
    </row>
    <row r="175" spans="1:11" ht="18.75" x14ac:dyDescent="0.3">
      <c r="A175" s="25" t="s">
        <v>1</v>
      </c>
      <c r="B175" s="25" t="s">
        <v>250</v>
      </c>
      <c r="C175" s="25" t="s">
        <v>1330</v>
      </c>
      <c r="D175" s="25">
        <v>1</v>
      </c>
      <c r="E175" s="25" t="s">
        <v>702</v>
      </c>
      <c r="F175" s="25" t="s">
        <v>107</v>
      </c>
      <c r="G175" s="25" t="s">
        <v>696</v>
      </c>
      <c r="H175" s="25" t="s">
        <v>512</v>
      </c>
      <c r="I175" s="25">
        <v>12000</v>
      </c>
      <c r="J175" s="25" t="s">
        <v>246</v>
      </c>
      <c r="K175" s="25" t="s">
        <v>1336</v>
      </c>
    </row>
    <row r="176" spans="1:11" ht="18.75" x14ac:dyDescent="0.3">
      <c r="A176" s="25" t="s">
        <v>10</v>
      </c>
      <c r="B176" s="25" t="s">
        <v>332</v>
      </c>
      <c r="C176" s="25" t="s">
        <v>1329</v>
      </c>
      <c r="D176" s="25">
        <v>2</v>
      </c>
      <c r="E176" s="25" t="s">
        <v>717</v>
      </c>
      <c r="F176" s="25" t="s">
        <v>121</v>
      </c>
      <c r="G176" s="25" t="s">
        <v>696</v>
      </c>
      <c r="H176" s="25" t="s">
        <v>565</v>
      </c>
      <c r="I176" s="25">
        <v>5000</v>
      </c>
      <c r="J176" s="25" t="s">
        <v>246</v>
      </c>
      <c r="K176" s="25" t="s">
        <v>1336</v>
      </c>
    </row>
    <row r="177" spans="1:11" ht="18.75" x14ac:dyDescent="0.3">
      <c r="A177" s="25" t="s">
        <v>66</v>
      </c>
      <c r="B177" s="25" t="s">
        <v>357</v>
      </c>
      <c r="C177" s="25" t="s">
        <v>1329</v>
      </c>
      <c r="D177" s="25">
        <v>8</v>
      </c>
      <c r="E177" s="25" t="s">
        <v>733</v>
      </c>
      <c r="F177" s="25" t="s">
        <v>1213</v>
      </c>
      <c r="G177" s="25" t="s">
        <v>696</v>
      </c>
      <c r="H177" s="25" t="s">
        <v>582</v>
      </c>
      <c r="I177" s="25">
        <v>6000</v>
      </c>
      <c r="J177" s="25" t="s">
        <v>246</v>
      </c>
      <c r="K177" s="25" t="s">
        <v>1336</v>
      </c>
    </row>
    <row r="178" spans="1:11" ht="18.75" x14ac:dyDescent="0.3">
      <c r="A178" s="25" t="s">
        <v>36</v>
      </c>
      <c r="B178" s="25" t="s">
        <v>385</v>
      </c>
      <c r="C178" s="25" t="s">
        <v>1331</v>
      </c>
      <c r="D178" s="25">
        <v>16</v>
      </c>
      <c r="E178" s="25" t="s">
        <v>706</v>
      </c>
      <c r="F178" s="25" t="s">
        <v>147</v>
      </c>
      <c r="G178" s="25" t="s">
        <v>696</v>
      </c>
      <c r="H178" s="25" t="s">
        <v>602</v>
      </c>
      <c r="I178" s="25">
        <v>15000</v>
      </c>
      <c r="J178" s="25" t="s">
        <v>246</v>
      </c>
      <c r="K178" s="25" t="s">
        <v>1336</v>
      </c>
    </row>
    <row r="179" spans="1:11" ht="18.75" x14ac:dyDescent="0.3">
      <c r="A179" s="25" t="s">
        <v>281</v>
      </c>
      <c r="B179" s="25" t="s">
        <v>282</v>
      </c>
      <c r="C179" s="25" t="s">
        <v>1330</v>
      </c>
      <c r="D179" s="25">
        <v>27</v>
      </c>
      <c r="E179" s="25" t="s">
        <v>808</v>
      </c>
      <c r="F179" s="25" t="s">
        <v>1170</v>
      </c>
      <c r="G179" s="25" t="s">
        <v>696</v>
      </c>
      <c r="H179" s="25" t="s">
        <v>531</v>
      </c>
      <c r="I179" s="25">
        <v>3000</v>
      </c>
      <c r="J179" s="25" t="s">
        <v>1123</v>
      </c>
      <c r="K179" s="25" t="s">
        <v>695</v>
      </c>
    </row>
    <row r="180" spans="1:11" ht="18.75" x14ac:dyDescent="0.3">
      <c r="A180" s="25" t="s">
        <v>296</v>
      </c>
      <c r="B180" s="25" t="s">
        <v>297</v>
      </c>
      <c r="C180" s="25" t="s">
        <v>1330</v>
      </c>
      <c r="D180" s="25">
        <v>34</v>
      </c>
      <c r="E180" s="25" t="s">
        <v>751</v>
      </c>
      <c r="F180" s="25" t="s">
        <v>1191</v>
      </c>
      <c r="G180" s="25" t="s">
        <v>696</v>
      </c>
      <c r="H180" s="25" t="s">
        <v>539</v>
      </c>
      <c r="I180" s="25">
        <v>1000</v>
      </c>
      <c r="J180" s="25" t="s">
        <v>1123</v>
      </c>
      <c r="K180" s="25" t="s">
        <v>695</v>
      </c>
    </row>
    <row r="181" spans="1:11" ht="18.75" x14ac:dyDescent="0.3">
      <c r="A181" s="25" t="s">
        <v>330</v>
      </c>
      <c r="B181" s="25" t="s">
        <v>331</v>
      </c>
      <c r="C181" s="25" t="s">
        <v>1329</v>
      </c>
      <c r="D181" s="25">
        <v>19</v>
      </c>
      <c r="E181" s="25" t="s">
        <v>719</v>
      </c>
      <c r="F181" s="25" t="s">
        <v>1157</v>
      </c>
      <c r="G181" s="25" t="s">
        <v>696</v>
      </c>
      <c r="H181" s="25" t="s">
        <v>564</v>
      </c>
      <c r="I181" s="25">
        <v>3000</v>
      </c>
      <c r="J181" s="25" t="s">
        <v>1123</v>
      </c>
      <c r="K181" s="25" t="s">
        <v>695</v>
      </c>
    </row>
    <row r="182" spans="1:11" ht="18.75" x14ac:dyDescent="0.3">
      <c r="A182" s="25" t="s">
        <v>370</v>
      </c>
      <c r="B182" s="25" t="s">
        <v>371</v>
      </c>
      <c r="C182" s="25" t="s">
        <v>1332</v>
      </c>
      <c r="D182" s="25">
        <v>4</v>
      </c>
      <c r="E182" s="25" t="s">
        <v>773</v>
      </c>
      <c r="F182" s="25" t="s">
        <v>1164</v>
      </c>
      <c r="G182" s="25" t="s">
        <v>696</v>
      </c>
      <c r="H182" s="25" t="s">
        <v>589</v>
      </c>
      <c r="I182" s="25">
        <v>4000</v>
      </c>
      <c r="J182" s="25" t="s">
        <v>1123</v>
      </c>
      <c r="K182" s="25" t="s">
        <v>695</v>
      </c>
    </row>
    <row r="183" spans="1:11" ht="18.75" x14ac:dyDescent="0.3">
      <c r="A183" s="25" t="s">
        <v>445</v>
      </c>
      <c r="B183" s="25" t="s">
        <v>446</v>
      </c>
      <c r="C183" s="25" t="s">
        <v>1331</v>
      </c>
      <c r="D183" s="25">
        <v>56</v>
      </c>
      <c r="E183" s="25" t="s">
        <v>829</v>
      </c>
      <c r="F183" s="25" t="s">
        <v>1128</v>
      </c>
      <c r="G183" s="25" t="s">
        <v>696</v>
      </c>
      <c r="H183" s="25" t="s">
        <v>646</v>
      </c>
      <c r="I183" s="25">
        <v>5000</v>
      </c>
      <c r="J183" s="25" t="s">
        <v>1123</v>
      </c>
      <c r="K183" s="25" t="s">
        <v>695</v>
      </c>
    </row>
    <row r="184" spans="1:11" ht="18.75" x14ac:dyDescent="0.3">
      <c r="A184" s="25" t="s">
        <v>464</v>
      </c>
      <c r="B184" s="25" t="s">
        <v>465</v>
      </c>
      <c r="C184" s="25" t="s">
        <v>1331</v>
      </c>
      <c r="D184" s="25">
        <v>65</v>
      </c>
      <c r="E184" s="25" t="s">
        <v>873</v>
      </c>
      <c r="F184" s="25" t="s">
        <v>1133</v>
      </c>
      <c r="G184" s="25" t="s">
        <v>696</v>
      </c>
      <c r="H184" s="25" t="s">
        <v>656</v>
      </c>
      <c r="I184" s="25">
        <v>5000</v>
      </c>
      <c r="J184" s="25" t="s">
        <v>1123</v>
      </c>
      <c r="K184" s="25" t="s">
        <v>695</v>
      </c>
    </row>
    <row r="185" spans="1:11" ht="18.75" x14ac:dyDescent="0.3">
      <c r="A185" s="25" t="s">
        <v>477</v>
      </c>
      <c r="B185" s="25" t="s">
        <v>478</v>
      </c>
      <c r="C185" s="25" t="s">
        <v>1331</v>
      </c>
      <c r="D185" s="25">
        <v>71</v>
      </c>
      <c r="E185" s="25" t="s">
        <v>852</v>
      </c>
      <c r="F185" s="25" t="s">
        <v>1130</v>
      </c>
      <c r="G185" s="25" t="s">
        <v>696</v>
      </c>
      <c r="H185" s="25" t="s">
        <v>663</v>
      </c>
      <c r="I185" s="25">
        <v>5000</v>
      </c>
      <c r="J185" s="25" t="s">
        <v>1123</v>
      </c>
      <c r="K185" s="25" t="s">
        <v>695</v>
      </c>
    </row>
  </sheetData>
  <autoFilter ref="A1:K185" xr:uid="{8D530B6E-0BD0-4B79-830C-94E82717558A}"/>
  <conditionalFormatting sqref="A1:A1048576">
    <cfRule type="duplicateValues" dxfId="5" priority="1"/>
  </conditionalFormatting>
  <conditionalFormatting sqref="B1:D1048576">
    <cfRule type="duplicateValues" dxfId="4" priority="2"/>
  </conditionalFormatting>
  <pageMargins left="0" right="0" top="0" bottom="0" header="0" footer="0"/>
  <pageSetup scale="71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E6599-46A5-4DE1-B4F7-CACD814F2371}">
  <sheetPr codeName="Sheet10">
    <pageSetUpPr fitToPage="1"/>
  </sheetPr>
  <dimension ref="A1:K185"/>
  <sheetViews>
    <sheetView workbookViewId="0">
      <selection activeCell="L1" sqref="L1"/>
    </sheetView>
  </sheetViews>
  <sheetFormatPr defaultRowHeight="15" x14ac:dyDescent="0.25"/>
  <cols>
    <col min="1" max="1" width="24.42578125" bestFit="1" customWidth="1"/>
    <col min="2" max="2" width="9.5703125" bestFit="1" customWidth="1"/>
    <col min="3" max="4" width="9.5703125" customWidth="1"/>
    <col min="5" max="5" width="43" bestFit="1" customWidth="1"/>
    <col min="6" max="6" width="29.42578125" bestFit="1" customWidth="1"/>
    <col min="7" max="7" width="16.5703125" bestFit="1" customWidth="1"/>
    <col min="8" max="8" width="25.42578125" bestFit="1" customWidth="1"/>
    <col min="9" max="9" width="7.5703125" bestFit="1" customWidth="1"/>
    <col min="10" max="10" width="12.42578125" bestFit="1" customWidth="1"/>
    <col min="11" max="11" width="7.5703125" bestFit="1" customWidth="1"/>
  </cols>
  <sheetData>
    <row r="1" spans="1:11" ht="18.75" x14ac:dyDescent="0.3">
      <c r="A1" s="24" t="s">
        <v>247</v>
      </c>
      <c r="B1" s="24" t="s">
        <v>249</v>
      </c>
      <c r="C1" s="25" t="s">
        <v>1339</v>
      </c>
      <c r="D1" s="25" t="s">
        <v>1340</v>
      </c>
      <c r="E1" s="24" t="s">
        <v>248</v>
      </c>
      <c r="F1" s="24" t="s">
        <v>1119</v>
      </c>
      <c r="G1" s="24" t="s">
        <v>1324</v>
      </c>
      <c r="H1" s="24" t="s">
        <v>1323</v>
      </c>
      <c r="I1" s="24" t="s">
        <v>1337</v>
      </c>
      <c r="J1" s="24" t="s">
        <v>1328</v>
      </c>
      <c r="K1" s="24" t="s">
        <v>692</v>
      </c>
    </row>
    <row r="2" spans="1:11" ht="18.75" x14ac:dyDescent="0.3">
      <c r="A2" s="25" t="s">
        <v>1</v>
      </c>
      <c r="B2" s="25" t="s">
        <v>250</v>
      </c>
      <c r="C2" s="25" t="s">
        <v>1330</v>
      </c>
      <c r="D2" s="25">
        <v>1</v>
      </c>
      <c r="E2" s="25" t="s">
        <v>702</v>
      </c>
      <c r="F2" s="25" t="s">
        <v>107</v>
      </c>
      <c r="G2" s="25" t="s">
        <v>696</v>
      </c>
      <c r="H2" s="25" t="s">
        <v>512</v>
      </c>
      <c r="I2" s="25">
        <v>12000</v>
      </c>
      <c r="J2" s="25" t="s">
        <v>246</v>
      </c>
      <c r="K2" s="25" t="s">
        <v>1336</v>
      </c>
    </row>
    <row r="3" spans="1:11" ht="18.75" x14ac:dyDescent="0.3">
      <c r="A3" s="25" t="s">
        <v>75</v>
      </c>
      <c r="B3" s="25" t="s">
        <v>251</v>
      </c>
      <c r="C3" s="25" t="s">
        <v>1330</v>
      </c>
      <c r="D3" s="25">
        <v>10</v>
      </c>
      <c r="E3" s="25" t="s">
        <v>827</v>
      </c>
      <c r="F3" s="25" t="s">
        <v>192</v>
      </c>
      <c r="G3" s="25"/>
      <c r="H3" s="25"/>
      <c r="I3" s="25"/>
      <c r="J3" s="25" t="s">
        <v>1327</v>
      </c>
      <c r="K3" s="25" t="s">
        <v>1336</v>
      </c>
    </row>
    <row r="4" spans="1:11" ht="18.75" x14ac:dyDescent="0.3">
      <c r="A4" s="25" t="s">
        <v>76</v>
      </c>
      <c r="B4" s="25" t="s">
        <v>252</v>
      </c>
      <c r="C4" s="25" t="s">
        <v>1330</v>
      </c>
      <c r="D4" s="25">
        <v>11</v>
      </c>
      <c r="E4" s="25" t="s">
        <v>814</v>
      </c>
      <c r="F4" s="25" t="s">
        <v>193</v>
      </c>
      <c r="G4" s="25"/>
      <c r="H4" s="25"/>
      <c r="I4" s="25"/>
      <c r="J4" s="25" t="s">
        <v>1327</v>
      </c>
      <c r="K4" s="25" t="s">
        <v>1336</v>
      </c>
    </row>
    <row r="5" spans="1:11" ht="18.75" x14ac:dyDescent="0.3">
      <c r="A5" s="25" t="s">
        <v>77</v>
      </c>
      <c r="B5" s="25" t="s">
        <v>253</v>
      </c>
      <c r="C5" s="25" t="s">
        <v>1330</v>
      </c>
      <c r="D5" s="25">
        <v>12</v>
      </c>
      <c r="E5" s="25" t="s">
        <v>730</v>
      </c>
      <c r="F5" s="25" t="s">
        <v>1214</v>
      </c>
      <c r="G5" s="25"/>
      <c r="H5" s="25"/>
      <c r="I5" s="25"/>
      <c r="J5" s="25" t="s">
        <v>1327</v>
      </c>
      <c r="K5" s="25" t="s">
        <v>1336</v>
      </c>
    </row>
    <row r="6" spans="1:11" ht="18.75" x14ac:dyDescent="0.3">
      <c r="A6" s="25" t="s">
        <v>78</v>
      </c>
      <c r="B6" s="25" t="s">
        <v>254</v>
      </c>
      <c r="C6" s="25" t="s">
        <v>1330</v>
      </c>
      <c r="D6" s="25">
        <v>13</v>
      </c>
      <c r="E6" s="25" t="s">
        <v>822</v>
      </c>
      <c r="F6" s="25" t="s">
        <v>195</v>
      </c>
      <c r="G6" s="25"/>
      <c r="H6" s="25"/>
      <c r="I6" s="25"/>
      <c r="J6" s="25" t="s">
        <v>1327</v>
      </c>
      <c r="K6" s="25" t="s">
        <v>1336</v>
      </c>
    </row>
    <row r="7" spans="1:11" ht="18.75" x14ac:dyDescent="0.3">
      <c r="A7" s="25" t="s">
        <v>230</v>
      </c>
      <c r="B7" s="25" t="s">
        <v>255</v>
      </c>
      <c r="C7" s="25" t="s">
        <v>1330</v>
      </c>
      <c r="D7" s="25">
        <v>14</v>
      </c>
      <c r="E7" s="25" t="s">
        <v>725</v>
      </c>
      <c r="F7" s="25" t="s">
        <v>1124</v>
      </c>
      <c r="G7" s="25"/>
      <c r="H7" s="25"/>
      <c r="I7" s="25"/>
      <c r="J7" s="25" t="s">
        <v>1327</v>
      </c>
      <c r="K7" s="25" t="s">
        <v>1336</v>
      </c>
    </row>
    <row r="8" spans="1:11" ht="18.75" x14ac:dyDescent="0.3">
      <c r="A8" s="25" t="s">
        <v>256</v>
      </c>
      <c r="B8" s="25" t="s">
        <v>257</v>
      </c>
      <c r="C8" s="25" t="s">
        <v>1330</v>
      </c>
      <c r="D8" s="25">
        <v>15</v>
      </c>
      <c r="E8" s="25" t="s">
        <v>781</v>
      </c>
      <c r="F8" s="25" t="s">
        <v>1165</v>
      </c>
      <c r="G8" s="25" t="s">
        <v>696</v>
      </c>
      <c r="H8" s="25" t="s">
        <v>518</v>
      </c>
      <c r="I8" s="25">
        <v>4000</v>
      </c>
      <c r="J8" s="25" t="s">
        <v>1321</v>
      </c>
      <c r="K8" s="25" t="s">
        <v>695</v>
      </c>
    </row>
    <row r="9" spans="1:11" ht="18.75" x14ac:dyDescent="0.3">
      <c r="A9" s="25" t="s">
        <v>258</v>
      </c>
      <c r="B9" s="25" t="s">
        <v>259</v>
      </c>
      <c r="C9" s="25" t="s">
        <v>1330</v>
      </c>
      <c r="D9" s="25">
        <v>16</v>
      </c>
      <c r="E9" s="25" t="s">
        <v>748</v>
      </c>
      <c r="F9" s="25" t="s">
        <v>1205</v>
      </c>
      <c r="G9" s="25" t="s">
        <v>696</v>
      </c>
      <c r="H9" s="25" t="s">
        <v>519</v>
      </c>
      <c r="I9" s="25">
        <v>4000</v>
      </c>
      <c r="J9" s="25" t="s">
        <v>246</v>
      </c>
      <c r="K9" s="25" t="s">
        <v>695</v>
      </c>
    </row>
    <row r="10" spans="1:11" ht="18.75" x14ac:dyDescent="0.3">
      <c r="A10" s="25" t="s">
        <v>260</v>
      </c>
      <c r="B10" s="25" t="s">
        <v>261</v>
      </c>
      <c r="C10" s="25" t="s">
        <v>1330</v>
      </c>
      <c r="D10" s="25">
        <v>17</v>
      </c>
      <c r="E10" s="25" t="s">
        <v>736</v>
      </c>
      <c r="F10" s="25" t="s">
        <v>1208</v>
      </c>
      <c r="G10" s="25" t="s">
        <v>696</v>
      </c>
      <c r="H10" s="25" t="s">
        <v>520</v>
      </c>
      <c r="I10" s="25">
        <v>2000</v>
      </c>
      <c r="J10" s="25" t="s">
        <v>246</v>
      </c>
      <c r="K10" s="25" t="s">
        <v>695</v>
      </c>
    </row>
    <row r="11" spans="1:11" ht="18.75" x14ac:dyDescent="0.3">
      <c r="A11" s="25" t="s">
        <v>262</v>
      </c>
      <c r="B11" s="25" t="s">
        <v>263</v>
      </c>
      <c r="C11" s="25" t="s">
        <v>1330</v>
      </c>
      <c r="D11" s="25">
        <v>18</v>
      </c>
      <c r="E11" s="25" t="s">
        <v>866</v>
      </c>
      <c r="F11" s="25" t="s">
        <v>1193</v>
      </c>
      <c r="G11" s="25" t="s">
        <v>696</v>
      </c>
      <c r="H11" s="25" t="s">
        <v>521</v>
      </c>
      <c r="I11" s="25">
        <v>3000</v>
      </c>
      <c r="J11" s="25" t="s">
        <v>1321</v>
      </c>
      <c r="K11" s="25" t="s">
        <v>695</v>
      </c>
    </row>
    <row r="12" spans="1:11" ht="18.75" x14ac:dyDescent="0.3">
      <c r="A12" s="25" t="s">
        <v>264</v>
      </c>
      <c r="B12" s="25" t="s">
        <v>265</v>
      </c>
      <c r="C12" s="25" t="s">
        <v>1330</v>
      </c>
      <c r="D12" s="25">
        <v>19</v>
      </c>
      <c r="E12" s="25" t="s">
        <v>810</v>
      </c>
      <c r="F12" s="25" t="s">
        <v>1171</v>
      </c>
      <c r="G12" s="25" t="s">
        <v>696</v>
      </c>
      <c r="H12" s="25" t="s">
        <v>522</v>
      </c>
      <c r="I12" s="25">
        <v>4000</v>
      </c>
      <c r="J12" s="25" t="s">
        <v>1321</v>
      </c>
      <c r="K12" s="25" t="s">
        <v>695</v>
      </c>
    </row>
    <row r="13" spans="1:11" ht="18.75" x14ac:dyDescent="0.3">
      <c r="A13" s="25" t="s">
        <v>2</v>
      </c>
      <c r="B13" s="25" t="s">
        <v>266</v>
      </c>
      <c r="C13" s="25" t="s">
        <v>1330</v>
      </c>
      <c r="D13" s="25">
        <v>2</v>
      </c>
      <c r="E13" s="25" t="s">
        <v>750</v>
      </c>
      <c r="F13" s="25" t="s">
        <v>109</v>
      </c>
      <c r="G13" s="25"/>
      <c r="H13" s="25"/>
      <c r="I13" s="25"/>
      <c r="J13" s="25" t="s">
        <v>1327</v>
      </c>
      <c r="K13" s="25" t="s">
        <v>1336</v>
      </c>
    </row>
    <row r="14" spans="1:11" ht="18.75" x14ac:dyDescent="0.3">
      <c r="A14" s="25" t="s">
        <v>267</v>
      </c>
      <c r="B14" s="25" t="s">
        <v>268</v>
      </c>
      <c r="C14" s="25" t="s">
        <v>1330</v>
      </c>
      <c r="D14" s="25">
        <v>20</v>
      </c>
      <c r="E14" s="25" t="s">
        <v>784</v>
      </c>
      <c r="F14" s="25" t="s">
        <v>1210</v>
      </c>
      <c r="G14" s="25" t="s">
        <v>699</v>
      </c>
      <c r="H14" s="25" t="s">
        <v>1210</v>
      </c>
      <c r="I14" s="25">
        <v>2000</v>
      </c>
      <c r="J14" s="25" t="s">
        <v>246</v>
      </c>
      <c r="K14" s="25" t="s">
        <v>695</v>
      </c>
    </row>
    <row r="15" spans="1:11" ht="18.75" x14ac:dyDescent="0.3">
      <c r="A15" s="25" t="s">
        <v>269</v>
      </c>
      <c r="B15" s="25" t="s">
        <v>270</v>
      </c>
      <c r="C15" s="25" t="s">
        <v>1330</v>
      </c>
      <c r="D15" s="25">
        <v>21</v>
      </c>
      <c r="E15" s="25" t="s">
        <v>845</v>
      </c>
      <c r="F15" s="25" t="s">
        <v>1194</v>
      </c>
      <c r="G15" s="25" t="s">
        <v>696</v>
      </c>
      <c r="H15" s="25" t="s">
        <v>525</v>
      </c>
      <c r="I15" s="25">
        <v>2000</v>
      </c>
      <c r="J15" s="25" t="s">
        <v>1321</v>
      </c>
      <c r="K15" s="25" t="s">
        <v>695</v>
      </c>
    </row>
    <row r="16" spans="1:11" ht="18.75" x14ac:dyDescent="0.3">
      <c r="A16" s="25" t="s">
        <v>271</v>
      </c>
      <c r="B16" s="25" t="s">
        <v>272</v>
      </c>
      <c r="C16" s="25" t="s">
        <v>1330</v>
      </c>
      <c r="D16" s="25">
        <v>22</v>
      </c>
      <c r="E16" s="25" t="s">
        <v>841</v>
      </c>
      <c r="F16" s="25" t="s">
        <v>1174</v>
      </c>
      <c r="G16" s="25" t="s">
        <v>698</v>
      </c>
      <c r="H16" s="25" t="s">
        <v>1174</v>
      </c>
      <c r="I16" s="25">
        <v>3000</v>
      </c>
      <c r="J16" s="25" t="s">
        <v>1321</v>
      </c>
      <c r="K16" s="25" t="s">
        <v>695</v>
      </c>
    </row>
    <row r="17" spans="1:11" ht="18.75" x14ac:dyDescent="0.3">
      <c r="A17" s="25" t="s">
        <v>273</v>
      </c>
      <c r="B17" s="25" t="s">
        <v>274</v>
      </c>
      <c r="C17" s="25" t="s">
        <v>1330</v>
      </c>
      <c r="D17" s="25">
        <v>23</v>
      </c>
      <c r="E17" s="25" t="s">
        <v>850</v>
      </c>
      <c r="F17" s="25" t="s">
        <v>1204</v>
      </c>
      <c r="G17" s="25" t="s">
        <v>696</v>
      </c>
      <c r="H17" s="25" t="s">
        <v>527</v>
      </c>
      <c r="I17" s="25">
        <v>4000</v>
      </c>
      <c r="J17" s="25" t="s">
        <v>246</v>
      </c>
      <c r="K17" s="25" t="s">
        <v>695</v>
      </c>
    </row>
    <row r="18" spans="1:11" ht="18.75" x14ac:dyDescent="0.3">
      <c r="A18" s="25" t="s">
        <v>275</v>
      </c>
      <c r="B18" s="25" t="s">
        <v>276</v>
      </c>
      <c r="C18" s="25" t="s">
        <v>1330</v>
      </c>
      <c r="D18" s="25">
        <v>24</v>
      </c>
      <c r="E18" s="25" t="s">
        <v>815</v>
      </c>
      <c r="F18" s="25" t="s">
        <v>1185</v>
      </c>
      <c r="G18" s="25" t="s">
        <v>696</v>
      </c>
      <c r="H18" s="25" t="s">
        <v>1307</v>
      </c>
      <c r="I18" s="25">
        <v>3000</v>
      </c>
      <c r="J18" s="25" t="s">
        <v>1321</v>
      </c>
      <c r="K18" s="25" t="s">
        <v>695</v>
      </c>
    </row>
    <row r="19" spans="1:11" ht="18.75" x14ac:dyDescent="0.3">
      <c r="A19" s="25" t="s">
        <v>277</v>
      </c>
      <c r="B19" s="25" t="s">
        <v>278</v>
      </c>
      <c r="C19" s="25" t="s">
        <v>1330</v>
      </c>
      <c r="D19" s="25">
        <v>25</v>
      </c>
      <c r="E19" s="25" t="s">
        <v>778</v>
      </c>
      <c r="F19" s="25" t="s">
        <v>1206</v>
      </c>
      <c r="G19" s="25" t="s">
        <v>696</v>
      </c>
      <c r="H19" s="25" t="s">
        <v>529</v>
      </c>
      <c r="I19" s="25">
        <v>4000</v>
      </c>
      <c r="J19" s="25" t="s">
        <v>246</v>
      </c>
      <c r="K19" s="25" t="s">
        <v>695</v>
      </c>
    </row>
    <row r="20" spans="1:11" ht="18.75" x14ac:dyDescent="0.3">
      <c r="A20" s="25" t="s">
        <v>279</v>
      </c>
      <c r="B20" s="25" t="s">
        <v>280</v>
      </c>
      <c r="C20" s="25" t="s">
        <v>1330</v>
      </c>
      <c r="D20" s="25">
        <v>26</v>
      </c>
      <c r="E20" s="25" t="s">
        <v>834</v>
      </c>
      <c r="F20" s="25" t="s">
        <v>1173</v>
      </c>
      <c r="G20" s="25" t="s">
        <v>696</v>
      </c>
      <c r="H20" s="25" t="s">
        <v>1293</v>
      </c>
      <c r="I20" s="25">
        <v>4000</v>
      </c>
      <c r="J20" s="25" t="s">
        <v>1321</v>
      </c>
      <c r="K20" s="25" t="s">
        <v>695</v>
      </c>
    </row>
    <row r="21" spans="1:11" ht="18.75" x14ac:dyDescent="0.3">
      <c r="A21" s="25" t="s">
        <v>281</v>
      </c>
      <c r="B21" s="25" t="s">
        <v>282</v>
      </c>
      <c r="C21" s="25" t="s">
        <v>1330</v>
      </c>
      <c r="D21" s="25">
        <v>27</v>
      </c>
      <c r="E21" s="25" t="s">
        <v>808</v>
      </c>
      <c r="F21" s="25" t="s">
        <v>1170</v>
      </c>
      <c r="G21" s="25" t="s">
        <v>696</v>
      </c>
      <c r="H21" s="25" t="s">
        <v>531</v>
      </c>
      <c r="I21" s="25">
        <v>3000</v>
      </c>
      <c r="J21" s="25" t="s">
        <v>1123</v>
      </c>
      <c r="K21" s="25" t="s">
        <v>695</v>
      </c>
    </row>
    <row r="22" spans="1:11" ht="18.75" x14ac:dyDescent="0.3">
      <c r="A22" s="25" t="s">
        <v>283</v>
      </c>
      <c r="B22" s="25" t="s">
        <v>284</v>
      </c>
      <c r="C22" s="25" t="s">
        <v>1330</v>
      </c>
      <c r="D22" s="25">
        <v>28</v>
      </c>
      <c r="E22" s="25" t="s">
        <v>816</v>
      </c>
      <c r="F22" s="25" t="s">
        <v>1207</v>
      </c>
      <c r="G22" s="25" t="s">
        <v>696</v>
      </c>
      <c r="H22" s="25" t="s">
        <v>532</v>
      </c>
      <c r="I22" s="25">
        <v>4000</v>
      </c>
      <c r="J22" s="25" t="s">
        <v>246</v>
      </c>
      <c r="K22" s="25" t="s">
        <v>695</v>
      </c>
    </row>
    <row r="23" spans="1:11" ht="18.75" x14ac:dyDescent="0.3">
      <c r="A23" s="25" t="s">
        <v>285</v>
      </c>
      <c r="B23" s="25" t="s">
        <v>286</v>
      </c>
      <c r="C23" s="25" t="s">
        <v>1330</v>
      </c>
      <c r="D23" s="25">
        <v>29</v>
      </c>
      <c r="E23" s="25" t="s">
        <v>861</v>
      </c>
      <c r="F23" s="25" t="s">
        <v>1177</v>
      </c>
      <c r="G23" s="25" t="s">
        <v>696</v>
      </c>
      <c r="H23" s="25" t="s">
        <v>533</v>
      </c>
      <c r="I23" s="25">
        <v>4000</v>
      </c>
      <c r="J23" s="25" t="s">
        <v>1321</v>
      </c>
      <c r="K23" s="25" t="s">
        <v>695</v>
      </c>
    </row>
    <row r="24" spans="1:11" ht="18.75" x14ac:dyDescent="0.3">
      <c r="A24" s="25" t="s">
        <v>3</v>
      </c>
      <c r="B24" s="25" t="s">
        <v>287</v>
      </c>
      <c r="C24" s="25" t="s">
        <v>1330</v>
      </c>
      <c r="D24" s="25">
        <v>3</v>
      </c>
      <c r="E24" s="25" t="s">
        <v>709</v>
      </c>
      <c r="F24" s="25" t="s">
        <v>110</v>
      </c>
      <c r="G24" s="25"/>
      <c r="H24" s="25"/>
      <c r="I24" s="25"/>
      <c r="J24" s="25" t="s">
        <v>1327</v>
      </c>
      <c r="K24" s="25" t="s">
        <v>1336</v>
      </c>
    </row>
    <row r="25" spans="1:11" ht="18.75" x14ac:dyDescent="0.3">
      <c r="A25" s="25" t="s">
        <v>288</v>
      </c>
      <c r="B25" s="25" t="s">
        <v>289</v>
      </c>
      <c r="C25" s="25" t="s">
        <v>1330</v>
      </c>
      <c r="D25" s="25">
        <v>30</v>
      </c>
      <c r="E25" s="25" t="s">
        <v>867</v>
      </c>
      <c r="F25" s="25" t="s">
        <v>1182</v>
      </c>
      <c r="G25" s="25" t="s">
        <v>698</v>
      </c>
      <c r="H25" s="25" t="s">
        <v>1182</v>
      </c>
      <c r="I25" s="25">
        <v>4000</v>
      </c>
      <c r="J25" s="25" t="s">
        <v>1321</v>
      </c>
      <c r="K25" s="25" t="s">
        <v>695</v>
      </c>
    </row>
    <row r="26" spans="1:11" ht="18.75" x14ac:dyDescent="0.3">
      <c r="A26" s="25" t="s">
        <v>290</v>
      </c>
      <c r="B26" s="25" t="s">
        <v>291</v>
      </c>
      <c r="C26" s="25" t="s">
        <v>1330</v>
      </c>
      <c r="D26" s="25">
        <v>31</v>
      </c>
      <c r="E26" s="25" t="s">
        <v>862</v>
      </c>
      <c r="F26" s="25" t="s">
        <v>1180</v>
      </c>
      <c r="G26" s="25" t="s">
        <v>696</v>
      </c>
      <c r="H26" s="25" t="s">
        <v>1309</v>
      </c>
      <c r="I26" s="25">
        <v>4000</v>
      </c>
      <c r="J26" s="25" t="s">
        <v>1321</v>
      </c>
      <c r="K26" s="25" t="s">
        <v>695</v>
      </c>
    </row>
    <row r="27" spans="1:11" ht="18.75" x14ac:dyDescent="0.3">
      <c r="A27" s="25" t="s">
        <v>292</v>
      </c>
      <c r="B27" s="25" t="s">
        <v>293</v>
      </c>
      <c r="C27" s="25" t="s">
        <v>1330</v>
      </c>
      <c r="D27" s="25">
        <v>32</v>
      </c>
      <c r="E27" s="25" t="s">
        <v>735</v>
      </c>
      <c r="F27" s="25" t="s">
        <v>1183</v>
      </c>
      <c r="G27" s="25" t="s">
        <v>696</v>
      </c>
      <c r="H27" s="25" t="s">
        <v>537</v>
      </c>
      <c r="I27" s="25">
        <v>2000</v>
      </c>
      <c r="J27" s="25" t="s">
        <v>1321</v>
      </c>
      <c r="K27" s="25" t="s">
        <v>695</v>
      </c>
    </row>
    <row r="28" spans="1:11" ht="18.75" x14ac:dyDescent="0.3">
      <c r="A28" s="25" t="s">
        <v>294</v>
      </c>
      <c r="B28" s="25" t="s">
        <v>295</v>
      </c>
      <c r="C28" s="25" t="s">
        <v>1330</v>
      </c>
      <c r="D28" s="25">
        <v>33</v>
      </c>
      <c r="E28" s="25" t="s">
        <v>835</v>
      </c>
      <c r="F28" s="25" t="s">
        <v>1189</v>
      </c>
      <c r="G28" s="25" t="s">
        <v>696</v>
      </c>
      <c r="H28" s="25" t="s">
        <v>538</v>
      </c>
      <c r="I28" s="25">
        <v>3000</v>
      </c>
      <c r="J28" s="25" t="s">
        <v>1321</v>
      </c>
      <c r="K28" s="25" t="s">
        <v>695</v>
      </c>
    </row>
    <row r="29" spans="1:11" ht="18.75" x14ac:dyDescent="0.3">
      <c r="A29" s="25" t="s">
        <v>296</v>
      </c>
      <c r="B29" s="25" t="s">
        <v>297</v>
      </c>
      <c r="C29" s="25" t="s">
        <v>1330</v>
      </c>
      <c r="D29" s="25">
        <v>34</v>
      </c>
      <c r="E29" s="25" t="s">
        <v>751</v>
      </c>
      <c r="F29" s="25" t="s">
        <v>1191</v>
      </c>
      <c r="G29" s="25" t="s">
        <v>696</v>
      </c>
      <c r="H29" s="25" t="s">
        <v>539</v>
      </c>
      <c r="I29" s="25">
        <v>1000</v>
      </c>
      <c r="J29" s="25" t="s">
        <v>1123</v>
      </c>
      <c r="K29" s="25" t="s">
        <v>695</v>
      </c>
    </row>
    <row r="30" spans="1:11" ht="18.75" x14ac:dyDescent="0.3">
      <c r="A30" s="25" t="s">
        <v>298</v>
      </c>
      <c r="B30" s="25" t="s">
        <v>299</v>
      </c>
      <c r="C30" s="25" t="s">
        <v>1330</v>
      </c>
      <c r="D30" s="25">
        <v>35</v>
      </c>
      <c r="E30" s="25" t="s">
        <v>832</v>
      </c>
      <c r="F30" s="25" t="s">
        <v>1196</v>
      </c>
      <c r="G30" s="25" t="s">
        <v>696</v>
      </c>
      <c r="H30" s="25" t="s">
        <v>1317</v>
      </c>
      <c r="I30" s="25">
        <v>2000</v>
      </c>
      <c r="J30" s="25" t="s">
        <v>1321</v>
      </c>
      <c r="K30" s="25" t="s">
        <v>695</v>
      </c>
    </row>
    <row r="31" spans="1:11" ht="18.75" x14ac:dyDescent="0.3">
      <c r="A31" s="25" t="s">
        <v>300</v>
      </c>
      <c r="B31" s="25" t="s">
        <v>301</v>
      </c>
      <c r="C31" s="25" t="s">
        <v>1330</v>
      </c>
      <c r="D31" s="25">
        <v>36</v>
      </c>
      <c r="E31" s="25" t="s">
        <v>763</v>
      </c>
      <c r="F31" s="25" t="s">
        <v>1190</v>
      </c>
      <c r="G31" s="25" t="s">
        <v>696</v>
      </c>
      <c r="H31" s="25" t="s">
        <v>541</v>
      </c>
      <c r="I31" s="25">
        <v>2000</v>
      </c>
      <c r="J31" s="25" t="s">
        <v>1321</v>
      </c>
      <c r="K31" s="25" t="s">
        <v>695</v>
      </c>
    </row>
    <row r="32" spans="1:11" ht="18.75" x14ac:dyDescent="0.3">
      <c r="A32" s="25" t="s">
        <v>302</v>
      </c>
      <c r="B32" s="25" t="s">
        <v>303</v>
      </c>
      <c r="C32" s="25" t="s">
        <v>1330</v>
      </c>
      <c r="D32" s="25">
        <v>37</v>
      </c>
      <c r="E32" s="25" t="s">
        <v>826</v>
      </c>
      <c r="F32" s="25" t="s">
        <v>1188</v>
      </c>
      <c r="G32" s="25" t="s">
        <v>696</v>
      </c>
      <c r="H32" s="25" t="s">
        <v>1305</v>
      </c>
      <c r="I32" s="25">
        <v>3000</v>
      </c>
      <c r="J32" s="25" t="s">
        <v>1321</v>
      </c>
      <c r="K32" s="25" t="s">
        <v>695</v>
      </c>
    </row>
    <row r="33" spans="1:11" ht="18.75" x14ac:dyDescent="0.3">
      <c r="A33" s="25" t="s">
        <v>304</v>
      </c>
      <c r="B33" s="25" t="s">
        <v>305</v>
      </c>
      <c r="C33" s="25" t="s">
        <v>1330</v>
      </c>
      <c r="D33" s="25">
        <v>38</v>
      </c>
      <c r="E33" s="25" t="s">
        <v>763</v>
      </c>
      <c r="F33" s="25" t="s">
        <v>1209</v>
      </c>
      <c r="G33" s="25" t="s">
        <v>696</v>
      </c>
      <c r="H33" s="25" t="s">
        <v>543</v>
      </c>
      <c r="I33" s="25">
        <v>2000</v>
      </c>
      <c r="J33" s="25" t="s">
        <v>246</v>
      </c>
      <c r="K33" s="25" t="s">
        <v>695</v>
      </c>
    </row>
    <row r="34" spans="1:11" ht="18.75" x14ac:dyDescent="0.3">
      <c r="A34" s="25" t="s">
        <v>308</v>
      </c>
      <c r="B34" s="25" t="s">
        <v>306</v>
      </c>
      <c r="C34" s="25" t="s">
        <v>1330</v>
      </c>
      <c r="D34" s="25">
        <v>39</v>
      </c>
      <c r="E34" s="25" t="s">
        <v>855</v>
      </c>
      <c r="F34" s="25" t="s">
        <v>1195</v>
      </c>
      <c r="G34" s="25" t="s">
        <v>699</v>
      </c>
      <c r="H34" s="25" t="s">
        <v>1195</v>
      </c>
      <c r="I34" s="25">
        <v>500</v>
      </c>
      <c r="J34" s="25" t="s">
        <v>1321</v>
      </c>
      <c r="K34" s="25" t="s">
        <v>695</v>
      </c>
    </row>
    <row r="35" spans="1:11" ht="18.75" x14ac:dyDescent="0.3">
      <c r="A35" s="25" t="s">
        <v>7</v>
      </c>
      <c r="B35" s="25" t="s">
        <v>307</v>
      </c>
      <c r="C35" s="25" t="s">
        <v>1330</v>
      </c>
      <c r="D35" s="25">
        <v>4</v>
      </c>
      <c r="E35" s="25" t="s">
        <v>704</v>
      </c>
      <c r="F35" s="25" t="s">
        <v>115</v>
      </c>
      <c r="G35" s="25"/>
      <c r="H35" s="25"/>
      <c r="I35" s="25"/>
      <c r="J35" s="25" t="s">
        <v>1327</v>
      </c>
      <c r="K35" s="25" t="s">
        <v>1336</v>
      </c>
    </row>
    <row r="36" spans="1:11" ht="18.75" x14ac:dyDescent="0.3">
      <c r="A36" s="25" t="s">
        <v>74</v>
      </c>
      <c r="B36" s="25" t="s">
        <v>1333</v>
      </c>
      <c r="C36" s="25" t="s">
        <v>1330</v>
      </c>
      <c r="D36" s="25">
        <v>40</v>
      </c>
      <c r="E36" s="25" t="s">
        <v>880</v>
      </c>
      <c r="F36" s="25" t="s">
        <v>191</v>
      </c>
      <c r="G36" s="25"/>
      <c r="H36" s="25"/>
      <c r="I36" s="25"/>
      <c r="J36" s="25" t="s">
        <v>1327</v>
      </c>
      <c r="K36" s="25" t="s">
        <v>1336</v>
      </c>
    </row>
    <row r="37" spans="1:11" ht="18.75" x14ac:dyDescent="0.3">
      <c r="A37" s="25" t="s">
        <v>72</v>
      </c>
      <c r="B37" s="25" t="s">
        <v>309</v>
      </c>
      <c r="C37" s="25" t="s">
        <v>1330</v>
      </c>
      <c r="D37" s="25">
        <v>41</v>
      </c>
      <c r="E37" s="25" t="s">
        <v>879</v>
      </c>
      <c r="F37" s="25" t="s">
        <v>188</v>
      </c>
      <c r="G37" s="25"/>
      <c r="H37" s="25"/>
      <c r="I37" s="25"/>
      <c r="J37" s="25" t="s">
        <v>1327</v>
      </c>
      <c r="K37" s="25" t="s">
        <v>1336</v>
      </c>
    </row>
    <row r="38" spans="1:11" ht="18.75" x14ac:dyDescent="0.3">
      <c r="A38" s="25" t="s">
        <v>73</v>
      </c>
      <c r="B38" s="25" t="s">
        <v>310</v>
      </c>
      <c r="C38" s="25" t="s">
        <v>1330</v>
      </c>
      <c r="D38" s="25">
        <v>42</v>
      </c>
      <c r="E38" s="25" t="s">
        <v>864</v>
      </c>
      <c r="F38" s="25" t="s">
        <v>189</v>
      </c>
      <c r="G38" s="25"/>
      <c r="H38" s="25"/>
      <c r="I38" s="25"/>
      <c r="J38" s="25" t="s">
        <v>1327</v>
      </c>
      <c r="K38" s="25" t="s">
        <v>1336</v>
      </c>
    </row>
    <row r="39" spans="1:11" ht="18.75" x14ac:dyDescent="0.3">
      <c r="A39" s="25" t="s">
        <v>8</v>
      </c>
      <c r="B39" s="25" t="s">
        <v>311</v>
      </c>
      <c r="C39" s="25" t="s">
        <v>1330</v>
      </c>
      <c r="D39" s="25">
        <v>5</v>
      </c>
      <c r="E39" s="25" t="s">
        <v>722</v>
      </c>
      <c r="F39" s="25" t="s">
        <v>116</v>
      </c>
      <c r="G39" s="25"/>
      <c r="H39" s="25"/>
      <c r="I39" s="25"/>
      <c r="J39" s="25" t="s">
        <v>1327</v>
      </c>
      <c r="K39" s="25" t="s">
        <v>1336</v>
      </c>
    </row>
    <row r="40" spans="1:11" ht="18.75" x14ac:dyDescent="0.3">
      <c r="A40" s="25" t="s">
        <v>55</v>
      </c>
      <c r="B40" s="25" t="s">
        <v>312</v>
      </c>
      <c r="C40" s="25" t="s">
        <v>1330</v>
      </c>
      <c r="D40" s="25">
        <v>6</v>
      </c>
      <c r="E40" s="25" t="s">
        <v>762</v>
      </c>
      <c r="F40" s="25" t="s">
        <v>166</v>
      </c>
      <c r="G40" s="25"/>
      <c r="H40" s="25"/>
      <c r="I40" s="25"/>
      <c r="J40" s="25" t="s">
        <v>1327</v>
      </c>
      <c r="K40" s="25" t="s">
        <v>1336</v>
      </c>
    </row>
    <row r="41" spans="1:11" ht="18.75" x14ac:dyDescent="0.3">
      <c r="A41" s="25" t="s">
        <v>56</v>
      </c>
      <c r="B41" s="25" t="s">
        <v>313</v>
      </c>
      <c r="C41" s="25" t="s">
        <v>1330</v>
      </c>
      <c r="D41" s="25">
        <v>7</v>
      </c>
      <c r="E41" s="25" t="s">
        <v>742</v>
      </c>
      <c r="F41" s="25" t="s">
        <v>168</v>
      </c>
      <c r="G41" s="25"/>
      <c r="H41" s="25"/>
      <c r="I41" s="25"/>
      <c r="J41" s="25" t="s">
        <v>1327</v>
      </c>
      <c r="K41" s="25" t="s">
        <v>1336</v>
      </c>
    </row>
    <row r="42" spans="1:11" ht="18.75" x14ac:dyDescent="0.3">
      <c r="A42" s="25" t="s">
        <v>57</v>
      </c>
      <c r="B42" s="25" t="s">
        <v>314</v>
      </c>
      <c r="C42" s="25" t="s">
        <v>1330</v>
      </c>
      <c r="D42" s="25">
        <v>8</v>
      </c>
      <c r="E42" s="25" t="s">
        <v>768</v>
      </c>
      <c r="F42" s="25" t="s">
        <v>169</v>
      </c>
      <c r="G42" s="25"/>
      <c r="H42" s="25"/>
      <c r="I42" s="25"/>
      <c r="J42" s="25" t="s">
        <v>1327</v>
      </c>
      <c r="K42" s="25" t="s">
        <v>1336</v>
      </c>
    </row>
    <row r="43" spans="1:11" ht="18.75" x14ac:dyDescent="0.3">
      <c r="A43" s="25" t="s">
        <v>58</v>
      </c>
      <c r="B43" s="25" t="s">
        <v>315</v>
      </c>
      <c r="C43" s="25" t="s">
        <v>1330</v>
      </c>
      <c r="D43" s="25">
        <v>9</v>
      </c>
      <c r="E43" s="25" t="s">
        <v>724</v>
      </c>
      <c r="F43" s="25" t="s">
        <v>171</v>
      </c>
      <c r="G43" s="25"/>
      <c r="H43" s="25"/>
      <c r="I43" s="25"/>
      <c r="J43" s="25" t="s">
        <v>1327</v>
      </c>
      <c r="K43" s="25" t="s">
        <v>1336</v>
      </c>
    </row>
    <row r="44" spans="1:11" ht="18.75" x14ac:dyDescent="0.3">
      <c r="A44" s="25" t="s">
        <v>9</v>
      </c>
      <c r="B44" s="25" t="s">
        <v>316</v>
      </c>
      <c r="C44" s="25" t="s">
        <v>1329</v>
      </c>
      <c r="D44" s="25">
        <v>1</v>
      </c>
      <c r="E44" s="25" t="s">
        <v>759</v>
      </c>
      <c r="F44" s="25" t="s">
        <v>120</v>
      </c>
      <c r="G44" s="25"/>
      <c r="H44" s="25"/>
      <c r="I44" s="25"/>
      <c r="J44" s="25" t="s">
        <v>1327</v>
      </c>
      <c r="K44" s="25" t="s">
        <v>1336</v>
      </c>
    </row>
    <row r="45" spans="1:11" ht="18.75" x14ac:dyDescent="0.3">
      <c r="A45" s="25" t="s">
        <v>81</v>
      </c>
      <c r="B45" s="25" t="s">
        <v>317</v>
      </c>
      <c r="C45" s="25" t="s">
        <v>1329</v>
      </c>
      <c r="D45" s="25">
        <v>10</v>
      </c>
      <c r="E45" s="25" t="s">
        <v>772</v>
      </c>
      <c r="F45" s="25" t="s">
        <v>198</v>
      </c>
      <c r="G45" s="25"/>
      <c r="H45" s="25"/>
      <c r="I45" s="25"/>
      <c r="J45" s="25" t="s">
        <v>1327</v>
      </c>
      <c r="K45" s="25" t="s">
        <v>1336</v>
      </c>
    </row>
    <row r="46" spans="1:11" ht="18.75" x14ac:dyDescent="0.3">
      <c r="A46" s="25" t="s">
        <v>82</v>
      </c>
      <c r="B46" s="25" t="s">
        <v>318</v>
      </c>
      <c r="C46" s="25" t="s">
        <v>1329</v>
      </c>
      <c r="D46" s="25">
        <v>11</v>
      </c>
      <c r="E46" s="25" t="s">
        <v>760</v>
      </c>
      <c r="F46" s="25" t="s">
        <v>199</v>
      </c>
      <c r="G46" s="25"/>
      <c r="H46" s="25"/>
      <c r="I46" s="25"/>
      <c r="J46" s="25" t="s">
        <v>1327</v>
      </c>
      <c r="K46" s="25" t="s">
        <v>1336</v>
      </c>
    </row>
    <row r="47" spans="1:11" ht="18.75" x14ac:dyDescent="0.3">
      <c r="A47" s="25" t="s">
        <v>84</v>
      </c>
      <c r="B47" s="25" t="s">
        <v>319</v>
      </c>
      <c r="C47" s="25" t="s">
        <v>1329</v>
      </c>
      <c r="D47" s="25">
        <v>12</v>
      </c>
      <c r="E47" s="25" t="s">
        <v>840</v>
      </c>
      <c r="F47" s="25" t="s">
        <v>201</v>
      </c>
      <c r="G47" s="25"/>
      <c r="H47" s="25"/>
      <c r="I47" s="25"/>
      <c r="J47" s="25" t="s">
        <v>1327</v>
      </c>
      <c r="K47" s="25" t="s">
        <v>1336</v>
      </c>
    </row>
    <row r="48" spans="1:11" ht="18.75" x14ac:dyDescent="0.3">
      <c r="A48" s="25" t="s">
        <v>85</v>
      </c>
      <c r="B48" s="25" t="s">
        <v>320</v>
      </c>
      <c r="C48" s="25" t="s">
        <v>1329</v>
      </c>
      <c r="D48" s="25">
        <v>13</v>
      </c>
      <c r="E48" s="25" t="s">
        <v>846</v>
      </c>
      <c r="F48" s="25" t="s">
        <v>202</v>
      </c>
      <c r="G48" s="25"/>
      <c r="H48" s="25"/>
      <c r="I48" s="25"/>
      <c r="J48" s="25" t="s">
        <v>1327</v>
      </c>
      <c r="K48" s="25" t="s">
        <v>1336</v>
      </c>
    </row>
    <row r="49" spans="1:11" ht="18.75" x14ac:dyDescent="0.3">
      <c r="A49" s="25" t="s">
        <v>229</v>
      </c>
      <c r="B49" s="25" t="s">
        <v>321</v>
      </c>
      <c r="C49" s="25" t="s">
        <v>1329</v>
      </c>
      <c r="D49" s="25">
        <v>14</v>
      </c>
      <c r="E49" s="25" t="s">
        <v>738</v>
      </c>
      <c r="F49" s="25" t="s">
        <v>1125</v>
      </c>
      <c r="G49" s="25"/>
      <c r="H49" s="25"/>
      <c r="I49" s="25"/>
      <c r="J49" s="25" t="s">
        <v>1327</v>
      </c>
      <c r="K49" s="25" t="s">
        <v>1336</v>
      </c>
    </row>
    <row r="50" spans="1:11" ht="18.75" x14ac:dyDescent="0.3">
      <c r="A50" s="25" t="s">
        <v>322</v>
      </c>
      <c r="B50" s="25" t="s">
        <v>323</v>
      </c>
      <c r="C50" s="25" t="s">
        <v>1329</v>
      </c>
      <c r="D50" s="25">
        <v>15</v>
      </c>
      <c r="E50" s="25" t="s">
        <v>737</v>
      </c>
      <c r="F50" s="25" t="s">
        <v>1186</v>
      </c>
      <c r="G50" s="25" t="s">
        <v>696</v>
      </c>
      <c r="H50" s="25" t="s">
        <v>560</v>
      </c>
      <c r="I50" s="25">
        <v>3000</v>
      </c>
      <c r="J50" s="25" t="s">
        <v>246</v>
      </c>
      <c r="K50" s="25" t="s">
        <v>695</v>
      </c>
    </row>
    <row r="51" spans="1:11" ht="18.75" x14ac:dyDescent="0.3">
      <c r="A51" s="25" t="s">
        <v>324</v>
      </c>
      <c r="B51" s="25" t="s">
        <v>325</v>
      </c>
      <c r="C51" s="25" t="s">
        <v>1329</v>
      </c>
      <c r="D51" s="25">
        <v>16</v>
      </c>
      <c r="E51" s="25" t="s">
        <v>740</v>
      </c>
      <c r="F51" s="25" t="s">
        <v>1198</v>
      </c>
      <c r="G51" s="25" t="s">
        <v>696</v>
      </c>
      <c r="H51" s="25" t="s">
        <v>561</v>
      </c>
      <c r="I51" s="25">
        <v>3000</v>
      </c>
      <c r="J51" s="25" t="s">
        <v>246</v>
      </c>
      <c r="K51" s="25" t="s">
        <v>695</v>
      </c>
    </row>
    <row r="52" spans="1:11" ht="18.75" x14ac:dyDescent="0.3">
      <c r="A52" s="25" t="s">
        <v>326</v>
      </c>
      <c r="B52" s="25" t="s">
        <v>327</v>
      </c>
      <c r="C52" s="25" t="s">
        <v>1329</v>
      </c>
      <c r="D52" s="25">
        <v>17</v>
      </c>
      <c r="E52" s="25" t="s">
        <v>786</v>
      </c>
      <c r="F52" s="25" t="s">
        <v>1160</v>
      </c>
      <c r="G52" s="25" t="s">
        <v>696</v>
      </c>
      <c r="H52" s="25" t="s">
        <v>562</v>
      </c>
      <c r="I52" s="25">
        <v>3000</v>
      </c>
      <c r="J52" s="25" t="s">
        <v>1321</v>
      </c>
      <c r="K52" s="25" t="s">
        <v>695</v>
      </c>
    </row>
    <row r="53" spans="1:11" ht="18.75" x14ac:dyDescent="0.3">
      <c r="A53" s="25" t="s">
        <v>328</v>
      </c>
      <c r="B53" s="25" t="s">
        <v>329</v>
      </c>
      <c r="C53" s="25" t="s">
        <v>1329</v>
      </c>
      <c r="D53" s="25">
        <v>18</v>
      </c>
      <c r="E53" s="25" t="s">
        <v>801</v>
      </c>
      <c r="F53" s="25" t="s">
        <v>1192</v>
      </c>
      <c r="G53" s="25" t="s">
        <v>698</v>
      </c>
      <c r="H53" s="25" t="s">
        <v>1192</v>
      </c>
      <c r="I53" s="25">
        <v>4000</v>
      </c>
      <c r="J53" s="25" t="s">
        <v>246</v>
      </c>
      <c r="K53" s="25" t="s">
        <v>695</v>
      </c>
    </row>
    <row r="54" spans="1:11" ht="18.75" x14ac:dyDescent="0.3">
      <c r="A54" s="25" t="s">
        <v>330</v>
      </c>
      <c r="B54" s="25" t="s">
        <v>331</v>
      </c>
      <c r="C54" s="25" t="s">
        <v>1329</v>
      </c>
      <c r="D54" s="25">
        <v>19</v>
      </c>
      <c r="E54" s="25" t="s">
        <v>719</v>
      </c>
      <c r="F54" s="25" t="s">
        <v>1157</v>
      </c>
      <c r="G54" s="25" t="s">
        <v>696</v>
      </c>
      <c r="H54" s="25" t="s">
        <v>564</v>
      </c>
      <c r="I54" s="25">
        <v>3000</v>
      </c>
      <c r="J54" s="25" t="s">
        <v>1123</v>
      </c>
      <c r="K54" s="25" t="s">
        <v>695</v>
      </c>
    </row>
    <row r="55" spans="1:11" ht="18.75" x14ac:dyDescent="0.3">
      <c r="A55" s="25" t="s">
        <v>10</v>
      </c>
      <c r="B55" s="25" t="s">
        <v>332</v>
      </c>
      <c r="C55" s="25" t="s">
        <v>1329</v>
      </c>
      <c r="D55" s="25">
        <v>2</v>
      </c>
      <c r="E55" s="25" t="s">
        <v>717</v>
      </c>
      <c r="F55" s="25" t="s">
        <v>121</v>
      </c>
      <c r="G55" s="25" t="s">
        <v>696</v>
      </c>
      <c r="H55" s="25" t="s">
        <v>565</v>
      </c>
      <c r="I55" s="25">
        <v>5000</v>
      </c>
      <c r="J55" s="25" t="s">
        <v>246</v>
      </c>
      <c r="K55" s="25" t="s">
        <v>1336</v>
      </c>
    </row>
    <row r="56" spans="1:11" ht="18.75" x14ac:dyDescent="0.3">
      <c r="A56" s="25" t="s">
        <v>333</v>
      </c>
      <c r="B56" s="25" t="s">
        <v>334</v>
      </c>
      <c r="C56" s="25" t="s">
        <v>1329</v>
      </c>
      <c r="D56" s="25">
        <v>20</v>
      </c>
      <c r="E56" s="25" t="s">
        <v>783</v>
      </c>
      <c r="F56" s="25" t="s">
        <v>1159</v>
      </c>
      <c r="G56" s="25" t="s">
        <v>698</v>
      </c>
      <c r="H56" s="25" t="s">
        <v>1159</v>
      </c>
      <c r="I56" s="25">
        <v>3000</v>
      </c>
      <c r="J56" s="25" t="s">
        <v>1321</v>
      </c>
      <c r="K56" s="25" t="s">
        <v>695</v>
      </c>
    </row>
    <row r="57" spans="1:11" ht="18.75" x14ac:dyDescent="0.3">
      <c r="A57" s="25" t="s">
        <v>335</v>
      </c>
      <c r="B57" s="25" t="s">
        <v>336</v>
      </c>
      <c r="C57" s="25" t="s">
        <v>1329</v>
      </c>
      <c r="D57" s="25">
        <v>21</v>
      </c>
      <c r="E57" s="25" t="s">
        <v>844</v>
      </c>
      <c r="F57" s="25" t="s">
        <v>1201</v>
      </c>
      <c r="G57" s="25" t="s">
        <v>511</v>
      </c>
      <c r="H57" s="25" t="s">
        <v>1040</v>
      </c>
      <c r="I57" s="25">
        <v>73</v>
      </c>
      <c r="J57" s="25" t="s">
        <v>246</v>
      </c>
      <c r="K57" s="25" t="s">
        <v>695</v>
      </c>
    </row>
    <row r="58" spans="1:11" ht="18.75" x14ac:dyDescent="0.3">
      <c r="A58" s="25" t="s">
        <v>337</v>
      </c>
      <c r="B58" s="25" t="s">
        <v>338</v>
      </c>
      <c r="C58" s="25" t="s">
        <v>1329</v>
      </c>
      <c r="D58" s="25">
        <v>22</v>
      </c>
      <c r="E58" s="25" t="s">
        <v>794</v>
      </c>
      <c r="F58" s="25" t="s">
        <v>1155</v>
      </c>
      <c r="G58" s="25" t="s">
        <v>698</v>
      </c>
      <c r="H58" s="25" t="s">
        <v>1155</v>
      </c>
      <c r="I58" s="25">
        <v>5000</v>
      </c>
      <c r="J58" s="25" t="s">
        <v>1321</v>
      </c>
      <c r="K58" s="25" t="s">
        <v>695</v>
      </c>
    </row>
    <row r="59" spans="1:11" ht="18.75" x14ac:dyDescent="0.3">
      <c r="A59" s="25" t="s">
        <v>339</v>
      </c>
      <c r="B59" s="25" t="s">
        <v>340</v>
      </c>
      <c r="C59" s="25" t="s">
        <v>1329</v>
      </c>
      <c r="D59" s="25">
        <v>23</v>
      </c>
      <c r="E59" s="25" t="s">
        <v>797</v>
      </c>
      <c r="F59" s="25" t="s">
        <v>1154</v>
      </c>
      <c r="G59" s="25" t="s">
        <v>1316</v>
      </c>
      <c r="H59" s="25" t="s">
        <v>1325</v>
      </c>
      <c r="I59" s="25">
        <v>3000</v>
      </c>
      <c r="J59" s="25" t="s">
        <v>1321</v>
      </c>
      <c r="K59" s="25" t="s">
        <v>695</v>
      </c>
    </row>
    <row r="60" spans="1:11" ht="18.75" x14ac:dyDescent="0.3">
      <c r="A60" s="25" t="s">
        <v>341</v>
      </c>
      <c r="B60" s="25" t="s">
        <v>342</v>
      </c>
      <c r="C60" s="25" t="s">
        <v>1329</v>
      </c>
      <c r="D60" s="25">
        <v>24</v>
      </c>
      <c r="E60" s="25" t="s">
        <v>710</v>
      </c>
      <c r="F60" s="25" t="s">
        <v>1153</v>
      </c>
      <c r="G60" s="25" t="s">
        <v>698</v>
      </c>
      <c r="H60" s="25" t="s">
        <v>1153</v>
      </c>
      <c r="I60" s="25">
        <v>3000</v>
      </c>
      <c r="J60" s="25" t="s">
        <v>1321</v>
      </c>
      <c r="K60" s="25" t="s">
        <v>695</v>
      </c>
    </row>
    <row r="61" spans="1:11" ht="18.75" x14ac:dyDescent="0.3">
      <c r="A61" s="25" t="s">
        <v>343</v>
      </c>
      <c r="B61" s="25" t="s">
        <v>344</v>
      </c>
      <c r="C61" s="25" t="s">
        <v>1329</v>
      </c>
      <c r="D61" s="25">
        <v>25</v>
      </c>
      <c r="E61" s="25" t="s">
        <v>718</v>
      </c>
      <c r="F61" s="25" t="s">
        <v>1156</v>
      </c>
      <c r="G61" s="25" t="s">
        <v>698</v>
      </c>
      <c r="H61" s="25" t="s">
        <v>1156</v>
      </c>
      <c r="I61" s="25">
        <v>3000</v>
      </c>
      <c r="J61" s="25" t="s">
        <v>1321</v>
      </c>
      <c r="K61" s="25" t="s">
        <v>695</v>
      </c>
    </row>
    <row r="62" spans="1:11" ht="18.75" x14ac:dyDescent="0.3">
      <c r="A62" s="25" t="s">
        <v>345</v>
      </c>
      <c r="B62" s="25" t="s">
        <v>346</v>
      </c>
      <c r="C62" s="25" t="s">
        <v>1329</v>
      </c>
      <c r="D62" s="25">
        <v>26</v>
      </c>
      <c r="E62" s="25" t="s">
        <v>876</v>
      </c>
      <c r="F62" s="25" t="s">
        <v>1158</v>
      </c>
      <c r="G62" s="25" t="s">
        <v>698</v>
      </c>
      <c r="H62" s="25" t="s">
        <v>1158</v>
      </c>
      <c r="I62" s="25">
        <v>3000</v>
      </c>
      <c r="J62" s="25" t="s">
        <v>1321</v>
      </c>
      <c r="K62" s="25" t="s">
        <v>695</v>
      </c>
    </row>
    <row r="63" spans="1:11" ht="18.75" x14ac:dyDescent="0.3">
      <c r="A63" s="25" t="s">
        <v>65</v>
      </c>
      <c r="B63" s="25" t="s">
        <v>347</v>
      </c>
      <c r="C63" s="25" t="s">
        <v>1329</v>
      </c>
      <c r="D63" s="25">
        <v>27</v>
      </c>
      <c r="E63" s="25" t="s">
        <v>837</v>
      </c>
      <c r="F63" s="25" t="s">
        <v>182</v>
      </c>
      <c r="G63" s="25"/>
      <c r="H63" s="25"/>
      <c r="I63" s="25"/>
      <c r="J63" s="25" t="s">
        <v>1327</v>
      </c>
      <c r="K63" s="25" t="s">
        <v>1336</v>
      </c>
    </row>
    <row r="64" spans="1:11" ht="18.75" x14ac:dyDescent="0.3">
      <c r="A64" s="25" t="s">
        <v>80</v>
      </c>
      <c r="B64" s="25" t="s">
        <v>348</v>
      </c>
      <c r="C64" s="25" t="s">
        <v>1329</v>
      </c>
      <c r="D64" s="25">
        <v>28</v>
      </c>
      <c r="E64" s="25" t="s">
        <v>868</v>
      </c>
      <c r="F64" s="25" t="s">
        <v>197</v>
      </c>
      <c r="G64" s="25"/>
      <c r="H64" s="25"/>
      <c r="I64" s="25"/>
      <c r="J64" s="25" t="s">
        <v>1327</v>
      </c>
      <c r="K64" s="25" t="s">
        <v>1336</v>
      </c>
    </row>
    <row r="65" spans="1:11" ht="18.75" x14ac:dyDescent="0.3">
      <c r="A65" s="25" t="s">
        <v>83</v>
      </c>
      <c r="B65" s="25" t="s">
        <v>349</v>
      </c>
      <c r="C65" s="25" t="s">
        <v>1329</v>
      </c>
      <c r="D65" s="25">
        <v>29</v>
      </c>
      <c r="E65" s="25" t="s">
        <v>868</v>
      </c>
      <c r="F65" s="25" t="s">
        <v>200</v>
      </c>
      <c r="G65" s="25"/>
      <c r="H65" s="25"/>
      <c r="I65" s="25"/>
      <c r="J65" s="25" t="s">
        <v>1327</v>
      </c>
      <c r="K65" s="25" t="s">
        <v>1336</v>
      </c>
    </row>
    <row r="66" spans="1:11" ht="18.75" x14ac:dyDescent="0.3">
      <c r="A66" s="25" t="s">
        <v>60</v>
      </c>
      <c r="B66" s="25" t="s">
        <v>350</v>
      </c>
      <c r="C66" s="25" t="s">
        <v>1329</v>
      </c>
      <c r="D66" s="25">
        <v>3</v>
      </c>
      <c r="E66" s="25" t="s">
        <v>716</v>
      </c>
      <c r="F66" s="25" t="s">
        <v>174</v>
      </c>
      <c r="G66" s="25"/>
      <c r="H66" s="25"/>
      <c r="I66" s="25"/>
      <c r="J66" s="25" t="s">
        <v>1327</v>
      </c>
      <c r="K66" s="25" t="s">
        <v>1336</v>
      </c>
    </row>
    <row r="67" spans="1:11" ht="18.75" x14ac:dyDescent="0.3">
      <c r="A67" s="25" t="s">
        <v>86</v>
      </c>
      <c r="B67" s="25" t="s">
        <v>351</v>
      </c>
      <c r="C67" s="25" t="s">
        <v>1329</v>
      </c>
      <c r="D67" s="25">
        <v>30</v>
      </c>
      <c r="E67" s="25" t="s">
        <v>869</v>
      </c>
      <c r="F67" s="25" t="s">
        <v>204</v>
      </c>
      <c r="G67" s="25"/>
      <c r="H67" s="25"/>
      <c r="I67" s="25"/>
      <c r="J67" s="25" t="s">
        <v>1327</v>
      </c>
      <c r="K67" s="25" t="s">
        <v>1336</v>
      </c>
    </row>
    <row r="68" spans="1:11" ht="18.75" x14ac:dyDescent="0.3">
      <c r="A68" s="25" t="s">
        <v>87</v>
      </c>
      <c r="B68" s="25" t="s">
        <v>352</v>
      </c>
      <c r="C68" s="25" t="s">
        <v>1329</v>
      </c>
      <c r="D68" s="25">
        <v>31</v>
      </c>
      <c r="E68" s="25" t="s">
        <v>863</v>
      </c>
      <c r="F68" s="25" t="s">
        <v>206</v>
      </c>
      <c r="G68" s="25"/>
      <c r="H68" s="25"/>
      <c r="I68" s="25"/>
      <c r="J68" s="25" t="s">
        <v>1327</v>
      </c>
      <c r="K68" s="25" t="s">
        <v>1336</v>
      </c>
    </row>
    <row r="69" spans="1:11" ht="18.75" x14ac:dyDescent="0.3">
      <c r="A69" s="25" t="s">
        <v>61</v>
      </c>
      <c r="B69" s="25" t="s">
        <v>353</v>
      </c>
      <c r="C69" s="25" t="s">
        <v>1329</v>
      </c>
      <c r="D69" s="25">
        <v>4</v>
      </c>
      <c r="E69" s="25" t="s">
        <v>719</v>
      </c>
      <c r="F69" s="25" t="s">
        <v>176</v>
      </c>
      <c r="G69" s="25"/>
      <c r="H69" s="25"/>
      <c r="I69" s="25"/>
      <c r="J69" s="25" t="s">
        <v>1327</v>
      </c>
      <c r="K69" s="25" t="s">
        <v>1336</v>
      </c>
    </row>
    <row r="70" spans="1:11" ht="18.75" x14ac:dyDescent="0.3">
      <c r="A70" s="25" t="s">
        <v>62</v>
      </c>
      <c r="B70" s="25" t="s">
        <v>354</v>
      </c>
      <c r="C70" s="25" t="s">
        <v>1329</v>
      </c>
      <c r="D70" s="25">
        <v>5</v>
      </c>
      <c r="E70" s="25" t="s">
        <v>767</v>
      </c>
      <c r="F70" s="25" t="s">
        <v>178</v>
      </c>
      <c r="G70" s="25"/>
      <c r="H70" s="25"/>
      <c r="I70" s="25"/>
      <c r="J70" s="25" t="s">
        <v>1327</v>
      </c>
      <c r="K70" s="25" t="s">
        <v>1336</v>
      </c>
    </row>
    <row r="71" spans="1:11" ht="18.75" x14ac:dyDescent="0.3">
      <c r="A71" s="25" t="s">
        <v>63</v>
      </c>
      <c r="B71" s="25" t="s">
        <v>355</v>
      </c>
      <c r="C71" s="25" t="s">
        <v>1329</v>
      </c>
      <c r="D71" s="25">
        <v>6</v>
      </c>
      <c r="E71" s="25" t="s">
        <v>727</v>
      </c>
      <c r="F71" s="25" t="s">
        <v>180</v>
      </c>
      <c r="G71" s="25"/>
      <c r="H71" s="25"/>
      <c r="I71" s="25"/>
      <c r="J71" s="25" t="s">
        <v>1327</v>
      </c>
      <c r="K71" s="25" t="s">
        <v>1336</v>
      </c>
    </row>
    <row r="72" spans="1:11" ht="18.75" x14ac:dyDescent="0.3">
      <c r="A72" s="25" t="s">
        <v>64</v>
      </c>
      <c r="B72" s="25" t="s">
        <v>356</v>
      </c>
      <c r="C72" s="25" t="s">
        <v>1329</v>
      </c>
      <c r="D72" s="25">
        <v>7</v>
      </c>
      <c r="E72" s="25" t="s">
        <v>771</v>
      </c>
      <c r="F72" s="25" t="s">
        <v>181</v>
      </c>
      <c r="G72" s="25"/>
      <c r="H72" s="25"/>
      <c r="I72" s="25"/>
      <c r="J72" s="25" t="s">
        <v>1327</v>
      </c>
      <c r="K72" s="25" t="s">
        <v>1336</v>
      </c>
    </row>
    <row r="73" spans="1:11" ht="18.75" x14ac:dyDescent="0.3">
      <c r="A73" s="25" t="s">
        <v>66</v>
      </c>
      <c r="B73" s="25" t="s">
        <v>357</v>
      </c>
      <c r="C73" s="25" t="s">
        <v>1329</v>
      </c>
      <c r="D73" s="25">
        <v>8</v>
      </c>
      <c r="E73" s="25" t="s">
        <v>733</v>
      </c>
      <c r="F73" s="25" t="s">
        <v>1213</v>
      </c>
      <c r="G73" s="25" t="s">
        <v>696</v>
      </c>
      <c r="H73" s="25" t="s">
        <v>582</v>
      </c>
      <c r="I73" s="25">
        <v>6000</v>
      </c>
      <c r="J73" s="25" t="s">
        <v>246</v>
      </c>
      <c r="K73" s="25" t="s">
        <v>1336</v>
      </c>
    </row>
    <row r="74" spans="1:11" ht="18.75" x14ac:dyDescent="0.3">
      <c r="A74" s="25" t="s">
        <v>79</v>
      </c>
      <c r="B74" s="25" t="s">
        <v>358</v>
      </c>
      <c r="C74" s="25" t="s">
        <v>1329</v>
      </c>
      <c r="D74" s="25">
        <v>9</v>
      </c>
      <c r="E74" s="25" t="s">
        <v>716</v>
      </c>
      <c r="F74" s="25" t="s">
        <v>196</v>
      </c>
      <c r="G74" s="25"/>
      <c r="H74" s="25"/>
      <c r="I74" s="25"/>
      <c r="J74" s="25" t="s">
        <v>1327</v>
      </c>
      <c r="K74" s="25" t="s">
        <v>1336</v>
      </c>
    </row>
    <row r="75" spans="1:11" ht="18.75" x14ac:dyDescent="0.3">
      <c r="A75" s="25" t="s">
        <v>89</v>
      </c>
      <c r="B75" s="25" t="s">
        <v>359</v>
      </c>
      <c r="C75" s="25" t="s">
        <v>1332</v>
      </c>
      <c r="D75" s="25">
        <v>1</v>
      </c>
      <c r="E75" s="25" t="s">
        <v>734</v>
      </c>
      <c r="F75" s="25" t="s">
        <v>210</v>
      </c>
      <c r="G75" s="25"/>
      <c r="H75" s="25"/>
      <c r="I75" s="25"/>
      <c r="J75" s="25" t="s">
        <v>1327</v>
      </c>
      <c r="K75" s="25" t="s">
        <v>1336</v>
      </c>
    </row>
    <row r="76" spans="1:11" ht="18.75" x14ac:dyDescent="0.3">
      <c r="A76" s="25" t="s">
        <v>360</v>
      </c>
      <c r="B76" s="25" t="s">
        <v>361</v>
      </c>
      <c r="C76" s="25" t="s">
        <v>1332</v>
      </c>
      <c r="D76" s="25">
        <v>10</v>
      </c>
      <c r="E76" s="25" t="s">
        <v>849</v>
      </c>
      <c r="F76" s="25" t="s">
        <v>1203</v>
      </c>
      <c r="G76" s="25" t="s">
        <v>700</v>
      </c>
      <c r="H76" s="25" t="s">
        <v>1203</v>
      </c>
      <c r="I76" s="25">
        <v>1000</v>
      </c>
      <c r="J76" s="25" t="s">
        <v>246</v>
      </c>
      <c r="K76" s="25" t="s">
        <v>695</v>
      </c>
    </row>
    <row r="77" spans="1:11" ht="18.75" x14ac:dyDescent="0.3">
      <c r="A77" s="25" t="s">
        <v>362</v>
      </c>
      <c r="B77" s="25" t="s">
        <v>363</v>
      </c>
      <c r="C77" s="25" t="s">
        <v>1332</v>
      </c>
      <c r="D77" s="25">
        <v>11</v>
      </c>
      <c r="E77" s="25" t="s">
        <v>817</v>
      </c>
      <c r="F77" s="25" t="s">
        <v>1200</v>
      </c>
      <c r="G77" s="25" t="s">
        <v>696</v>
      </c>
      <c r="H77" s="25" t="s">
        <v>586</v>
      </c>
      <c r="I77" s="25">
        <v>3000</v>
      </c>
      <c r="J77" s="25" t="s">
        <v>246</v>
      </c>
      <c r="K77" s="25" t="s">
        <v>695</v>
      </c>
    </row>
    <row r="78" spans="1:11" ht="18.75" x14ac:dyDescent="0.3">
      <c r="A78" s="25" t="s">
        <v>364</v>
      </c>
      <c r="B78" s="25" t="s">
        <v>365</v>
      </c>
      <c r="C78" s="25" t="s">
        <v>1332</v>
      </c>
      <c r="D78" s="25">
        <v>12</v>
      </c>
      <c r="E78" s="25" t="s">
        <v>839</v>
      </c>
      <c r="F78" s="25" t="s">
        <v>1162</v>
      </c>
      <c r="G78" s="25" t="s">
        <v>700</v>
      </c>
      <c r="H78" s="25" t="s">
        <v>1162</v>
      </c>
      <c r="I78" s="25">
        <v>3000</v>
      </c>
      <c r="J78" s="25" t="s">
        <v>1321</v>
      </c>
      <c r="K78" s="25" t="s">
        <v>695</v>
      </c>
    </row>
    <row r="79" spans="1:11" ht="18.75" x14ac:dyDescent="0.3">
      <c r="A79" s="25" t="s">
        <v>693</v>
      </c>
      <c r="B79" s="25" t="s">
        <v>701</v>
      </c>
      <c r="C79" s="25" t="s">
        <v>1332</v>
      </c>
      <c r="D79" s="25">
        <v>13</v>
      </c>
      <c r="E79" s="25" t="s">
        <v>806</v>
      </c>
      <c r="F79" s="25" t="s">
        <v>1199</v>
      </c>
      <c r="G79" s="25" t="s">
        <v>700</v>
      </c>
      <c r="H79" s="25" t="s">
        <v>1199</v>
      </c>
      <c r="I79" s="25">
        <v>1000</v>
      </c>
      <c r="J79" s="25" t="s">
        <v>246</v>
      </c>
      <c r="K79" s="25" t="s">
        <v>695</v>
      </c>
    </row>
    <row r="80" spans="1:11" ht="18.75" x14ac:dyDescent="0.3">
      <c r="A80" s="25" t="s">
        <v>366</v>
      </c>
      <c r="B80" s="25" t="s">
        <v>367</v>
      </c>
      <c r="C80" s="25" t="s">
        <v>1332</v>
      </c>
      <c r="D80" s="25">
        <v>2</v>
      </c>
      <c r="E80" s="25" t="s">
        <v>795</v>
      </c>
      <c r="F80" s="25" t="s">
        <v>1166</v>
      </c>
      <c r="G80" s="25" t="s">
        <v>699</v>
      </c>
      <c r="H80" s="25" t="s">
        <v>1166</v>
      </c>
      <c r="I80" s="25">
        <v>4000</v>
      </c>
      <c r="J80" s="25" t="s">
        <v>1321</v>
      </c>
      <c r="K80" s="25" t="s">
        <v>695</v>
      </c>
    </row>
    <row r="81" spans="1:11" ht="18.75" x14ac:dyDescent="0.3">
      <c r="A81" s="25" t="s">
        <v>368</v>
      </c>
      <c r="B81" s="25" t="s">
        <v>369</v>
      </c>
      <c r="C81" s="25" t="s">
        <v>1332</v>
      </c>
      <c r="D81" s="25">
        <v>3</v>
      </c>
      <c r="E81" s="25" t="s">
        <v>796</v>
      </c>
      <c r="F81" s="25" t="s">
        <v>1184</v>
      </c>
      <c r="G81" s="25" t="s">
        <v>699</v>
      </c>
      <c r="H81" s="25" t="s">
        <v>1184</v>
      </c>
      <c r="I81" s="25">
        <v>3000</v>
      </c>
      <c r="J81" s="25" t="s">
        <v>1321</v>
      </c>
      <c r="K81" s="25" t="s">
        <v>695</v>
      </c>
    </row>
    <row r="82" spans="1:11" ht="18.75" x14ac:dyDescent="0.3">
      <c r="A82" s="25" t="s">
        <v>370</v>
      </c>
      <c r="B82" s="25" t="s">
        <v>371</v>
      </c>
      <c r="C82" s="25" t="s">
        <v>1332</v>
      </c>
      <c r="D82" s="25">
        <v>4</v>
      </c>
      <c r="E82" s="25" t="s">
        <v>773</v>
      </c>
      <c r="F82" s="25" t="s">
        <v>1164</v>
      </c>
      <c r="G82" s="25" t="s">
        <v>696</v>
      </c>
      <c r="H82" s="25" t="s">
        <v>589</v>
      </c>
      <c r="I82" s="25">
        <v>4000</v>
      </c>
      <c r="J82" s="25" t="s">
        <v>1123</v>
      </c>
      <c r="K82" s="25" t="s">
        <v>695</v>
      </c>
    </row>
    <row r="83" spans="1:11" ht="18.75" x14ac:dyDescent="0.3">
      <c r="A83" s="25" t="s">
        <v>88</v>
      </c>
      <c r="B83" s="25" t="s">
        <v>372</v>
      </c>
      <c r="C83" s="25" t="s">
        <v>1332</v>
      </c>
      <c r="D83" s="25">
        <v>5</v>
      </c>
      <c r="E83" s="25" t="s">
        <v>881</v>
      </c>
      <c r="F83" s="25" t="s">
        <v>208</v>
      </c>
      <c r="G83" s="25"/>
      <c r="H83" s="25"/>
      <c r="I83" s="25"/>
      <c r="J83" s="25" t="s">
        <v>1327</v>
      </c>
      <c r="K83" s="25" t="s">
        <v>1336</v>
      </c>
    </row>
    <row r="84" spans="1:11" ht="18.75" x14ac:dyDescent="0.3">
      <c r="A84" s="25" t="s">
        <v>67</v>
      </c>
      <c r="B84" s="25" t="s">
        <v>373</v>
      </c>
      <c r="C84" s="25" t="s">
        <v>1332</v>
      </c>
      <c r="D84" s="25">
        <v>6</v>
      </c>
      <c r="E84" s="25" t="s">
        <v>791</v>
      </c>
      <c r="F84" s="25" t="s">
        <v>184</v>
      </c>
      <c r="G84" s="25"/>
      <c r="H84" s="25"/>
      <c r="I84" s="25"/>
      <c r="J84" s="25" t="s">
        <v>1327</v>
      </c>
      <c r="K84" s="25" t="s">
        <v>1336</v>
      </c>
    </row>
    <row r="85" spans="1:11" ht="18.75" x14ac:dyDescent="0.3">
      <c r="A85" s="25" t="s">
        <v>68</v>
      </c>
      <c r="B85" s="25" t="s">
        <v>374</v>
      </c>
      <c r="C85" s="25" t="s">
        <v>1332</v>
      </c>
      <c r="D85" s="25">
        <v>7</v>
      </c>
      <c r="E85" s="25" t="s">
        <v>708</v>
      </c>
      <c r="F85" s="25" t="s">
        <v>185</v>
      </c>
      <c r="G85" s="25"/>
      <c r="H85" s="25"/>
      <c r="I85" s="25"/>
      <c r="J85" s="25" t="s">
        <v>1327</v>
      </c>
      <c r="K85" s="25" t="s">
        <v>1336</v>
      </c>
    </row>
    <row r="86" spans="1:11" ht="18.75" x14ac:dyDescent="0.3">
      <c r="A86" s="25" t="s">
        <v>69</v>
      </c>
      <c r="B86" s="25" t="s">
        <v>375</v>
      </c>
      <c r="C86" s="25" t="s">
        <v>1332</v>
      </c>
      <c r="D86" s="25">
        <v>8</v>
      </c>
      <c r="E86" s="25" t="s">
        <v>715</v>
      </c>
      <c r="F86" s="25" t="s">
        <v>186</v>
      </c>
      <c r="G86" s="25"/>
      <c r="H86" s="25"/>
      <c r="I86" s="25"/>
      <c r="J86" s="25" t="s">
        <v>1327</v>
      </c>
      <c r="K86" s="25" t="s">
        <v>1336</v>
      </c>
    </row>
    <row r="87" spans="1:11" ht="18.75" x14ac:dyDescent="0.3">
      <c r="A87" s="25" t="s">
        <v>71</v>
      </c>
      <c r="B87" s="25" t="s">
        <v>376</v>
      </c>
      <c r="C87" s="25" t="s">
        <v>1332</v>
      </c>
      <c r="D87" s="25">
        <v>9</v>
      </c>
      <c r="E87" s="25" t="s">
        <v>871</v>
      </c>
      <c r="F87" s="25" t="s">
        <v>187</v>
      </c>
      <c r="G87" s="25"/>
      <c r="H87" s="25"/>
      <c r="I87" s="25"/>
      <c r="J87" s="25" t="s">
        <v>1327</v>
      </c>
      <c r="K87" s="25" t="s">
        <v>1336</v>
      </c>
    </row>
    <row r="88" spans="1:11" ht="18.75" x14ac:dyDescent="0.3">
      <c r="A88" s="25" t="s">
        <v>4</v>
      </c>
      <c r="B88" s="25" t="s">
        <v>377</v>
      </c>
      <c r="C88" s="25" t="s">
        <v>1331</v>
      </c>
      <c r="D88" s="25">
        <v>1</v>
      </c>
      <c r="E88" s="25" t="s">
        <v>723</v>
      </c>
      <c r="F88" s="25" t="s">
        <v>111</v>
      </c>
      <c r="G88" s="25"/>
      <c r="H88" s="25"/>
      <c r="I88" s="25"/>
      <c r="J88" s="25" t="s">
        <v>1327</v>
      </c>
      <c r="K88" s="25" t="s">
        <v>1336</v>
      </c>
    </row>
    <row r="89" spans="1:11" ht="18.75" x14ac:dyDescent="0.3">
      <c r="A89" s="25" t="s">
        <v>24</v>
      </c>
      <c r="B89" s="25" t="s">
        <v>378</v>
      </c>
      <c r="C89" s="25" t="s">
        <v>1331</v>
      </c>
      <c r="D89" s="25">
        <v>10</v>
      </c>
      <c r="E89" s="25" t="s">
        <v>776</v>
      </c>
      <c r="F89" s="25" t="s">
        <v>135</v>
      </c>
      <c r="G89" s="25"/>
      <c r="H89" s="25"/>
      <c r="I89" s="25"/>
      <c r="J89" s="25" t="s">
        <v>1327</v>
      </c>
      <c r="K89" s="25" t="s">
        <v>1336</v>
      </c>
    </row>
    <row r="90" spans="1:11" ht="18.75" x14ac:dyDescent="0.3">
      <c r="A90" s="25" t="s">
        <v>103</v>
      </c>
      <c r="B90" s="25" t="s">
        <v>379</v>
      </c>
      <c r="C90" s="25" t="s">
        <v>1331</v>
      </c>
      <c r="D90" s="25">
        <v>100</v>
      </c>
      <c r="E90" s="25" t="s">
        <v>753</v>
      </c>
      <c r="F90" s="25" t="s">
        <v>1215</v>
      </c>
      <c r="G90" s="25"/>
      <c r="H90" s="25"/>
      <c r="I90" s="25"/>
      <c r="J90" s="25" t="s">
        <v>1327</v>
      </c>
      <c r="K90" s="25" t="s">
        <v>1336</v>
      </c>
    </row>
    <row r="91" spans="1:11" ht="18.75" x14ac:dyDescent="0.3">
      <c r="A91" s="25" t="s">
        <v>26</v>
      </c>
      <c r="B91" s="25" t="s">
        <v>380</v>
      </c>
      <c r="C91" s="25" t="s">
        <v>1331</v>
      </c>
      <c r="D91" s="25">
        <v>11</v>
      </c>
      <c r="E91" s="25" t="s">
        <v>821</v>
      </c>
      <c r="F91" s="25" t="s">
        <v>137</v>
      </c>
      <c r="G91" s="25"/>
      <c r="H91" s="25"/>
      <c r="I91" s="25"/>
      <c r="J91" s="25" t="s">
        <v>1327</v>
      </c>
      <c r="K91" s="25" t="s">
        <v>1336</v>
      </c>
    </row>
    <row r="92" spans="1:11" ht="18.75" x14ac:dyDescent="0.3">
      <c r="A92" s="25" t="s">
        <v>27</v>
      </c>
      <c r="B92" s="25" t="s">
        <v>381</v>
      </c>
      <c r="C92" s="25" t="s">
        <v>1331</v>
      </c>
      <c r="D92" s="25">
        <v>12</v>
      </c>
      <c r="E92" s="25" t="s">
        <v>703</v>
      </c>
      <c r="F92" s="25" t="s">
        <v>138</v>
      </c>
      <c r="G92" s="25"/>
      <c r="H92" s="25"/>
      <c r="I92" s="25"/>
      <c r="J92" s="25" t="s">
        <v>1327</v>
      </c>
      <c r="K92" s="25" t="s">
        <v>1336</v>
      </c>
    </row>
    <row r="93" spans="1:11" ht="18.75" x14ac:dyDescent="0.3">
      <c r="A93" s="25" t="s">
        <v>28</v>
      </c>
      <c r="B93" s="25" t="s">
        <v>382</v>
      </c>
      <c r="C93" s="25" t="s">
        <v>1331</v>
      </c>
      <c r="D93" s="25">
        <v>13</v>
      </c>
      <c r="E93" s="25" t="s">
        <v>813</v>
      </c>
      <c r="F93" s="25" t="s">
        <v>139</v>
      </c>
      <c r="G93" s="25"/>
      <c r="H93" s="25"/>
      <c r="I93" s="25"/>
      <c r="J93" s="25" t="s">
        <v>1327</v>
      </c>
      <c r="K93" s="25" t="s">
        <v>1336</v>
      </c>
    </row>
    <row r="94" spans="1:11" ht="18.75" x14ac:dyDescent="0.3">
      <c r="A94" s="25" t="s">
        <v>29</v>
      </c>
      <c r="B94" s="25" t="s">
        <v>383</v>
      </c>
      <c r="C94" s="25" t="s">
        <v>1331</v>
      </c>
      <c r="D94" s="25">
        <v>14</v>
      </c>
      <c r="E94" s="25" t="s">
        <v>765</v>
      </c>
      <c r="F94" s="25" t="s">
        <v>140</v>
      </c>
      <c r="G94" s="25"/>
      <c r="H94" s="25"/>
      <c r="I94" s="25"/>
      <c r="J94" s="25" t="s">
        <v>1327</v>
      </c>
      <c r="K94" s="25" t="s">
        <v>1336</v>
      </c>
    </row>
    <row r="95" spans="1:11" ht="18.75" x14ac:dyDescent="0.3">
      <c r="A95" s="25" t="s">
        <v>32</v>
      </c>
      <c r="B95" s="25" t="s">
        <v>384</v>
      </c>
      <c r="C95" s="25" t="s">
        <v>1331</v>
      </c>
      <c r="D95" s="25">
        <v>15</v>
      </c>
      <c r="E95" s="25" t="s">
        <v>830</v>
      </c>
      <c r="F95" s="25" t="s">
        <v>143</v>
      </c>
      <c r="G95" s="25"/>
      <c r="H95" s="25"/>
      <c r="I95" s="25"/>
      <c r="J95" s="25" t="s">
        <v>1327</v>
      </c>
      <c r="K95" s="25" t="s">
        <v>1336</v>
      </c>
    </row>
    <row r="96" spans="1:11" ht="18.75" x14ac:dyDescent="0.3">
      <c r="A96" s="25" t="s">
        <v>36</v>
      </c>
      <c r="B96" s="25" t="s">
        <v>385</v>
      </c>
      <c r="C96" s="25" t="s">
        <v>1331</v>
      </c>
      <c r="D96" s="25">
        <v>16</v>
      </c>
      <c r="E96" s="25" t="s">
        <v>706</v>
      </c>
      <c r="F96" s="25" t="s">
        <v>147</v>
      </c>
      <c r="G96" s="25" t="s">
        <v>696</v>
      </c>
      <c r="H96" s="25" t="s">
        <v>602</v>
      </c>
      <c r="I96" s="25">
        <v>15000</v>
      </c>
      <c r="J96" s="25" t="s">
        <v>246</v>
      </c>
      <c r="K96" s="25" t="s">
        <v>1336</v>
      </c>
    </row>
    <row r="97" spans="1:11" ht="18.75" x14ac:dyDescent="0.3">
      <c r="A97" s="25" t="s">
        <v>38</v>
      </c>
      <c r="B97" s="25" t="s">
        <v>386</v>
      </c>
      <c r="C97" s="25" t="s">
        <v>1331</v>
      </c>
      <c r="D97" s="25">
        <v>17</v>
      </c>
      <c r="E97" s="25" t="s">
        <v>714</v>
      </c>
      <c r="F97" s="25" t="s">
        <v>149</v>
      </c>
      <c r="G97" s="25"/>
      <c r="H97" s="25"/>
      <c r="I97" s="25"/>
      <c r="J97" s="25" t="s">
        <v>1327</v>
      </c>
      <c r="K97" s="25" t="s">
        <v>1336</v>
      </c>
    </row>
    <row r="98" spans="1:11" ht="18.75" x14ac:dyDescent="0.3">
      <c r="A98" s="25" t="s">
        <v>39</v>
      </c>
      <c r="B98" s="25" t="s">
        <v>387</v>
      </c>
      <c r="C98" s="25" t="s">
        <v>1331</v>
      </c>
      <c r="D98" s="25">
        <v>18</v>
      </c>
      <c r="E98" s="25" t="s">
        <v>764</v>
      </c>
      <c r="F98" s="25" t="s">
        <v>150</v>
      </c>
      <c r="G98" s="25"/>
      <c r="H98" s="25"/>
      <c r="I98" s="25"/>
      <c r="J98" s="25" t="s">
        <v>1327</v>
      </c>
      <c r="K98" s="25" t="s">
        <v>1336</v>
      </c>
    </row>
    <row r="99" spans="1:11" ht="18.75" x14ac:dyDescent="0.3">
      <c r="A99" s="25" t="s">
        <v>40</v>
      </c>
      <c r="B99" s="25" t="s">
        <v>388</v>
      </c>
      <c r="C99" s="25" t="s">
        <v>1331</v>
      </c>
      <c r="D99" s="25">
        <v>19</v>
      </c>
      <c r="E99" s="25" t="s">
        <v>799</v>
      </c>
      <c r="F99" s="25" t="s">
        <v>151</v>
      </c>
      <c r="G99" s="25"/>
      <c r="H99" s="25"/>
      <c r="I99" s="25"/>
      <c r="J99" s="25" t="s">
        <v>1327</v>
      </c>
      <c r="K99" s="25" t="s">
        <v>1336</v>
      </c>
    </row>
    <row r="100" spans="1:11" ht="18.75" x14ac:dyDescent="0.3">
      <c r="A100" s="25" t="s">
        <v>5</v>
      </c>
      <c r="B100" s="25" t="s">
        <v>389</v>
      </c>
      <c r="C100" s="25" t="s">
        <v>1331</v>
      </c>
      <c r="D100" s="25">
        <v>2</v>
      </c>
      <c r="E100" s="25" t="s">
        <v>711</v>
      </c>
      <c r="F100" s="25" t="s">
        <v>112</v>
      </c>
      <c r="G100" s="25"/>
      <c r="H100" s="25"/>
      <c r="I100" s="25"/>
      <c r="J100" s="25" t="s">
        <v>1327</v>
      </c>
      <c r="K100" s="25" t="s">
        <v>1336</v>
      </c>
    </row>
    <row r="101" spans="1:11" ht="18.75" x14ac:dyDescent="0.3">
      <c r="A101" s="25" t="s">
        <v>41</v>
      </c>
      <c r="B101" s="25" t="s">
        <v>390</v>
      </c>
      <c r="C101" s="25" t="s">
        <v>1331</v>
      </c>
      <c r="D101" s="25">
        <v>20</v>
      </c>
      <c r="E101" s="25" t="s">
        <v>828</v>
      </c>
      <c r="F101" s="25" t="s">
        <v>152</v>
      </c>
      <c r="G101" s="25"/>
      <c r="H101" s="25"/>
      <c r="I101" s="25"/>
      <c r="J101" s="25" t="s">
        <v>1327</v>
      </c>
      <c r="K101" s="25" t="s">
        <v>1336</v>
      </c>
    </row>
    <row r="102" spans="1:11" ht="18.75" x14ac:dyDescent="0.3">
      <c r="A102" s="25" t="s">
        <v>42</v>
      </c>
      <c r="B102" s="25" t="s">
        <v>391</v>
      </c>
      <c r="C102" s="25" t="s">
        <v>1331</v>
      </c>
      <c r="D102" s="25">
        <v>21</v>
      </c>
      <c r="E102" s="25" t="s">
        <v>744</v>
      </c>
      <c r="F102" s="25" t="s">
        <v>153</v>
      </c>
      <c r="G102" s="25"/>
      <c r="H102" s="25"/>
      <c r="I102" s="25"/>
      <c r="J102" s="25" t="s">
        <v>1327</v>
      </c>
      <c r="K102" s="25" t="s">
        <v>1336</v>
      </c>
    </row>
    <row r="103" spans="1:11" ht="18.75" x14ac:dyDescent="0.3">
      <c r="A103" s="25" t="s">
        <v>44</v>
      </c>
      <c r="B103" s="25" t="s">
        <v>392</v>
      </c>
      <c r="C103" s="25" t="s">
        <v>1331</v>
      </c>
      <c r="D103" s="25">
        <v>22</v>
      </c>
      <c r="E103" s="25" t="s">
        <v>721</v>
      </c>
      <c r="F103" s="25" t="s">
        <v>155</v>
      </c>
      <c r="G103" s="25"/>
      <c r="H103" s="25"/>
      <c r="I103" s="25"/>
      <c r="J103" s="25" t="s">
        <v>1327</v>
      </c>
      <c r="K103" s="25" t="s">
        <v>1336</v>
      </c>
    </row>
    <row r="104" spans="1:11" ht="18.75" x14ac:dyDescent="0.3">
      <c r="A104" s="25" t="s">
        <v>45</v>
      </c>
      <c r="B104" s="25" t="s">
        <v>393</v>
      </c>
      <c r="C104" s="25" t="s">
        <v>1331</v>
      </c>
      <c r="D104" s="25">
        <v>23</v>
      </c>
      <c r="E104" s="25" t="s">
        <v>820</v>
      </c>
      <c r="F104" s="25" t="s">
        <v>156</v>
      </c>
      <c r="G104" s="25"/>
      <c r="H104" s="25"/>
      <c r="I104" s="25"/>
      <c r="J104" s="25" t="s">
        <v>1327</v>
      </c>
      <c r="K104" s="25" t="s">
        <v>1336</v>
      </c>
    </row>
    <row r="105" spans="1:11" ht="18.75" x14ac:dyDescent="0.3">
      <c r="A105" s="25" t="s">
        <v>46</v>
      </c>
      <c r="B105" s="25" t="s">
        <v>394</v>
      </c>
      <c r="C105" s="25" t="s">
        <v>1331</v>
      </c>
      <c r="D105" s="25">
        <v>24</v>
      </c>
      <c r="E105" s="25" t="s">
        <v>812</v>
      </c>
      <c r="F105" s="25" t="s">
        <v>157</v>
      </c>
      <c r="G105" s="25"/>
      <c r="H105" s="25"/>
      <c r="I105" s="25"/>
      <c r="J105" s="25" t="s">
        <v>1327</v>
      </c>
      <c r="K105" s="25" t="s">
        <v>1336</v>
      </c>
    </row>
    <row r="106" spans="1:11" ht="18.75" x14ac:dyDescent="0.3">
      <c r="A106" s="25" t="s">
        <v>47</v>
      </c>
      <c r="B106" s="25" t="s">
        <v>395</v>
      </c>
      <c r="C106" s="25" t="s">
        <v>1331</v>
      </c>
      <c r="D106" s="25">
        <v>25</v>
      </c>
      <c r="E106" s="25" t="s">
        <v>707</v>
      </c>
      <c r="F106" s="25" t="s">
        <v>158</v>
      </c>
      <c r="G106" s="25"/>
      <c r="H106" s="25"/>
      <c r="I106" s="25"/>
      <c r="J106" s="25" t="s">
        <v>1327</v>
      </c>
      <c r="K106" s="25" t="s">
        <v>1336</v>
      </c>
    </row>
    <row r="107" spans="1:11" ht="18.75" x14ac:dyDescent="0.3">
      <c r="A107" s="25" t="s">
        <v>48</v>
      </c>
      <c r="B107" s="25" t="s">
        <v>396</v>
      </c>
      <c r="C107" s="25" t="s">
        <v>1331</v>
      </c>
      <c r="D107" s="25">
        <v>26</v>
      </c>
      <c r="E107" s="25" t="s">
        <v>755</v>
      </c>
      <c r="F107" s="25" t="s">
        <v>160</v>
      </c>
      <c r="G107" s="25"/>
      <c r="H107" s="25"/>
      <c r="I107" s="25"/>
      <c r="J107" s="25" t="s">
        <v>1327</v>
      </c>
      <c r="K107" s="25" t="s">
        <v>1336</v>
      </c>
    </row>
    <row r="108" spans="1:11" ht="18.75" x14ac:dyDescent="0.3">
      <c r="A108" s="25" t="s">
        <v>52</v>
      </c>
      <c r="B108" s="25" t="s">
        <v>397</v>
      </c>
      <c r="C108" s="25" t="s">
        <v>1331</v>
      </c>
      <c r="D108" s="25">
        <v>27</v>
      </c>
      <c r="E108" s="25" t="s">
        <v>802</v>
      </c>
      <c r="F108" s="25" t="s">
        <v>1212</v>
      </c>
      <c r="G108" s="25"/>
      <c r="H108" s="25"/>
      <c r="I108" s="25"/>
      <c r="J108" s="25" t="s">
        <v>1327</v>
      </c>
      <c r="K108" s="25" t="s">
        <v>1336</v>
      </c>
    </row>
    <row r="109" spans="1:11" ht="18.75" x14ac:dyDescent="0.3">
      <c r="A109" s="25" t="s">
        <v>53</v>
      </c>
      <c r="B109" s="25" t="s">
        <v>398</v>
      </c>
      <c r="C109" s="25" t="s">
        <v>1331</v>
      </c>
      <c r="D109" s="25">
        <v>28</v>
      </c>
      <c r="E109" s="25" t="s">
        <v>747</v>
      </c>
      <c r="F109" s="25" t="s">
        <v>164</v>
      </c>
      <c r="G109" s="25"/>
      <c r="H109" s="25"/>
      <c r="I109" s="25"/>
      <c r="J109" s="25" t="s">
        <v>1327</v>
      </c>
      <c r="K109" s="25" t="s">
        <v>1336</v>
      </c>
    </row>
    <row r="110" spans="1:11" ht="18.75" x14ac:dyDescent="0.3">
      <c r="A110" s="25" t="s">
        <v>54</v>
      </c>
      <c r="B110" s="25" t="s">
        <v>399</v>
      </c>
      <c r="C110" s="25" t="s">
        <v>1331</v>
      </c>
      <c r="D110" s="25">
        <v>29</v>
      </c>
      <c r="E110" s="25" t="s">
        <v>731</v>
      </c>
      <c r="F110" s="25" t="s">
        <v>165</v>
      </c>
      <c r="G110" s="25"/>
      <c r="H110" s="25"/>
      <c r="I110" s="25"/>
      <c r="J110" s="25" t="s">
        <v>1327</v>
      </c>
      <c r="K110" s="25" t="s">
        <v>1336</v>
      </c>
    </row>
    <row r="111" spans="1:11" ht="18.75" x14ac:dyDescent="0.3">
      <c r="A111" s="25" t="s">
        <v>6</v>
      </c>
      <c r="B111" s="25" t="s">
        <v>400</v>
      </c>
      <c r="C111" s="25" t="s">
        <v>1331</v>
      </c>
      <c r="D111" s="25">
        <v>3</v>
      </c>
      <c r="E111" s="25" t="s">
        <v>752</v>
      </c>
      <c r="F111" s="25" t="s">
        <v>113</v>
      </c>
      <c r="G111" s="25"/>
      <c r="H111" s="25"/>
      <c r="I111" s="25"/>
      <c r="J111" s="25" t="s">
        <v>1327</v>
      </c>
      <c r="K111" s="25" t="s">
        <v>1336</v>
      </c>
    </row>
    <row r="112" spans="1:11" ht="18.75" x14ac:dyDescent="0.3">
      <c r="A112" s="25" t="s">
        <v>59</v>
      </c>
      <c r="B112" s="25" t="s">
        <v>401</v>
      </c>
      <c r="C112" s="25" t="s">
        <v>1331</v>
      </c>
      <c r="D112" s="25">
        <v>30</v>
      </c>
      <c r="E112" s="25" t="s">
        <v>732</v>
      </c>
      <c r="F112" s="25" t="s">
        <v>172</v>
      </c>
      <c r="G112" s="25"/>
      <c r="H112" s="25"/>
      <c r="I112" s="25"/>
      <c r="J112" s="25" t="s">
        <v>1327</v>
      </c>
      <c r="K112" s="25" t="s">
        <v>1336</v>
      </c>
    </row>
    <row r="113" spans="1:11" ht="18.75" x14ac:dyDescent="0.3">
      <c r="A113" s="25" t="s">
        <v>70</v>
      </c>
      <c r="B113" s="25" t="s">
        <v>402</v>
      </c>
      <c r="C113" s="25" t="s">
        <v>1331</v>
      </c>
      <c r="D113" s="25">
        <v>31</v>
      </c>
      <c r="E113" s="25" t="s">
        <v>713</v>
      </c>
      <c r="F113" s="25" t="s">
        <v>118</v>
      </c>
      <c r="G113" s="25"/>
      <c r="H113" s="25"/>
      <c r="I113" s="25"/>
      <c r="J113" s="25" t="s">
        <v>1327</v>
      </c>
      <c r="K113" s="25" t="s">
        <v>1336</v>
      </c>
    </row>
    <row r="114" spans="1:11" ht="18.75" x14ac:dyDescent="0.3">
      <c r="A114" s="25" t="s">
        <v>92</v>
      </c>
      <c r="B114" s="25" t="s">
        <v>403</v>
      </c>
      <c r="C114" s="25" t="s">
        <v>1331</v>
      </c>
      <c r="D114" s="25">
        <v>32</v>
      </c>
      <c r="E114" s="25" t="s">
        <v>769</v>
      </c>
      <c r="F114" s="25" t="s">
        <v>213</v>
      </c>
      <c r="G114" s="25"/>
      <c r="H114" s="25"/>
      <c r="I114" s="25"/>
      <c r="J114" s="25" t="s">
        <v>1327</v>
      </c>
      <c r="K114" s="25" t="s">
        <v>1336</v>
      </c>
    </row>
    <row r="115" spans="1:11" ht="18.75" x14ac:dyDescent="0.3">
      <c r="A115" s="25" t="s">
        <v>94</v>
      </c>
      <c r="B115" s="25" t="s">
        <v>404</v>
      </c>
      <c r="C115" s="25" t="s">
        <v>1331</v>
      </c>
      <c r="D115" s="25">
        <v>33</v>
      </c>
      <c r="E115" s="25" t="s">
        <v>728</v>
      </c>
      <c r="F115" s="25" t="s">
        <v>117</v>
      </c>
      <c r="G115" s="25"/>
      <c r="H115" s="25"/>
      <c r="I115" s="25"/>
      <c r="J115" s="25" t="s">
        <v>1327</v>
      </c>
      <c r="K115" s="25" t="s">
        <v>1336</v>
      </c>
    </row>
    <row r="116" spans="1:11" ht="18.75" x14ac:dyDescent="0.3">
      <c r="A116" s="25" t="s">
        <v>95</v>
      </c>
      <c r="B116" s="25" t="s">
        <v>405</v>
      </c>
      <c r="C116" s="25" t="s">
        <v>1331</v>
      </c>
      <c r="D116" s="25">
        <v>34</v>
      </c>
      <c r="E116" s="25" t="s">
        <v>787</v>
      </c>
      <c r="F116" s="25" t="s">
        <v>215</v>
      </c>
      <c r="G116" s="25"/>
      <c r="H116" s="25"/>
      <c r="I116" s="25"/>
      <c r="J116" s="25" t="s">
        <v>1327</v>
      </c>
      <c r="K116" s="25" t="s">
        <v>1336</v>
      </c>
    </row>
    <row r="117" spans="1:11" ht="18.75" x14ac:dyDescent="0.3">
      <c r="A117" s="25" t="s">
        <v>96</v>
      </c>
      <c r="B117" s="25" t="s">
        <v>406</v>
      </c>
      <c r="C117" s="25" t="s">
        <v>1331</v>
      </c>
      <c r="D117" s="25">
        <v>35</v>
      </c>
      <c r="E117" s="25" t="s">
        <v>770</v>
      </c>
      <c r="F117" s="25" t="s">
        <v>216</v>
      </c>
      <c r="G117" s="25"/>
      <c r="H117" s="25"/>
      <c r="I117" s="25"/>
      <c r="J117" s="25" t="s">
        <v>1327</v>
      </c>
      <c r="K117" s="25" t="s">
        <v>1336</v>
      </c>
    </row>
    <row r="118" spans="1:11" ht="18.75" x14ac:dyDescent="0.3">
      <c r="A118" s="25" t="s">
        <v>97</v>
      </c>
      <c r="B118" s="25" t="s">
        <v>407</v>
      </c>
      <c r="C118" s="25" t="s">
        <v>1331</v>
      </c>
      <c r="D118" s="25">
        <v>36</v>
      </c>
      <c r="E118" s="25" t="s">
        <v>793</v>
      </c>
      <c r="F118" s="25" t="s">
        <v>217</v>
      </c>
      <c r="G118" s="25"/>
      <c r="H118" s="25"/>
      <c r="I118" s="25"/>
      <c r="J118" s="25" t="s">
        <v>1327</v>
      </c>
      <c r="K118" s="25" t="s">
        <v>1336</v>
      </c>
    </row>
    <row r="119" spans="1:11" ht="18.75" x14ac:dyDescent="0.3">
      <c r="A119" s="25" t="s">
        <v>98</v>
      </c>
      <c r="B119" s="25" t="s">
        <v>408</v>
      </c>
      <c r="C119" s="25" t="s">
        <v>1331</v>
      </c>
      <c r="D119" s="25">
        <v>37</v>
      </c>
      <c r="E119" s="25" t="s">
        <v>823</v>
      </c>
      <c r="F119" s="25" t="s">
        <v>218</v>
      </c>
      <c r="G119" s="25"/>
      <c r="H119" s="25"/>
      <c r="I119" s="25"/>
      <c r="J119" s="25" t="s">
        <v>1327</v>
      </c>
      <c r="K119" s="25" t="s">
        <v>1336</v>
      </c>
    </row>
    <row r="120" spans="1:11" ht="18.75" x14ac:dyDescent="0.3">
      <c r="A120" s="25" t="s">
        <v>99</v>
      </c>
      <c r="B120" s="25" t="s">
        <v>409</v>
      </c>
      <c r="C120" s="25" t="s">
        <v>1331</v>
      </c>
      <c r="D120" s="25">
        <v>38</v>
      </c>
      <c r="E120" s="25" t="s">
        <v>843</v>
      </c>
      <c r="F120" s="25" t="s">
        <v>219</v>
      </c>
      <c r="G120" s="25"/>
      <c r="H120" s="25"/>
      <c r="I120" s="25"/>
      <c r="J120" s="25" t="s">
        <v>1327</v>
      </c>
      <c r="K120" s="25" t="s">
        <v>1336</v>
      </c>
    </row>
    <row r="121" spans="1:11" ht="18.75" x14ac:dyDescent="0.3">
      <c r="A121" s="25" t="s">
        <v>104</v>
      </c>
      <c r="B121" s="25" t="s">
        <v>410</v>
      </c>
      <c r="C121" s="25" t="s">
        <v>1331</v>
      </c>
      <c r="D121" s="25">
        <v>39</v>
      </c>
      <c r="E121" s="25" t="s">
        <v>807</v>
      </c>
      <c r="F121" s="25" t="s">
        <v>225</v>
      </c>
      <c r="G121" s="25"/>
      <c r="H121" s="25"/>
      <c r="I121" s="25"/>
      <c r="J121" s="25" t="s">
        <v>1327</v>
      </c>
      <c r="K121" s="25" t="s">
        <v>1336</v>
      </c>
    </row>
    <row r="122" spans="1:11" ht="18.75" x14ac:dyDescent="0.3">
      <c r="A122" s="25" t="s">
        <v>11</v>
      </c>
      <c r="B122" s="25" t="s">
        <v>411</v>
      </c>
      <c r="C122" s="25" t="s">
        <v>1331</v>
      </c>
      <c r="D122" s="25">
        <v>4</v>
      </c>
      <c r="E122" s="25" t="s">
        <v>792</v>
      </c>
      <c r="F122" s="25" t="s">
        <v>122</v>
      </c>
      <c r="G122" s="25"/>
      <c r="H122" s="25"/>
      <c r="I122" s="25"/>
      <c r="J122" s="25" t="s">
        <v>1327</v>
      </c>
      <c r="K122" s="25" t="s">
        <v>1336</v>
      </c>
    </row>
    <row r="123" spans="1:11" ht="18.75" x14ac:dyDescent="0.3">
      <c r="A123" s="25" t="s">
        <v>412</v>
      </c>
      <c r="B123" s="25" t="s">
        <v>413</v>
      </c>
      <c r="C123" s="25" t="s">
        <v>1331</v>
      </c>
      <c r="D123" s="25">
        <v>40</v>
      </c>
      <c r="E123" s="25" t="s">
        <v>774</v>
      </c>
      <c r="F123" s="25" t="s">
        <v>1149</v>
      </c>
      <c r="G123" s="25" t="s">
        <v>698</v>
      </c>
      <c r="H123" s="25" t="s">
        <v>1149</v>
      </c>
      <c r="I123" s="25">
        <v>4000</v>
      </c>
      <c r="J123" s="25" t="s">
        <v>1321</v>
      </c>
      <c r="K123" s="25" t="s">
        <v>695</v>
      </c>
    </row>
    <row r="124" spans="1:11" ht="18.75" x14ac:dyDescent="0.3">
      <c r="A124" s="25" t="s">
        <v>414</v>
      </c>
      <c r="B124" s="25" t="s">
        <v>415</v>
      </c>
      <c r="C124" s="25" t="s">
        <v>1331</v>
      </c>
      <c r="D124" s="25">
        <v>41</v>
      </c>
      <c r="E124" s="25" t="s">
        <v>798</v>
      </c>
      <c r="F124" s="25" t="s">
        <v>1127</v>
      </c>
      <c r="G124" s="25" t="s">
        <v>696</v>
      </c>
      <c r="H124" s="25" t="s">
        <v>630</v>
      </c>
      <c r="I124" s="25">
        <v>5000</v>
      </c>
      <c r="J124" s="25" t="s">
        <v>246</v>
      </c>
      <c r="K124" s="25" t="s">
        <v>695</v>
      </c>
    </row>
    <row r="125" spans="1:11" ht="18.75" x14ac:dyDescent="0.3">
      <c r="A125" s="25" t="s">
        <v>416</v>
      </c>
      <c r="B125" s="25" t="s">
        <v>417</v>
      </c>
      <c r="C125" s="25" t="s">
        <v>1331</v>
      </c>
      <c r="D125" s="25">
        <v>42</v>
      </c>
      <c r="E125" s="25" t="s">
        <v>749</v>
      </c>
      <c r="F125" s="25" t="s">
        <v>1179</v>
      </c>
      <c r="G125" s="25" t="s">
        <v>696</v>
      </c>
      <c r="H125" s="25" t="s">
        <v>631</v>
      </c>
      <c r="I125" s="25">
        <v>4000</v>
      </c>
      <c r="J125" s="25" t="s">
        <v>246</v>
      </c>
      <c r="K125" s="25" t="s">
        <v>695</v>
      </c>
    </row>
    <row r="126" spans="1:11" ht="18.75" x14ac:dyDescent="0.3">
      <c r="A126" s="25" t="s">
        <v>418</v>
      </c>
      <c r="B126" s="25" t="s">
        <v>419</v>
      </c>
      <c r="C126" s="25" t="s">
        <v>1331</v>
      </c>
      <c r="D126" s="25">
        <v>43</v>
      </c>
      <c r="E126" s="25" t="s">
        <v>818</v>
      </c>
      <c r="F126" s="25" t="s">
        <v>1181</v>
      </c>
      <c r="G126" s="25" t="s">
        <v>696</v>
      </c>
      <c r="H126" s="25" t="s">
        <v>632</v>
      </c>
      <c r="I126" s="25">
        <v>4000</v>
      </c>
      <c r="J126" s="25" t="s">
        <v>246</v>
      </c>
      <c r="K126" s="25" t="s">
        <v>695</v>
      </c>
    </row>
    <row r="127" spans="1:11" ht="18.75" x14ac:dyDescent="0.3">
      <c r="A127" s="25" t="s">
        <v>420</v>
      </c>
      <c r="B127" s="25" t="s">
        <v>421</v>
      </c>
      <c r="C127" s="25" t="s">
        <v>1331</v>
      </c>
      <c r="D127" s="25">
        <v>44</v>
      </c>
      <c r="E127" s="25" t="s">
        <v>739</v>
      </c>
      <c r="F127" s="25" t="s">
        <v>1168</v>
      </c>
      <c r="G127" s="25" t="s">
        <v>698</v>
      </c>
      <c r="H127" s="25" t="s">
        <v>1168</v>
      </c>
      <c r="I127" s="25">
        <v>5000</v>
      </c>
      <c r="J127" s="25" t="s">
        <v>246</v>
      </c>
      <c r="K127" s="25" t="s">
        <v>695</v>
      </c>
    </row>
    <row r="128" spans="1:11" ht="18.75" x14ac:dyDescent="0.3">
      <c r="A128" s="25" t="s">
        <v>422</v>
      </c>
      <c r="B128" s="25" t="s">
        <v>423</v>
      </c>
      <c r="C128" s="25" t="s">
        <v>1331</v>
      </c>
      <c r="D128" s="25">
        <v>45</v>
      </c>
      <c r="E128" s="25" t="s">
        <v>743</v>
      </c>
      <c r="F128" s="25" t="s">
        <v>1136</v>
      </c>
      <c r="G128" s="25" t="s">
        <v>698</v>
      </c>
      <c r="H128" s="25" t="s">
        <v>1136</v>
      </c>
      <c r="I128" s="25">
        <v>5000</v>
      </c>
      <c r="J128" s="25" t="s">
        <v>1321</v>
      </c>
      <c r="K128" s="25" t="s">
        <v>695</v>
      </c>
    </row>
    <row r="129" spans="1:11" ht="18.75" x14ac:dyDescent="0.3">
      <c r="A129" s="25" t="s">
        <v>424</v>
      </c>
      <c r="B129" s="25" t="s">
        <v>425</v>
      </c>
      <c r="C129" s="25" t="s">
        <v>1331</v>
      </c>
      <c r="D129" s="25">
        <v>46</v>
      </c>
      <c r="E129" s="25" t="s">
        <v>790</v>
      </c>
      <c r="F129" s="25" t="s">
        <v>1126</v>
      </c>
      <c r="G129" s="25" t="s">
        <v>696</v>
      </c>
      <c r="H129" s="25" t="s">
        <v>635</v>
      </c>
      <c r="I129" s="25">
        <v>5000</v>
      </c>
      <c r="J129" s="25" t="s">
        <v>246</v>
      </c>
      <c r="K129" s="25" t="s">
        <v>695</v>
      </c>
    </row>
    <row r="130" spans="1:11" ht="18.75" x14ac:dyDescent="0.3">
      <c r="A130" s="25" t="s">
        <v>426</v>
      </c>
      <c r="B130" s="25" t="s">
        <v>427</v>
      </c>
      <c r="C130" s="25" t="s">
        <v>1331</v>
      </c>
      <c r="D130" s="25">
        <v>47</v>
      </c>
      <c r="E130" s="25" t="s">
        <v>831</v>
      </c>
      <c r="F130" s="25" t="s">
        <v>1129</v>
      </c>
      <c r="G130" s="25" t="s">
        <v>696</v>
      </c>
      <c r="H130" s="25" t="s">
        <v>636</v>
      </c>
      <c r="I130" s="25">
        <v>5000</v>
      </c>
      <c r="J130" s="25" t="s">
        <v>246</v>
      </c>
      <c r="K130" s="25" t="s">
        <v>695</v>
      </c>
    </row>
    <row r="131" spans="1:11" ht="18.75" x14ac:dyDescent="0.3">
      <c r="A131" s="25" t="s">
        <v>428</v>
      </c>
      <c r="B131" s="25" t="s">
        <v>429</v>
      </c>
      <c r="C131" s="25" t="s">
        <v>1331</v>
      </c>
      <c r="D131" s="25">
        <v>48</v>
      </c>
      <c r="E131" s="25" t="s">
        <v>720</v>
      </c>
      <c r="F131" s="25" t="s">
        <v>1178</v>
      </c>
      <c r="G131" s="25" t="s">
        <v>696</v>
      </c>
      <c r="H131" s="25" t="s">
        <v>637</v>
      </c>
      <c r="I131" s="25">
        <v>4000</v>
      </c>
      <c r="J131" s="25" t="s">
        <v>246</v>
      </c>
      <c r="K131" s="25" t="s">
        <v>695</v>
      </c>
    </row>
    <row r="132" spans="1:11" ht="18.75" x14ac:dyDescent="0.3">
      <c r="A132" s="25" t="s">
        <v>430</v>
      </c>
      <c r="B132" s="25" t="s">
        <v>431</v>
      </c>
      <c r="C132" s="25" t="s">
        <v>1331</v>
      </c>
      <c r="D132" s="25">
        <v>49</v>
      </c>
      <c r="E132" s="25" t="s">
        <v>872</v>
      </c>
      <c r="F132" s="25" t="s">
        <v>1143</v>
      </c>
      <c r="G132" s="25" t="s">
        <v>698</v>
      </c>
      <c r="H132" s="25" t="s">
        <v>1143</v>
      </c>
      <c r="I132" s="25">
        <v>5000</v>
      </c>
      <c r="J132" s="25" t="s">
        <v>1321</v>
      </c>
      <c r="K132" s="25" t="s">
        <v>695</v>
      </c>
    </row>
    <row r="133" spans="1:11" ht="18.75" x14ac:dyDescent="0.3">
      <c r="A133" s="25" t="s">
        <v>12</v>
      </c>
      <c r="B133" s="25" t="s">
        <v>432</v>
      </c>
      <c r="C133" s="25" t="s">
        <v>1331</v>
      </c>
      <c r="D133" s="25">
        <v>5</v>
      </c>
      <c r="E133" s="25" t="s">
        <v>761</v>
      </c>
      <c r="F133" s="25" t="s">
        <v>1211</v>
      </c>
      <c r="G133" s="25"/>
      <c r="H133" s="25"/>
      <c r="I133" s="25"/>
      <c r="J133" s="25" t="s">
        <v>1327</v>
      </c>
      <c r="K133" s="25" t="s">
        <v>1336</v>
      </c>
    </row>
    <row r="134" spans="1:11" ht="18.75" x14ac:dyDescent="0.3">
      <c r="A134" s="25" t="s">
        <v>433</v>
      </c>
      <c r="B134" s="25" t="s">
        <v>434</v>
      </c>
      <c r="C134" s="25" t="s">
        <v>1331</v>
      </c>
      <c r="D134" s="25">
        <v>50</v>
      </c>
      <c r="E134" s="25" t="s">
        <v>865</v>
      </c>
      <c r="F134" s="25" t="s">
        <v>1141</v>
      </c>
      <c r="G134" s="25" t="s">
        <v>698</v>
      </c>
      <c r="H134" s="25" t="s">
        <v>1141</v>
      </c>
      <c r="I134" s="25">
        <v>5000</v>
      </c>
      <c r="J134" s="25" t="s">
        <v>1321</v>
      </c>
      <c r="K134" s="25" t="s">
        <v>695</v>
      </c>
    </row>
    <row r="135" spans="1:11" ht="18.75" x14ac:dyDescent="0.3">
      <c r="A135" s="25" t="s">
        <v>435</v>
      </c>
      <c r="B135" s="25" t="s">
        <v>436</v>
      </c>
      <c r="C135" s="25" t="s">
        <v>1331</v>
      </c>
      <c r="D135" s="25">
        <v>51</v>
      </c>
      <c r="E135" s="25" t="s">
        <v>775</v>
      </c>
      <c r="F135" s="25" t="s">
        <v>1145</v>
      </c>
      <c r="G135" s="25" t="s">
        <v>696</v>
      </c>
      <c r="H135" s="25" t="s">
        <v>641</v>
      </c>
      <c r="I135" s="25">
        <v>4000</v>
      </c>
      <c r="J135" s="25" t="s">
        <v>1321</v>
      </c>
      <c r="K135" s="25" t="s">
        <v>695</v>
      </c>
    </row>
    <row r="136" spans="1:11" ht="18.75" x14ac:dyDescent="0.3">
      <c r="A136" s="25" t="s">
        <v>437</v>
      </c>
      <c r="B136" s="25" t="s">
        <v>438</v>
      </c>
      <c r="C136" s="25" t="s">
        <v>1331</v>
      </c>
      <c r="D136" s="25">
        <v>52</v>
      </c>
      <c r="E136" s="25" t="s">
        <v>825</v>
      </c>
      <c r="F136" s="25" t="s">
        <v>1146</v>
      </c>
      <c r="G136" s="25" t="s">
        <v>698</v>
      </c>
      <c r="H136" s="25" t="s">
        <v>1146</v>
      </c>
      <c r="I136" s="25">
        <v>4000</v>
      </c>
      <c r="J136" s="25" t="s">
        <v>1321</v>
      </c>
      <c r="K136" s="25" t="s">
        <v>695</v>
      </c>
    </row>
    <row r="137" spans="1:11" ht="18.75" x14ac:dyDescent="0.3">
      <c r="A137" s="25" t="s">
        <v>439</v>
      </c>
      <c r="B137" s="25" t="s">
        <v>440</v>
      </c>
      <c r="C137" s="25" t="s">
        <v>1331</v>
      </c>
      <c r="D137" s="25">
        <v>53</v>
      </c>
      <c r="E137" s="25" t="s">
        <v>870</v>
      </c>
      <c r="F137" s="25" t="s">
        <v>1132</v>
      </c>
      <c r="G137" s="25" t="s">
        <v>698</v>
      </c>
      <c r="H137" s="25" t="s">
        <v>1132</v>
      </c>
      <c r="I137" s="25">
        <v>5000</v>
      </c>
      <c r="J137" s="25" t="s">
        <v>1321</v>
      </c>
      <c r="K137" s="25" t="s">
        <v>695</v>
      </c>
    </row>
    <row r="138" spans="1:11" ht="18.75" x14ac:dyDescent="0.3">
      <c r="A138" s="25" t="s">
        <v>441</v>
      </c>
      <c r="B138" s="25" t="s">
        <v>442</v>
      </c>
      <c r="C138" s="25" t="s">
        <v>1331</v>
      </c>
      <c r="D138" s="25">
        <v>54</v>
      </c>
      <c r="E138" s="25" t="s">
        <v>756</v>
      </c>
      <c r="F138" s="25" t="s">
        <v>1169</v>
      </c>
      <c r="G138" s="25" t="s">
        <v>696</v>
      </c>
      <c r="H138" s="25" t="s">
        <v>644</v>
      </c>
      <c r="I138" s="25">
        <v>4000</v>
      </c>
      <c r="J138" s="25" t="s">
        <v>246</v>
      </c>
      <c r="K138" s="25" t="s">
        <v>695</v>
      </c>
    </row>
    <row r="139" spans="1:11" ht="18.75" x14ac:dyDescent="0.3">
      <c r="A139" s="25" t="s">
        <v>443</v>
      </c>
      <c r="B139" s="25" t="s">
        <v>444</v>
      </c>
      <c r="C139" s="25" t="s">
        <v>1331</v>
      </c>
      <c r="D139" s="25">
        <v>55</v>
      </c>
      <c r="E139" s="25" t="s">
        <v>859</v>
      </c>
      <c r="F139" s="25" t="s">
        <v>1148</v>
      </c>
      <c r="G139" s="25" t="s">
        <v>696</v>
      </c>
      <c r="H139" s="25" t="s">
        <v>1306</v>
      </c>
      <c r="I139" s="25">
        <v>4000</v>
      </c>
      <c r="J139" s="25" t="s">
        <v>1321</v>
      </c>
      <c r="K139" s="25" t="s">
        <v>695</v>
      </c>
    </row>
    <row r="140" spans="1:11" ht="18.75" x14ac:dyDescent="0.3">
      <c r="A140" s="25" t="s">
        <v>445</v>
      </c>
      <c r="B140" s="25" t="s">
        <v>446</v>
      </c>
      <c r="C140" s="25" t="s">
        <v>1331</v>
      </c>
      <c r="D140" s="25">
        <v>56</v>
      </c>
      <c r="E140" s="25" t="s">
        <v>829</v>
      </c>
      <c r="F140" s="25" t="s">
        <v>1128</v>
      </c>
      <c r="G140" s="25" t="s">
        <v>696</v>
      </c>
      <c r="H140" s="25" t="s">
        <v>646</v>
      </c>
      <c r="I140" s="25">
        <v>5000</v>
      </c>
      <c r="J140" s="25" t="s">
        <v>1123</v>
      </c>
      <c r="K140" s="25" t="s">
        <v>695</v>
      </c>
    </row>
    <row r="141" spans="1:11" ht="18.75" x14ac:dyDescent="0.3">
      <c r="A141" s="25" t="s">
        <v>447</v>
      </c>
      <c r="B141" s="25" t="s">
        <v>448</v>
      </c>
      <c r="C141" s="25" t="s">
        <v>1331</v>
      </c>
      <c r="D141" s="25">
        <v>57</v>
      </c>
      <c r="E141" s="25" t="s">
        <v>857</v>
      </c>
      <c r="F141" s="25" t="s">
        <v>1175</v>
      </c>
      <c r="G141" s="25" t="s">
        <v>696</v>
      </c>
      <c r="H141" s="25" t="s">
        <v>647</v>
      </c>
      <c r="I141" s="25">
        <v>4000</v>
      </c>
      <c r="J141" s="25" t="s">
        <v>246</v>
      </c>
      <c r="K141" s="25" t="s">
        <v>695</v>
      </c>
    </row>
    <row r="142" spans="1:11" ht="18.75" x14ac:dyDescent="0.3">
      <c r="A142" s="25" t="s">
        <v>449</v>
      </c>
      <c r="B142" s="25" t="s">
        <v>450</v>
      </c>
      <c r="C142" s="25" t="s">
        <v>1331</v>
      </c>
      <c r="D142" s="25">
        <v>58</v>
      </c>
      <c r="E142" s="25" t="s">
        <v>803</v>
      </c>
      <c r="F142" s="25" t="s">
        <v>1137</v>
      </c>
      <c r="G142" s="25" t="s">
        <v>698</v>
      </c>
      <c r="H142" s="25" t="s">
        <v>1137</v>
      </c>
      <c r="I142" s="25">
        <v>5000</v>
      </c>
      <c r="J142" s="25" t="s">
        <v>1321</v>
      </c>
      <c r="K142" s="25" t="s">
        <v>695</v>
      </c>
    </row>
    <row r="143" spans="1:11" ht="18.75" x14ac:dyDescent="0.3">
      <c r="A143" s="25" t="s">
        <v>451</v>
      </c>
      <c r="B143" s="25" t="s">
        <v>452</v>
      </c>
      <c r="C143" s="25" t="s">
        <v>1331</v>
      </c>
      <c r="D143" s="25">
        <v>59</v>
      </c>
      <c r="E143" s="25" t="s">
        <v>842</v>
      </c>
      <c r="F143" s="25" t="s">
        <v>1139</v>
      </c>
      <c r="G143" s="25" t="s">
        <v>698</v>
      </c>
      <c r="H143" s="25" t="s">
        <v>1139</v>
      </c>
      <c r="I143" s="25">
        <v>5000</v>
      </c>
      <c r="J143" s="25" t="s">
        <v>1321</v>
      </c>
      <c r="K143" s="25" t="s">
        <v>695</v>
      </c>
    </row>
    <row r="144" spans="1:11" ht="18.75" x14ac:dyDescent="0.3">
      <c r="A144" s="25" t="s">
        <v>13</v>
      </c>
      <c r="B144" s="25" t="s">
        <v>453</v>
      </c>
      <c r="C144" s="25" t="s">
        <v>1331</v>
      </c>
      <c r="D144" s="25">
        <v>6</v>
      </c>
      <c r="E144" s="25" t="s">
        <v>777</v>
      </c>
      <c r="F144" s="25" t="s">
        <v>123</v>
      </c>
      <c r="G144" s="25"/>
      <c r="H144" s="25"/>
      <c r="I144" s="25"/>
      <c r="J144" s="25" t="s">
        <v>1327</v>
      </c>
      <c r="K144" s="25" t="s">
        <v>1336</v>
      </c>
    </row>
    <row r="145" spans="1:11" ht="18.75" x14ac:dyDescent="0.3">
      <c r="A145" s="25" t="s">
        <v>454</v>
      </c>
      <c r="B145" s="25" t="s">
        <v>455</v>
      </c>
      <c r="C145" s="25" t="s">
        <v>1331</v>
      </c>
      <c r="D145" s="25">
        <v>60</v>
      </c>
      <c r="E145" s="25" t="s">
        <v>838</v>
      </c>
      <c r="F145" s="25" t="s">
        <v>1150</v>
      </c>
      <c r="G145" s="25" t="s">
        <v>698</v>
      </c>
      <c r="H145" s="25" t="s">
        <v>1150</v>
      </c>
      <c r="I145" s="25">
        <v>4000</v>
      </c>
      <c r="J145" s="25" t="s">
        <v>1321</v>
      </c>
      <c r="K145" s="25" t="s">
        <v>695</v>
      </c>
    </row>
    <row r="146" spans="1:11" ht="18.75" x14ac:dyDescent="0.3">
      <c r="A146" s="25" t="s">
        <v>456</v>
      </c>
      <c r="B146" s="25" t="s">
        <v>457</v>
      </c>
      <c r="C146" s="25" t="s">
        <v>1331</v>
      </c>
      <c r="D146" s="25">
        <v>61</v>
      </c>
      <c r="E146" s="25" t="s">
        <v>729</v>
      </c>
      <c r="F146" s="25" t="s">
        <v>1167</v>
      </c>
      <c r="G146" s="25" t="s">
        <v>696</v>
      </c>
      <c r="H146" s="25" t="s">
        <v>652</v>
      </c>
      <c r="I146" s="25">
        <v>4000</v>
      </c>
      <c r="J146" s="25" t="s">
        <v>246</v>
      </c>
      <c r="K146" s="25" t="s">
        <v>695</v>
      </c>
    </row>
    <row r="147" spans="1:11" ht="18.75" x14ac:dyDescent="0.3">
      <c r="A147" s="25" t="s">
        <v>458</v>
      </c>
      <c r="B147" s="25" t="s">
        <v>459</v>
      </c>
      <c r="C147" s="25" t="s">
        <v>1331</v>
      </c>
      <c r="D147" s="25">
        <v>62</v>
      </c>
      <c r="E147" s="25" t="s">
        <v>754</v>
      </c>
      <c r="F147" s="25" t="s">
        <v>1142</v>
      </c>
      <c r="G147" s="25" t="s">
        <v>696</v>
      </c>
      <c r="H147" s="25" t="s">
        <v>1311</v>
      </c>
      <c r="I147" s="25">
        <v>5000</v>
      </c>
      <c r="J147" s="25" t="s">
        <v>1321</v>
      </c>
      <c r="K147" s="25" t="s">
        <v>695</v>
      </c>
    </row>
    <row r="148" spans="1:11" ht="18.75" x14ac:dyDescent="0.3">
      <c r="A148" s="25" t="s">
        <v>460</v>
      </c>
      <c r="B148" s="25" t="s">
        <v>461</v>
      </c>
      <c r="C148" s="25" t="s">
        <v>1331</v>
      </c>
      <c r="D148" s="25">
        <v>63</v>
      </c>
      <c r="E148" s="25" t="s">
        <v>757</v>
      </c>
      <c r="F148" s="25" t="s">
        <v>1144</v>
      </c>
      <c r="G148" s="25" t="s">
        <v>696</v>
      </c>
      <c r="H148" s="25" t="s">
        <v>654</v>
      </c>
      <c r="I148" s="25">
        <v>4000</v>
      </c>
      <c r="J148" s="25" t="s">
        <v>1321</v>
      </c>
      <c r="K148" s="25" t="s">
        <v>695</v>
      </c>
    </row>
    <row r="149" spans="1:11" ht="18.75" x14ac:dyDescent="0.3">
      <c r="A149" s="25" t="s">
        <v>462</v>
      </c>
      <c r="B149" s="25" t="s">
        <v>463</v>
      </c>
      <c r="C149" s="25" t="s">
        <v>1331</v>
      </c>
      <c r="D149" s="25">
        <v>64</v>
      </c>
      <c r="E149" s="25" t="s">
        <v>788</v>
      </c>
      <c r="F149" s="25" t="s">
        <v>1172</v>
      </c>
      <c r="G149" s="25" t="s">
        <v>696</v>
      </c>
      <c r="H149" s="25" t="s">
        <v>655</v>
      </c>
      <c r="I149" s="25">
        <v>4000</v>
      </c>
      <c r="J149" s="25" t="s">
        <v>246</v>
      </c>
      <c r="K149" s="25" t="s">
        <v>695</v>
      </c>
    </row>
    <row r="150" spans="1:11" ht="18.75" x14ac:dyDescent="0.3">
      <c r="A150" s="25" t="s">
        <v>464</v>
      </c>
      <c r="B150" s="25" t="s">
        <v>465</v>
      </c>
      <c r="C150" s="25" t="s">
        <v>1331</v>
      </c>
      <c r="D150" s="25">
        <v>65</v>
      </c>
      <c r="E150" s="25" t="s">
        <v>873</v>
      </c>
      <c r="F150" s="25" t="s">
        <v>1133</v>
      </c>
      <c r="G150" s="25" t="s">
        <v>696</v>
      </c>
      <c r="H150" s="25" t="s">
        <v>656</v>
      </c>
      <c r="I150" s="25">
        <v>5000</v>
      </c>
      <c r="J150" s="25" t="s">
        <v>1123</v>
      </c>
      <c r="K150" s="25" t="s">
        <v>695</v>
      </c>
    </row>
    <row r="151" spans="1:11" ht="18.75" x14ac:dyDescent="0.3">
      <c r="A151" s="25" t="s">
        <v>466</v>
      </c>
      <c r="B151" s="25" t="s">
        <v>467</v>
      </c>
      <c r="C151" s="25" t="s">
        <v>1331</v>
      </c>
      <c r="D151" s="25">
        <v>66</v>
      </c>
      <c r="E151" s="25" t="s">
        <v>877</v>
      </c>
      <c r="F151" s="25" t="s">
        <v>1152</v>
      </c>
      <c r="G151" s="25" t="s">
        <v>696</v>
      </c>
      <c r="H151" s="25" t="s">
        <v>1304</v>
      </c>
      <c r="I151" s="25">
        <v>4000</v>
      </c>
      <c r="J151" s="25" t="s">
        <v>1321</v>
      </c>
      <c r="K151" s="25" t="s">
        <v>695</v>
      </c>
    </row>
    <row r="152" spans="1:11" ht="18.75" x14ac:dyDescent="0.3">
      <c r="A152" s="25" t="s">
        <v>468</v>
      </c>
      <c r="B152" s="25" t="s">
        <v>469</v>
      </c>
      <c r="C152" s="25" t="s">
        <v>1331</v>
      </c>
      <c r="D152" s="25">
        <v>67</v>
      </c>
      <c r="E152" s="25" t="s">
        <v>856</v>
      </c>
      <c r="F152" s="25" t="s">
        <v>1131</v>
      </c>
      <c r="G152" s="25" t="s">
        <v>696</v>
      </c>
      <c r="H152" s="25" t="s">
        <v>658</v>
      </c>
      <c r="I152" s="25">
        <v>5000</v>
      </c>
      <c r="J152" s="25" t="s">
        <v>246</v>
      </c>
      <c r="K152" s="25" t="s">
        <v>695</v>
      </c>
    </row>
    <row r="153" spans="1:11" ht="18.75" x14ac:dyDescent="0.3">
      <c r="A153" s="25" t="s">
        <v>470</v>
      </c>
      <c r="B153" s="25" t="s">
        <v>471</v>
      </c>
      <c r="C153" s="25" t="s">
        <v>1331</v>
      </c>
      <c r="D153" s="25">
        <v>68</v>
      </c>
      <c r="E153" s="25" t="s">
        <v>847</v>
      </c>
      <c r="F153" s="25" t="s">
        <v>1151</v>
      </c>
      <c r="G153" s="25" t="s">
        <v>698</v>
      </c>
      <c r="H153" s="25" t="s">
        <v>1151</v>
      </c>
      <c r="I153" s="25">
        <v>4000</v>
      </c>
      <c r="J153" s="25" t="s">
        <v>1321</v>
      </c>
      <c r="K153" s="25" t="s">
        <v>695</v>
      </c>
    </row>
    <row r="154" spans="1:11" ht="18.75" x14ac:dyDescent="0.3">
      <c r="A154" s="25" t="s">
        <v>472</v>
      </c>
      <c r="B154" s="25" t="s">
        <v>473</v>
      </c>
      <c r="C154" s="25" t="s">
        <v>1331</v>
      </c>
      <c r="D154" s="25">
        <v>69</v>
      </c>
      <c r="E154" s="25" t="s">
        <v>860</v>
      </c>
      <c r="F154" s="25" t="s">
        <v>1140</v>
      </c>
      <c r="G154" s="25" t="s">
        <v>698</v>
      </c>
      <c r="H154" s="25" t="s">
        <v>1140</v>
      </c>
      <c r="I154" s="25">
        <v>5000</v>
      </c>
      <c r="J154" s="25" t="s">
        <v>1321</v>
      </c>
      <c r="K154" s="25" t="s">
        <v>695</v>
      </c>
    </row>
    <row r="155" spans="1:11" ht="18.75" x14ac:dyDescent="0.3">
      <c r="A155" s="25" t="s">
        <v>15</v>
      </c>
      <c r="B155" s="25" t="s">
        <v>474</v>
      </c>
      <c r="C155" s="25" t="s">
        <v>1331</v>
      </c>
      <c r="D155" s="25">
        <v>7</v>
      </c>
      <c r="E155" s="25" t="s">
        <v>780</v>
      </c>
      <c r="F155" s="25" t="s">
        <v>125</v>
      </c>
      <c r="G155" s="25"/>
      <c r="H155" s="25"/>
      <c r="I155" s="25"/>
      <c r="J155" s="25" t="s">
        <v>1327</v>
      </c>
      <c r="K155" s="25" t="s">
        <v>1336</v>
      </c>
    </row>
    <row r="156" spans="1:11" ht="18.75" x14ac:dyDescent="0.3">
      <c r="A156" s="25" t="s">
        <v>475</v>
      </c>
      <c r="B156" s="25" t="s">
        <v>476</v>
      </c>
      <c r="C156" s="25" t="s">
        <v>1331</v>
      </c>
      <c r="D156" s="25">
        <v>70</v>
      </c>
      <c r="E156" s="25" t="s">
        <v>833</v>
      </c>
      <c r="F156" s="25" t="s">
        <v>1138</v>
      </c>
      <c r="G156" s="25" t="s">
        <v>698</v>
      </c>
      <c r="H156" s="25" t="s">
        <v>1138</v>
      </c>
      <c r="I156" s="25">
        <v>5000</v>
      </c>
      <c r="J156" s="25" t="s">
        <v>1321</v>
      </c>
      <c r="K156" s="25" t="s">
        <v>695</v>
      </c>
    </row>
    <row r="157" spans="1:11" ht="18.75" x14ac:dyDescent="0.3">
      <c r="A157" s="25" t="s">
        <v>477</v>
      </c>
      <c r="B157" s="25" t="s">
        <v>478</v>
      </c>
      <c r="C157" s="25" t="s">
        <v>1331</v>
      </c>
      <c r="D157" s="25">
        <v>71</v>
      </c>
      <c r="E157" s="25" t="s">
        <v>852</v>
      </c>
      <c r="F157" s="25" t="s">
        <v>1130</v>
      </c>
      <c r="G157" s="25" t="s">
        <v>696</v>
      </c>
      <c r="H157" s="25" t="s">
        <v>663</v>
      </c>
      <c r="I157" s="25">
        <v>5000</v>
      </c>
      <c r="J157" s="25" t="s">
        <v>1123</v>
      </c>
      <c r="K157" s="25" t="s">
        <v>695</v>
      </c>
    </row>
    <row r="158" spans="1:11" ht="18.75" x14ac:dyDescent="0.3">
      <c r="A158" s="25" t="s">
        <v>479</v>
      </c>
      <c r="B158" s="25" t="s">
        <v>480</v>
      </c>
      <c r="C158" s="25" t="s">
        <v>1331</v>
      </c>
      <c r="D158" s="25">
        <v>72</v>
      </c>
      <c r="E158" s="25" t="s">
        <v>848</v>
      </c>
      <c r="F158" s="25" t="s">
        <v>1147</v>
      </c>
      <c r="G158" s="25" t="s">
        <v>696</v>
      </c>
      <c r="H158" s="25" t="s">
        <v>1303</v>
      </c>
      <c r="I158" s="25">
        <v>4000</v>
      </c>
      <c r="J158" s="25" t="s">
        <v>1321</v>
      </c>
      <c r="K158" s="25" t="s">
        <v>695</v>
      </c>
    </row>
    <row r="159" spans="1:11" ht="18.75" x14ac:dyDescent="0.3">
      <c r="A159" s="25" t="s">
        <v>481</v>
      </c>
      <c r="B159" s="25" t="s">
        <v>482</v>
      </c>
      <c r="C159" s="25" t="s">
        <v>1331</v>
      </c>
      <c r="D159" s="25">
        <v>73</v>
      </c>
      <c r="E159" s="25" t="s">
        <v>878</v>
      </c>
      <c r="F159" s="25" t="s">
        <v>1134</v>
      </c>
      <c r="G159" s="25" t="s">
        <v>696</v>
      </c>
      <c r="H159" s="25" t="s">
        <v>1308</v>
      </c>
      <c r="I159" s="25">
        <v>5000</v>
      </c>
      <c r="J159" s="25" t="s">
        <v>1321</v>
      </c>
      <c r="K159" s="25" t="s">
        <v>695</v>
      </c>
    </row>
    <row r="160" spans="1:11" ht="18.75" x14ac:dyDescent="0.3">
      <c r="A160" s="25" t="s">
        <v>14</v>
      </c>
      <c r="B160" s="25" t="s">
        <v>483</v>
      </c>
      <c r="C160" s="25" t="s">
        <v>1331</v>
      </c>
      <c r="D160" s="25">
        <v>76</v>
      </c>
      <c r="E160" s="25" t="s">
        <v>766</v>
      </c>
      <c r="F160" s="25" t="s">
        <v>124</v>
      </c>
      <c r="G160" s="25"/>
      <c r="H160" s="25"/>
      <c r="I160" s="25"/>
      <c r="J160" s="25" t="s">
        <v>1327</v>
      </c>
      <c r="K160" s="25" t="s">
        <v>1336</v>
      </c>
    </row>
    <row r="161" spans="1:11" ht="18.75" x14ac:dyDescent="0.3">
      <c r="A161" s="25" t="s">
        <v>16</v>
      </c>
      <c r="B161" s="25" t="s">
        <v>484</v>
      </c>
      <c r="C161" s="25" t="s">
        <v>1331</v>
      </c>
      <c r="D161" s="25">
        <v>77</v>
      </c>
      <c r="E161" s="25" t="s">
        <v>745</v>
      </c>
      <c r="F161" s="25" t="s">
        <v>126</v>
      </c>
      <c r="G161" s="25"/>
      <c r="H161" s="25"/>
      <c r="I161" s="25"/>
      <c r="J161" s="25" t="s">
        <v>1327</v>
      </c>
      <c r="K161" s="25" t="s">
        <v>1336</v>
      </c>
    </row>
    <row r="162" spans="1:11" ht="18.75" x14ac:dyDescent="0.3">
      <c r="A162" s="25" t="s">
        <v>17</v>
      </c>
      <c r="B162" s="25" t="s">
        <v>485</v>
      </c>
      <c r="C162" s="25" t="s">
        <v>1331</v>
      </c>
      <c r="D162" s="25">
        <v>78</v>
      </c>
      <c r="E162" s="25" t="s">
        <v>809</v>
      </c>
      <c r="F162" s="25" t="s">
        <v>127</v>
      </c>
      <c r="G162" s="25"/>
      <c r="H162" s="25"/>
      <c r="I162" s="25"/>
      <c r="J162" s="25" t="s">
        <v>1327</v>
      </c>
      <c r="K162" s="25" t="s">
        <v>1336</v>
      </c>
    </row>
    <row r="163" spans="1:11" ht="18.75" x14ac:dyDescent="0.3">
      <c r="A163" s="25" t="s">
        <v>19</v>
      </c>
      <c r="B163" s="25" t="s">
        <v>486</v>
      </c>
      <c r="C163" s="25" t="s">
        <v>1331</v>
      </c>
      <c r="D163" s="25">
        <v>79</v>
      </c>
      <c r="E163" s="25" t="s">
        <v>854</v>
      </c>
      <c r="F163" s="25" t="s">
        <v>129</v>
      </c>
      <c r="G163" s="25"/>
      <c r="H163" s="25"/>
      <c r="I163" s="25"/>
      <c r="J163" s="25" t="s">
        <v>1327</v>
      </c>
      <c r="K163" s="25" t="s">
        <v>1336</v>
      </c>
    </row>
    <row r="164" spans="1:11" ht="18.75" x14ac:dyDescent="0.3">
      <c r="A164" s="25" t="s">
        <v>18</v>
      </c>
      <c r="B164" s="25" t="s">
        <v>487</v>
      </c>
      <c r="C164" s="25" t="s">
        <v>1331</v>
      </c>
      <c r="D164" s="25">
        <v>8</v>
      </c>
      <c r="E164" s="25" t="s">
        <v>726</v>
      </c>
      <c r="F164" s="25" t="s">
        <v>128</v>
      </c>
      <c r="G164" s="25"/>
      <c r="H164" s="25"/>
      <c r="I164" s="25"/>
      <c r="J164" s="25" t="s">
        <v>1327</v>
      </c>
      <c r="K164" s="25" t="s">
        <v>1336</v>
      </c>
    </row>
    <row r="165" spans="1:11" ht="18.75" x14ac:dyDescent="0.3">
      <c r="A165" s="25" t="s">
        <v>21</v>
      </c>
      <c r="B165" s="25" t="s">
        <v>488</v>
      </c>
      <c r="C165" s="25" t="s">
        <v>1331</v>
      </c>
      <c r="D165" s="25">
        <v>80</v>
      </c>
      <c r="E165" s="25" t="s">
        <v>811</v>
      </c>
      <c r="F165" s="25" t="s">
        <v>131</v>
      </c>
      <c r="G165" s="25"/>
      <c r="H165" s="25"/>
      <c r="I165" s="25"/>
      <c r="J165" s="25" t="s">
        <v>1327</v>
      </c>
      <c r="K165" s="25" t="s">
        <v>1336</v>
      </c>
    </row>
    <row r="166" spans="1:11" ht="18.75" x14ac:dyDescent="0.3">
      <c r="A166" s="25" t="s">
        <v>22</v>
      </c>
      <c r="B166" s="25" t="s">
        <v>489</v>
      </c>
      <c r="C166" s="25" t="s">
        <v>1331</v>
      </c>
      <c r="D166" s="25">
        <v>81</v>
      </c>
      <c r="E166" s="25" t="s">
        <v>851</v>
      </c>
      <c r="F166" s="25" t="s">
        <v>133</v>
      </c>
      <c r="G166" s="25"/>
      <c r="H166" s="25"/>
      <c r="I166" s="25"/>
      <c r="J166" s="25" t="s">
        <v>1327</v>
      </c>
      <c r="K166" s="25" t="s">
        <v>1336</v>
      </c>
    </row>
    <row r="167" spans="1:11" ht="18.75" x14ac:dyDescent="0.3">
      <c r="A167" s="25" t="s">
        <v>23</v>
      </c>
      <c r="B167" s="25" t="s">
        <v>490</v>
      </c>
      <c r="C167" s="25" t="s">
        <v>1331</v>
      </c>
      <c r="D167" s="25">
        <v>82</v>
      </c>
      <c r="E167" s="25" t="s">
        <v>789</v>
      </c>
      <c r="F167" s="25" t="s">
        <v>134</v>
      </c>
      <c r="G167" s="25"/>
      <c r="H167" s="25"/>
      <c r="I167" s="25"/>
      <c r="J167" s="25" t="s">
        <v>1327</v>
      </c>
      <c r="K167" s="25" t="s">
        <v>1336</v>
      </c>
    </row>
    <row r="168" spans="1:11" ht="18.75" x14ac:dyDescent="0.3">
      <c r="A168" s="25" t="s">
        <v>25</v>
      </c>
      <c r="B168" s="25" t="s">
        <v>491</v>
      </c>
      <c r="C168" s="25" t="s">
        <v>1331</v>
      </c>
      <c r="D168" s="25">
        <v>83</v>
      </c>
      <c r="E168" s="25" t="s">
        <v>746</v>
      </c>
      <c r="F168" s="25" t="s">
        <v>136</v>
      </c>
      <c r="G168" s="25"/>
      <c r="H168" s="25"/>
      <c r="I168" s="25"/>
      <c r="J168" s="25" t="s">
        <v>1327</v>
      </c>
      <c r="K168" s="25" t="s">
        <v>1336</v>
      </c>
    </row>
    <row r="169" spans="1:11" ht="18.75" x14ac:dyDescent="0.3">
      <c r="A169" s="25" t="s">
        <v>30</v>
      </c>
      <c r="B169" s="25" t="s">
        <v>492</v>
      </c>
      <c r="C169" s="25" t="s">
        <v>1331</v>
      </c>
      <c r="D169" s="25">
        <v>84</v>
      </c>
      <c r="E169" s="25" t="s">
        <v>853</v>
      </c>
      <c r="F169" s="25" t="s">
        <v>141</v>
      </c>
      <c r="G169" s="25"/>
      <c r="H169" s="25"/>
      <c r="I169" s="25"/>
      <c r="J169" s="25" t="s">
        <v>1327</v>
      </c>
      <c r="K169" s="25" t="s">
        <v>1336</v>
      </c>
    </row>
    <row r="170" spans="1:11" ht="18.75" x14ac:dyDescent="0.3">
      <c r="A170" s="25" t="s">
        <v>31</v>
      </c>
      <c r="B170" s="25" t="s">
        <v>493</v>
      </c>
      <c r="C170" s="25" t="s">
        <v>1331</v>
      </c>
      <c r="D170" s="25">
        <v>85</v>
      </c>
      <c r="E170" s="25" t="s">
        <v>785</v>
      </c>
      <c r="F170" s="25" t="s">
        <v>142</v>
      </c>
      <c r="G170" s="25"/>
      <c r="H170" s="25"/>
      <c r="I170" s="25"/>
      <c r="J170" s="25" t="s">
        <v>1327</v>
      </c>
      <c r="K170" s="25" t="s">
        <v>1336</v>
      </c>
    </row>
    <row r="171" spans="1:11" ht="18.75" x14ac:dyDescent="0.3">
      <c r="A171" s="25" t="s">
        <v>33</v>
      </c>
      <c r="B171" s="25" t="s">
        <v>494</v>
      </c>
      <c r="C171" s="25" t="s">
        <v>1331</v>
      </c>
      <c r="D171" s="25">
        <v>86</v>
      </c>
      <c r="E171" s="25" t="s">
        <v>836</v>
      </c>
      <c r="F171" s="25" t="s">
        <v>144</v>
      </c>
      <c r="G171" s="25"/>
      <c r="H171" s="25"/>
      <c r="I171" s="25"/>
      <c r="J171" s="25" t="s">
        <v>1327</v>
      </c>
      <c r="K171" s="25" t="s">
        <v>1336</v>
      </c>
    </row>
    <row r="172" spans="1:11" ht="18.75" x14ac:dyDescent="0.3">
      <c r="A172" s="25" t="s">
        <v>34</v>
      </c>
      <c r="B172" s="25" t="s">
        <v>495</v>
      </c>
      <c r="C172" s="25" t="s">
        <v>1331</v>
      </c>
      <c r="D172" s="25">
        <v>87</v>
      </c>
      <c r="E172" s="25" t="s">
        <v>712</v>
      </c>
      <c r="F172" s="25" t="s">
        <v>145</v>
      </c>
      <c r="G172" s="25"/>
      <c r="H172" s="25"/>
      <c r="I172" s="25"/>
      <c r="J172" s="25" t="s">
        <v>1327</v>
      </c>
      <c r="K172" s="25" t="s">
        <v>1336</v>
      </c>
    </row>
    <row r="173" spans="1:11" ht="18.75" x14ac:dyDescent="0.3">
      <c r="A173" s="25" t="s">
        <v>35</v>
      </c>
      <c r="B173" s="25" t="s">
        <v>496</v>
      </c>
      <c r="C173" s="25" t="s">
        <v>1331</v>
      </c>
      <c r="D173" s="25">
        <v>88</v>
      </c>
      <c r="E173" s="25" t="s">
        <v>741</v>
      </c>
      <c r="F173" s="25" t="s">
        <v>146</v>
      </c>
      <c r="G173" s="25"/>
      <c r="H173" s="25"/>
      <c r="I173" s="25"/>
      <c r="J173" s="25" t="s">
        <v>1327</v>
      </c>
      <c r="K173" s="25" t="s">
        <v>1336</v>
      </c>
    </row>
    <row r="174" spans="1:11" ht="18.75" x14ac:dyDescent="0.3">
      <c r="A174" s="25" t="s">
        <v>37</v>
      </c>
      <c r="B174" s="25" t="s">
        <v>497</v>
      </c>
      <c r="C174" s="25" t="s">
        <v>1331</v>
      </c>
      <c r="D174" s="25">
        <v>89</v>
      </c>
      <c r="E174" s="25" t="s">
        <v>782</v>
      </c>
      <c r="F174" s="25" t="s">
        <v>148</v>
      </c>
      <c r="G174" s="25"/>
      <c r="H174" s="25"/>
      <c r="I174" s="25"/>
      <c r="J174" s="25" t="s">
        <v>1327</v>
      </c>
      <c r="K174" s="25" t="s">
        <v>1336</v>
      </c>
    </row>
    <row r="175" spans="1:11" ht="18.75" x14ac:dyDescent="0.3">
      <c r="A175" s="25" t="s">
        <v>20</v>
      </c>
      <c r="B175" s="25" t="s">
        <v>498</v>
      </c>
      <c r="C175" s="25" t="s">
        <v>1331</v>
      </c>
      <c r="D175" s="25">
        <v>9</v>
      </c>
      <c r="E175" s="25" t="s">
        <v>705</v>
      </c>
      <c r="F175" s="25" t="s">
        <v>130</v>
      </c>
      <c r="G175" s="25"/>
      <c r="H175" s="25"/>
      <c r="I175" s="25"/>
      <c r="J175" s="25" t="s">
        <v>1327</v>
      </c>
      <c r="K175" s="25" t="s">
        <v>1336</v>
      </c>
    </row>
    <row r="176" spans="1:11" ht="18.75" x14ac:dyDescent="0.3">
      <c r="A176" s="25" t="s">
        <v>43</v>
      </c>
      <c r="B176" s="25" t="s">
        <v>499</v>
      </c>
      <c r="C176" s="25" t="s">
        <v>1331</v>
      </c>
      <c r="D176" s="25">
        <v>90</v>
      </c>
      <c r="E176" s="25" t="s">
        <v>805</v>
      </c>
      <c r="F176" s="25" t="s">
        <v>154</v>
      </c>
      <c r="G176" s="25"/>
      <c r="H176" s="25"/>
      <c r="I176" s="25"/>
      <c r="J176" s="25" t="s">
        <v>1327</v>
      </c>
      <c r="K176" s="25" t="s">
        <v>1336</v>
      </c>
    </row>
    <row r="177" spans="1:11" ht="18.75" x14ac:dyDescent="0.3">
      <c r="A177" s="25" t="s">
        <v>49</v>
      </c>
      <c r="B177" s="25" t="s">
        <v>500</v>
      </c>
      <c r="C177" s="25" t="s">
        <v>1331</v>
      </c>
      <c r="D177" s="25">
        <v>91</v>
      </c>
      <c r="E177" s="25" t="s">
        <v>804</v>
      </c>
      <c r="F177" s="25" t="s">
        <v>161</v>
      </c>
      <c r="G177" s="25"/>
      <c r="H177" s="25"/>
      <c r="I177" s="25"/>
      <c r="J177" s="25" t="s">
        <v>1327</v>
      </c>
      <c r="K177" s="25" t="s">
        <v>1336</v>
      </c>
    </row>
    <row r="178" spans="1:11" ht="18.75" x14ac:dyDescent="0.3">
      <c r="A178" s="25" t="s">
        <v>50</v>
      </c>
      <c r="B178" s="25" t="s">
        <v>501</v>
      </c>
      <c r="C178" s="25" t="s">
        <v>1331</v>
      </c>
      <c r="D178" s="25">
        <v>92</v>
      </c>
      <c r="E178" s="25" t="s">
        <v>779</v>
      </c>
      <c r="F178" s="25" t="s">
        <v>162</v>
      </c>
      <c r="G178" s="25"/>
      <c r="H178" s="25"/>
      <c r="I178" s="25"/>
      <c r="J178" s="25" t="s">
        <v>1327</v>
      </c>
      <c r="K178" s="25" t="s">
        <v>1336</v>
      </c>
    </row>
    <row r="179" spans="1:11" ht="18.75" x14ac:dyDescent="0.3">
      <c r="A179" s="25" t="s">
        <v>51</v>
      </c>
      <c r="B179" s="25" t="s">
        <v>502</v>
      </c>
      <c r="C179" s="25" t="s">
        <v>1331</v>
      </c>
      <c r="D179" s="25">
        <v>93</v>
      </c>
      <c r="E179" s="25" t="s">
        <v>758</v>
      </c>
      <c r="F179" s="25" t="s">
        <v>163</v>
      </c>
      <c r="G179" s="25"/>
      <c r="H179" s="25"/>
      <c r="I179" s="25"/>
      <c r="J179" s="25" t="s">
        <v>1327</v>
      </c>
      <c r="K179" s="25" t="s">
        <v>1336</v>
      </c>
    </row>
    <row r="180" spans="1:11" ht="18.75" x14ac:dyDescent="0.3">
      <c r="A180" s="25" t="s">
        <v>90</v>
      </c>
      <c r="B180" s="25" t="s">
        <v>503</v>
      </c>
      <c r="C180" s="25" t="s">
        <v>1331</v>
      </c>
      <c r="D180" s="25">
        <v>94</v>
      </c>
      <c r="E180" s="25" t="s">
        <v>824</v>
      </c>
      <c r="F180" s="25" t="s">
        <v>211</v>
      </c>
      <c r="G180" s="25"/>
      <c r="H180" s="25"/>
      <c r="I180" s="25"/>
      <c r="J180" s="25" t="s">
        <v>1327</v>
      </c>
      <c r="K180" s="25" t="s">
        <v>1336</v>
      </c>
    </row>
    <row r="181" spans="1:11" ht="18.75" x14ac:dyDescent="0.3">
      <c r="A181" s="25" t="s">
        <v>91</v>
      </c>
      <c r="B181" s="25" t="s">
        <v>504</v>
      </c>
      <c r="C181" s="25" t="s">
        <v>1331</v>
      </c>
      <c r="D181" s="25">
        <v>95</v>
      </c>
      <c r="E181" s="25" t="s">
        <v>800</v>
      </c>
      <c r="F181" s="25" t="s">
        <v>212</v>
      </c>
      <c r="G181" s="25"/>
      <c r="H181" s="25"/>
      <c r="I181" s="25"/>
      <c r="J181" s="25" t="s">
        <v>1327</v>
      </c>
      <c r="K181" s="25" t="s">
        <v>1336</v>
      </c>
    </row>
    <row r="182" spans="1:11" ht="18.75" x14ac:dyDescent="0.3">
      <c r="A182" s="25" t="s">
        <v>93</v>
      </c>
      <c r="B182" s="25" t="s">
        <v>505</v>
      </c>
      <c r="C182" s="25" t="s">
        <v>1331</v>
      </c>
      <c r="D182" s="25">
        <v>96</v>
      </c>
      <c r="E182" s="25" t="s">
        <v>858</v>
      </c>
      <c r="F182" s="25" t="s">
        <v>214</v>
      </c>
      <c r="G182" s="25"/>
      <c r="H182" s="25"/>
      <c r="I182" s="25"/>
      <c r="J182" s="25" t="s">
        <v>1327</v>
      </c>
      <c r="K182" s="25" t="s">
        <v>1336</v>
      </c>
    </row>
    <row r="183" spans="1:11" ht="18.75" x14ac:dyDescent="0.3">
      <c r="A183" s="25" t="s">
        <v>100</v>
      </c>
      <c r="B183" s="25" t="s">
        <v>506</v>
      </c>
      <c r="C183" s="25" t="s">
        <v>1331</v>
      </c>
      <c r="D183" s="25">
        <v>97</v>
      </c>
      <c r="E183" s="25" t="s">
        <v>874</v>
      </c>
      <c r="F183" s="25" t="s">
        <v>220</v>
      </c>
      <c r="G183" s="25"/>
      <c r="H183" s="25"/>
      <c r="I183" s="25"/>
      <c r="J183" s="25" t="s">
        <v>1327</v>
      </c>
      <c r="K183" s="25" t="s">
        <v>1336</v>
      </c>
    </row>
    <row r="184" spans="1:11" ht="18.75" x14ac:dyDescent="0.3">
      <c r="A184" s="25" t="s">
        <v>101</v>
      </c>
      <c r="B184" s="25" t="s">
        <v>507</v>
      </c>
      <c r="C184" s="25" t="s">
        <v>1331</v>
      </c>
      <c r="D184" s="25">
        <v>98</v>
      </c>
      <c r="E184" s="25" t="s">
        <v>875</v>
      </c>
      <c r="F184" s="25" t="s">
        <v>221</v>
      </c>
      <c r="G184" s="25"/>
      <c r="H184" s="25"/>
      <c r="I184" s="25"/>
      <c r="J184" s="25" t="s">
        <v>1327</v>
      </c>
      <c r="K184" s="25" t="s">
        <v>1336</v>
      </c>
    </row>
    <row r="185" spans="1:11" ht="18.75" x14ac:dyDescent="0.3">
      <c r="A185" s="25" t="s">
        <v>102</v>
      </c>
      <c r="B185" s="25" t="s">
        <v>508</v>
      </c>
      <c r="C185" s="25" t="s">
        <v>1331</v>
      </c>
      <c r="D185" s="25">
        <v>99</v>
      </c>
      <c r="E185" s="25" t="s">
        <v>819</v>
      </c>
      <c r="F185" s="25" t="s">
        <v>223</v>
      </c>
      <c r="G185" s="25"/>
      <c r="H185" s="25"/>
      <c r="I185" s="25"/>
      <c r="J185" s="25" t="s">
        <v>1327</v>
      </c>
      <c r="K185" s="25" t="s">
        <v>1336</v>
      </c>
    </row>
  </sheetData>
  <autoFilter ref="A1:K185" xr:uid="{197E6599-46A5-4DE1-B4F7-CACD814F2371}"/>
  <sortState xmlns:xlrd2="http://schemas.microsoft.com/office/spreadsheetml/2017/richdata2" ref="A2:K185">
    <sortCondition ref="C2:C185"/>
    <sortCondition ref="D2:D185"/>
  </sortState>
  <conditionalFormatting sqref="A1:A1048576">
    <cfRule type="duplicateValues" dxfId="3" priority="1"/>
  </conditionalFormatting>
  <conditionalFormatting sqref="B1:D1048576">
    <cfRule type="duplicateValues" dxfId="2" priority="2"/>
  </conditionalFormatting>
  <pageMargins left="0" right="0" top="0" bottom="0" header="0" footer="0"/>
  <pageSetup scale="71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BD762-38AF-4121-99BE-72C7C524352E}">
  <sheetPr codeName="Sheet11">
    <pageSetUpPr fitToPage="1"/>
  </sheetPr>
  <dimension ref="A1:H185"/>
  <sheetViews>
    <sheetView workbookViewId="0">
      <selection activeCell="L1" sqref="L1"/>
    </sheetView>
  </sheetViews>
  <sheetFormatPr defaultRowHeight="15" x14ac:dyDescent="0.25"/>
  <cols>
    <col min="1" max="1" width="9.5703125" bestFit="1" customWidth="1"/>
    <col min="2" max="2" width="24.42578125" bestFit="1" customWidth="1"/>
    <col min="3" max="3" width="43" bestFit="1" customWidth="1"/>
    <col min="4" max="4" width="29.42578125" bestFit="1" customWidth="1"/>
    <col min="5" max="5" width="16.5703125" bestFit="1" customWidth="1"/>
    <col min="6" max="6" width="25.42578125" bestFit="1" customWidth="1"/>
    <col min="7" max="7" width="12.42578125" bestFit="1" customWidth="1"/>
    <col min="8" max="8" width="7.5703125" bestFit="1" customWidth="1"/>
  </cols>
  <sheetData>
    <row r="1" spans="1:8" ht="18.75" x14ac:dyDescent="0.3">
      <c r="A1" s="24" t="s">
        <v>249</v>
      </c>
      <c r="B1" s="24" t="s">
        <v>247</v>
      </c>
      <c r="C1" s="24" t="s">
        <v>248</v>
      </c>
      <c r="D1" s="24" t="s">
        <v>1119</v>
      </c>
      <c r="E1" s="24" t="s">
        <v>1324</v>
      </c>
      <c r="F1" s="24" t="s">
        <v>1323</v>
      </c>
      <c r="G1" s="24" t="s">
        <v>1328</v>
      </c>
      <c r="H1" s="24" t="s">
        <v>692</v>
      </c>
    </row>
    <row r="2" spans="1:8" ht="18.75" x14ac:dyDescent="0.3">
      <c r="A2" s="25" t="s">
        <v>250</v>
      </c>
      <c r="B2" s="25" t="s">
        <v>1</v>
      </c>
      <c r="C2" s="25" t="s">
        <v>702</v>
      </c>
      <c r="D2" s="25" t="s">
        <v>107</v>
      </c>
      <c r="E2" s="25" t="s">
        <v>696</v>
      </c>
      <c r="F2" s="25" t="s">
        <v>512</v>
      </c>
      <c r="G2" s="25" t="s">
        <v>246</v>
      </c>
      <c r="H2" s="25" t="s">
        <v>1336</v>
      </c>
    </row>
    <row r="3" spans="1:8" ht="18.75" x14ac:dyDescent="0.3">
      <c r="A3" s="25" t="s">
        <v>266</v>
      </c>
      <c r="B3" s="25" t="s">
        <v>2</v>
      </c>
      <c r="C3" s="25" t="s">
        <v>750</v>
      </c>
      <c r="D3" s="25" t="s">
        <v>109</v>
      </c>
      <c r="E3" s="25"/>
      <c r="F3" s="25"/>
      <c r="G3" s="25" t="s">
        <v>1327</v>
      </c>
      <c r="H3" s="25" t="s">
        <v>1336</v>
      </c>
    </row>
    <row r="4" spans="1:8" ht="18.75" x14ac:dyDescent="0.3">
      <c r="A4" s="25" t="s">
        <v>287</v>
      </c>
      <c r="B4" s="25" t="s">
        <v>3</v>
      </c>
      <c r="C4" s="25" t="s">
        <v>709</v>
      </c>
      <c r="D4" s="25" t="s">
        <v>110</v>
      </c>
      <c r="E4" s="25"/>
      <c r="F4" s="25"/>
      <c r="G4" s="25" t="s">
        <v>1327</v>
      </c>
      <c r="H4" s="25" t="s">
        <v>1336</v>
      </c>
    </row>
    <row r="5" spans="1:8" ht="18.75" x14ac:dyDescent="0.3">
      <c r="A5" s="25" t="s">
        <v>307</v>
      </c>
      <c r="B5" s="25" t="s">
        <v>7</v>
      </c>
      <c r="C5" s="25" t="s">
        <v>704</v>
      </c>
      <c r="D5" s="25" t="s">
        <v>115</v>
      </c>
      <c r="E5" s="25"/>
      <c r="F5" s="25"/>
      <c r="G5" s="25" t="s">
        <v>1327</v>
      </c>
      <c r="H5" s="25" t="s">
        <v>1336</v>
      </c>
    </row>
    <row r="6" spans="1:8" ht="18.75" x14ac:dyDescent="0.3">
      <c r="A6" s="25" t="s">
        <v>311</v>
      </c>
      <c r="B6" s="25" t="s">
        <v>8</v>
      </c>
      <c r="C6" s="25" t="s">
        <v>722</v>
      </c>
      <c r="D6" s="25" t="s">
        <v>116</v>
      </c>
      <c r="E6" s="25"/>
      <c r="F6" s="25"/>
      <c r="G6" s="25" t="s">
        <v>1327</v>
      </c>
      <c r="H6" s="25" t="s">
        <v>1336</v>
      </c>
    </row>
    <row r="7" spans="1:8" ht="18.75" x14ac:dyDescent="0.3">
      <c r="A7" s="25" t="s">
        <v>312</v>
      </c>
      <c r="B7" s="25" t="s">
        <v>55</v>
      </c>
      <c r="C7" s="25" t="s">
        <v>762</v>
      </c>
      <c r="D7" s="25" t="s">
        <v>166</v>
      </c>
      <c r="E7" s="25"/>
      <c r="F7" s="25"/>
      <c r="G7" s="25" t="s">
        <v>1327</v>
      </c>
      <c r="H7" s="25" t="s">
        <v>1336</v>
      </c>
    </row>
    <row r="8" spans="1:8" ht="18.75" x14ac:dyDescent="0.3">
      <c r="A8" s="25" t="s">
        <v>313</v>
      </c>
      <c r="B8" s="25" t="s">
        <v>56</v>
      </c>
      <c r="C8" s="25" t="s">
        <v>742</v>
      </c>
      <c r="D8" s="25" t="s">
        <v>168</v>
      </c>
      <c r="E8" s="25"/>
      <c r="F8" s="25"/>
      <c r="G8" s="25" t="s">
        <v>1327</v>
      </c>
      <c r="H8" s="25" t="s">
        <v>1336</v>
      </c>
    </row>
    <row r="9" spans="1:8" ht="18.75" x14ac:dyDescent="0.3">
      <c r="A9" s="25" t="s">
        <v>314</v>
      </c>
      <c r="B9" s="25" t="s">
        <v>57</v>
      </c>
      <c r="C9" s="25" t="s">
        <v>768</v>
      </c>
      <c r="D9" s="25" t="s">
        <v>169</v>
      </c>
      <c r="E9" s="25"/>
      <c r="F9" s="25"/>
      <c r="G9" s="25" t="s">
        <v>1327</v>
      </c>
      <c r="H9" s="25" t="s">
        <v>1336</v>
      </c>
    </row>
    <row r="10" spans="1:8" ht="18.75" x14ac:dyDescent="0.3">
      <c r="A10" s="25" t="s">
        <v>315</v>
      </c>
      <c r="B10" s="25" t="s">
        <v>58</v>
      </c>
      <c r="C10" s="25" t="s">
        <v>724</v>
      </c>
      <c r="D10" s="25" t="s">
        <v>171</v>
      </c>
      <c r="E10" s="25"/>
      <c r="F10" s="25"/>
      <c r="G10" s="25" t="s">
        <v>1327</v>
      </c>
      <c r="H10" s="25" t="s">
        <v>1336</v>
      </c>
    </row>
    <row r="11" spans="1:8" ht="18.75" x14ac:dyDescent="0.3">
      <c r="A11" s="25" t="s">
        <v>251</v>
      </c>
      <c r="B11" s="25" t="s">
        <v>75</v>
      </c>
      <c r="C11" s="25" t="s">
        <v>827</v>
      </c>
      <c r="D11" s="25" t="s">
        <v>192</v>
      </c>
      <c r="E11" s="25"/>
      <c r="F11" s="25"/>
      <c r="G11" s="25" t="s">
        <v>1327</v>
      </c>
      <c r="H11" s="25" t="s">
        <v>1336</v>
      </c>
    </row>
    <row r="12" spans="1:8" ht="18.75" x14ac:dyDescent="0.3">
      <c r="A12" s="25" t="s">
        <v>252</v>
      </c>
      <c r="B12" s="25" t="s">
        <v>76</v>
      </c>
      <c r="C12" s="25" t="s">
        <v>814</v>
      </c>
      <c r="D12" s="25" t="s">
        <v>193</v>
      </c>
      <c r="E12" s="25"/>
      <c r="F12" s="25"/>
      <c r="G12" s="25" t="s">
        <v>1327</v>
      </c>
      <c r="H12" s="25" t="s">
        <v>1336</v>
      </c>
    </row>
    <row r="13" spans="1:8" ht="18.75" x14ac:dyDescent="0.3">
      <c r="A13" s="25" t="s">
        <v>253</v>
      </c>
      <c r="B13" s="25" t="s">
        <v>77</v>
      </c>
      <c r="C13" s="25" t="s">
        <v>730</v>
      </c>
      <c r="D13" s="25" t="s">
        <v>1214</v>
      </c>
      <c r="E13" s="25"/>
      <c r="F13" s="25"/>
      <c r="G13" s="25" t="s">
        <v>1327</v>
      </c>
      <c r="H13" s="25" t="s">
        <v>1336</v>
      </c>
    </row>
    <row r="14" spans="1:8" ht="18.75" x14ac:dyDescent="0.3">
      <c r="A14" s="25" t="s">
        <v>254</v>
      </c>
      <c r="B14" s="25" t="s">
        <v>78</v>
      </c>
      <c r="C14" s="25" t="s">
        <v>822</v>
      </c>
      <c r="D14" s="25" t="s">
        <v>195</v>
      </c>
      <c r="E14" s="25"/>
      <c r="F14" s="25"/>
      <c r="G14" s="25" t="s">
        <v>1327</v>
      </c>
      <c r="H14" s="25" t="s">
        <v>1336</v>
      </c>
    </row>
    <row r="15" spans="1:8" ht="18.75" x14ac:dyDescent="0.3">
      <c r="A15" s="25" t="s">
        <v>255</v>
      </c>
      <c r="B15" s="25" t="s">
        <v>230</v>
      </c>
      <c r="C15" s="25" t="s">
        <v>725</v>
      </c>
      <c r="D15" s="25" t="s">
        <v>1124</v>
      </c>
      <c r="E15" s="25"/>
      <c r="F15" s="25"/>
      <c r="G15" s="25" t="s">
        <v>1327</v>
      </c>
      <c r="H15" s="25" t="s">
        <v>1336</v>
      </c>
    </row>
    <row r="16" spans="1:8" ht="18.75" x14ac:dyDescent="0.3">
      <c r="A16" s="25" t="s">
        <v>257</v>
      </c>
      <c r="B16" s="25" t="s">
        <v>256</v>
      </c>
      <c r="C16" s="25" t="s">
        <v>781</v>
      </c>
      <c r="D16" s="25" t="s">
        <v>1165</v>
      </c>
      <c r="E16" s="25" t="s">
        <v>696</v>
      </c>
      <c r="F16" s="25" t="s">
        <v>518</v>
      </c>
      <c r="G16" s="25" t="s">
        <v>1321</v>
      </c>
      <c r="H16" s="25" t="s">
        <v>695</v>
      </c>
    </row>
    <row r="17" spans="1:8" ht="18.75" x14ac:dyDescent="0.3">
      <c r="A17" s="25" t="s">
        <v>259</v>
      </c>
      <c r="B17" s="25" t="s">
        <v>258</v>
      </c>
      <c r="C17" s="25" t="s">
        <v>748</v>
      </c>
      <c r="D17" s="25" t="s">
        <v>1205</v>
      </c>
      <c r="E17" s="25" t="s">
        <v>696</v>
      </c>
      <c r="F17" s="25" t="s">
        <v>519</v>
      </c>
      <c r="G17" s="25" t="s">
        <v>246</v>
      </c>
      <c r="H17" s="25" t="s">
        <v>695</v>
      </c>
    </row>
    <row r="18" spans="1:8" ht="18.75" x14ac:dyDescent="0.3">
      <c r="A18" s="25" t="s">
        <v>261</v>
      </c>
      <c r="B18" s="25" t="s">
        <v>260</v>
      </c>
      <c r="C18" s="25" t="s">
        <v>736</v>
      </c>
      <c r="D18" s="25" t="s">
        <v>1208</v>
      </c>
      <c r="E18" s="25" t="s">
        <v>696</v>
      </c>
      <c r="F18" s="25" t="s">
        <v>520</v>
      </c>
      <c r="G18" s="25" t="s">
        <v>246</v>
      </c>
      <c r="H18" s="25" t="s">
        <v>695</v>
      </c>
    </row>
    <row r="19" spans="1:8" ht="18.75" x14ac:dyDescent="0.3">
      <c r="A19" s="25" t="s">
        <v>263</v>
      </c>
      <c r="B19" s="25" t="s">
        <v>262</v>
      </c>
      <c r="C19" s="25" t="s">
        <v>866</v>
      </c>
      <c r="D19" s="25" t="s">
        <v>1193</v>
      </c>
      <c r="E19" s="25" t="s">
        <v>696</v>
      </c>
      <c r="F19" s="25" t="s">
        <v>521</v>
      </c>
      <c r="G19" s="25" t="s">
        <v>1321</v>
      </c>
      <c r="H19" s="25" t="s">
        <v>695</v>
      </c>
    </row>
    <row r="20" spans="1:8" ht="18.75" x14ac:dyDescent="0.3">
      <c r="A20" s="25" t="s">
        <v>265</v>
      </c>
      <c r="B20" s="25" t="s">
        <v>264</v>
      </c>
      <c r="C20" s="25" t="s">
        <v>810</v>
      </c>
      <c r="D20" s="25" t="s">
        <v>1171</v>
      </c>
      <c r="E20" s="25" t="s">
        <v>696</v>
      </c>
      <c r="F20" s="25" t="s">
        <v>522</v>
      </c>
      <c r="G20" s="25" t="s">
        <v>1321</v>
      </c>
      <c r="H20" s="25" t="s">
        <v>695</v>
      </c>
    </row>
    <row r="21" spans="1:8" ht="18.75" x14ac:dyDescent="0.3">
      <c r="A21" s="25" t="s">
        <v>268</v>
      </c>
      <c r="B21" s="25" t="s">
        <v>267</v>
      </c>
      <c r="C21" s="25" t="s">
        <v>784</v>
      </c>
      <c r="D21" s="25" t="s">
        <v>1210</v>
      </c>
      <c r="E21" s="25" t="s">
        <v>699</v>
      </c>
      <c r="F21" s="25" t="s">
        <v>1210</v>
      </c>
      <c r="G21" s="25" t="s">
        <v>246</v>
      </c>
      <c r="H21" s="25" t="s">
        <v>695</v>
      </c>
    </row>
    <row r="22" spans="1:8" ht="18.75" x14ac:dyDescent="0.3">
      <c r="A22" s="25" t="s">
        <v>270</v>
      </c>
      <c r="B22" s="25" t="s">
        <v>269</v>
      </c>
      <c r="C22" s="25" t="s">
        <v>845</v>
      </c>
      <c r="D22" s="25" t="s">
        <v>1194</v>
      </c>
      <c r="E22" s="25" t="s">
        <v>696</v>
      </c>
      <c r="F22" s="25" t="s">
        <v>525</v>
      </c>
      <c r="G22" s="25" t="s">
        <v>1321</v>
      </c>
      <c r="H22" s="25" t="s">
        <v>695</v>
      </c>
    </row>
    <row r="23" spans="1:8" ht="18.75" x14ac:dyDescent="0.3">
      <c r="A23" s="25" t="s">
        <v>272</v>
      </c>
      <c r="B23" s="25" t="s">
        <v>271</v>
      </c>
      <c r="C23" s="25" t="s">
        <v>841</v>
      </c>
      <c r="D23" s="25" t="s">
        <v>1174</v>
      </c>
      <c r="E23" s="25" t="s">
        <v>698</v>
      </c>
      <c r="F23" s="25" t="s">
        <v>1174</v>
      </c>
      <c r="G23" s="25" t="s">
        <v>1321</v>
      </c>
      <c r="H23" s="25" t="s">
        <v>695</v>
      </c>
    </row>
    <row r="24" spans="1:8" ht="18.75" x14ac:dyDescent="0.3">
      <c r="A24" s="25" t="s">
        <v>274</v>
      </c>
      <c r="B24" s="25" t="s">
        <v>273</v>
      </c>
      <c r="C24" s="25" t="s">
        <v>850</v>
      </c>
      <c r="D24" s="25" t="s">
        <v>1204</v>
      </c>
      <c r="E24" s="25" t="s">
        <v>696</v>
      </c>
      <c r="F24" s="25" t="s">
        <v>527</v>
      </c>
      <c r="G24" s="25" t="s">
        <v>246</v>
      </c>
      <c r="H24" s="25" t="s">
        <v>695</v>
      </c>
    </row>
    <row r="25" spans="1:8" ht="18.75" x14ac:dyDescent="0.3">
      <c r="A25" s="25" t="s">
        <v>276</v>
      </c>
      <c r="B25" s="25" t="s">
        <v>275</v>
      </c>
      <c r="C25" s="25" t="s">
        <v>815</v>
      </c>
      <c r="D25" s="25" t="s">
        <v>1185</v>
      </c>
      <c r="E25" s="25" t="s">
        <v>696</v>
      </c>
      <c r="F25" s="25" t="s">
        <v>1307</v>
      </c>
      <c r="G25" s="25" t="s">
        <v>1321</v>
      </c>
      <c r="H25" s="25" t="s">
        <v>695</v>
      </c>
    </row>
    <row r="26" spans="1:8" ht="18.75" x14ac:dyDescent="0.3">
      <c r="A26" s="25" t="s">
        <v>278</v>
      </c>
      <c r="B26" s="25" t="s">
        <v>277</v>
      </c>
      <c r="C26" s="25" t="s">
        <v>778</v>
      </c>
      <c r="D26" s="25" t="s">
        <v>1206</v>
      </c>
      <c r="E26" s="25" t="s">
        <v>696</v>
      </c>
      <c r="F26" s="25" t="s">
        <v>529</v>
      </c>
      <c r="G26" s="25" t="s">
        <v>246</v>
      </c>
      <c r="H26" s="25" t="s">
        <v>695</v>
      </c>
    </row>
    <row r="27" spans="1:8" ht="18.75" x14ac:dyDescent="0.3">
      <c r="A27" s="25" t="s">
        <v>280</v>
      </c>
      <c r="B27" s="25" t="s">
        <v>279</v>
      </c>
      <c r="C27" s="25" t="s">
        <v>834</v>
      </c>
      <c r="D27" s="25" t="s">
        <v>1173</v>
      </c>
      <c r="E27" s="25" t="s">
        <v>696</v>
      </c>
      <c r="F27" s="25" t="s">
        <v>1293</v>
      </c>
      <c r="G27" s="25" t="s">
        <v>1321</v>
      </c>
      <c r="H27" s="25" t="s">
        <v>695</v>
      </c>
    </row>
    <row r="28" spans="1:8" ht="18.75" x14ac:dyDescent="0.3">
      <c r="A28" s="25" t="s">
        <v>282</v>
      </c>
      <c r="B28" s="25" t="s">
        <v>281</v>
      </c>
      <c r="C28" s="25" t="s">
        <v>808</v>
      </c>
      <c r="D28" s="25" t="s">
        <v>1170</v>
      </c>
      <c r="E28" s="25" t="s">
        <v>696</v>
      </c>
      <c r="F28" s="25" t="s">
        <v>531</v>
      </c>
      <c r="G28" s="25" t="s">
        <v>1123</v>
      </c>
      <c r="H28" s="25" t="s">
        <v>695</v>
      </c>
    </row>
    <row r="29" spans="1:8" ht="18.75" x14ac:dyDescent="0.3">
      <c r="A29" s="25" t="s">
        <v>284</v>
      </c>
      <c r="B29" s="25" t="s">
        <v>283</v>
      </c>
      <c r="C29" s="25" t="s">
        <v>816</v>
      </c>
      <c r="D29" s="25" t="s">
        <v>1207</v>
      </c>
      <c r="E29" s="25" t="s">
        <v>696</v>
      </c>
      <c r="F29" s="25" t="s">
        <v>532</v>
      </c>
      <c r="G29" s="25" t="s">
        <v>246</v>
      </c>
      <c r="H29" s="25" t="s">
        <v>695</v>
      </c>
    </row>
    <row r="30" spans="1:8" ht="18.75" x14ac:dyDescent="0.3">
      <c r="A30" s="25" t="s">
        <v>286</v>
      </c>
      <c r="B30" s="25" t="s">
        <v>285</v>
      </c>
      <c r="C30" s="25" t="s">
        <v>861</v>
      </c>
      <c r="D30" s="25" t="s">
        <v>1177</v>
      </c>
      <c r="E30" s="25" t="s">
        <v>696</v>
      </c>
      <c r="F30" s="25" t="s">
        <v>533</v>
      </c>
      <c r="G30" s="25" t="s">
        <v>1321</v>
      </c>
      <c r="H30" s="25" t="s">
        <v>695</v>
      </c>
    </row>
    <row r="31" spans="1:8" ht="18.75" x14ac:dyDescent="0.3">
      <c r="A31" s="25" t="s">
        <v>289</v>
      </c>
      <c r="B31" s="25" t="s">
        <v>288</v>
      </c>
      <c r="C31" s="25" t="s">
        <v>867</v>
      </c>
      <c r="D31" s="25" t="s">
        <v>1182</v>
      </c>
      <c r="E31" s="25" t="s">
        <v>698</v>
      </c>
      <c r="F31" s="25" t="s">
        <v>1182</v>
      </c>
      <c r="G31" s="25" t="s">
        <v>1321</v>
      </c>
      <c r="H31" s="25" t="s">
        <v>695</v>
      </c>
    </row>
    <row r="32" spans="1:8" ht="18.75" x14ac:dyDescent="0.3">
      <c r="A32" s="25" t="s">
        <v>291</v>
      </c>
      <c r="B32" s="25" t="s">
        <v>290</v>
      </c>
      <c r="C32" s="25" t="s">
        <v>862</v>
      </c>
      <c r="D32" s="25" t="s">
        <v>1180</v>
      </c>
      <c r="E32" s="25" t="s">
        <v>696</v>
      </c>
      <c r="F32" s="25" t="s">
        <v>1309</v>
      </c>
      <c r="G32" s="25" t="s">
        <v>1321</v>
      </c>
      <c r="H32" s="25" t="s">
        <v>695</v>
      </c>
    </row>
    <row r="33" spans="1:8" ht="18.75" x14ac:dyDescent="0.3">
      <c r="A33" s="25" t="s">
        <v>293</v>
      </c>
      <c r="B33" s="25" t="s">
        <v>292</v>
      </c>
      <c r="C33" s="25" t="s">
        <v>735</v>
      </c>
      <c r="D33" s="25" t="s">
        <v>1183</v>
      </c>
      <c r="E33" s="25" t="s">
        <v>696</v>
      </c>
      <c r="F33" s="25" t="s">
        <v>537</v>
      </c>
      <c r="G33" s="25" t="s">
        <v>1321</v>
      </c>
      <c r="H33" s="25" t="s">
        <v>695</v>
      </c>
    </row>
    <row r="34" spans="1:8" ht="18.75" x14ac:dyDescent="0.3">
      <c r="A34" s="25" t="s">
        <v>295</v>
      </c>
      <c r="B34" s="25" t="s">
        <v>294</v>
      </c>
      <c r="C34" s="25" t="s">
        <v>835</v>
      </c>
      <c r="D34" s="25" t="s">
        <v>1189</v>
      </c>
      <c r="E34" s="25" t="s">
        <v>696</v>
      </c>
      <c r="F34" s="25" t="s">
        <v>538</v>
      </c>
      <c r="G34" s="25" t="s">
        <v>1321</v>
      </c>
      <c r="H34" s="25" t="s">
        <v>695</v>
      </c>
    </row>
    <row r="35" spans="1:8" ht="18.75" x14ac:dyDescent="0.3">
      <c r="A35" s="25" t="s">
        <v>297</v>
      </c>
      <c r="B35" s="25" t="s">
        <v>296</v>
      </c>
      <c r="C35" s="25" t="s">
        <v>751</v>
      </c>
      <c r="D35" s="25" t="s">
        <v>1191</v>
      </c>
      <c r="E35" s="25" t="s">
        <v>696</v>
      </c>
      <c r="F35" s="25" t="s">
        <v>539</v>
      </c>
      <c r="G35" s="25" t="s">
        <v>1123</v>
      </c>
      <c r="H35" s="25" t="s">
        <v>695</v>
      </c>
    </row>
    <row r="36" spans="1:8" ht="18.75" x14ac:dyDescent="0.3">
      <c r="A36" s="25" t="s">
        <v>299</v>
      </c>
      <c r="B36" s="25" t="s">
        <v>298</v>
      </c>
      <c r="C36" s="25" t="s">
        <v>832</v>
      </c>
      <c r="D36" s="25" t="s">
        <v>1196</v>
      </c>
      <c r="E36" s="25" t="s">
        <v>696</v>
      </c>
      <c r="F36" s="25" t="s">
        <v>1317</v>
      </c>
      <c r="G36" s="25" t="s">
        <v>1321</v>
      </c>
      <c r="H36" s="25" t="s">
        <v>695</v>
      </c>
    </row>
    <row r="37" spans="1:8" ht="18.75" x14ac:dyDescent="0.3">
      <c r="A37" s="25" t="s">
        <v>301</v>
      </c>
      <c r="B37" s="25" t="s">
        <v>300</v>
      </c>
      <c r="C37" s="25" t="s">
        <v>763</v>
      </c>
      <c r="D37" s="25" t="s">
        <v>1190</v>
      </c>
      <c r="E37" s="25" t="s">
        <v>696</v>
      </c>
      <c r="F37" s="25" t="s">
        <v>541</v>
      </c>
      <c r="G37" s="25" t="s">
        <v>1321</v>
      </c>
      <c r="H37" s="25" t="s">
        <v>695</v>
      </c>
    </row>
    <row r="38" spans="1:8" ht="18.75" x14ac:dyDescent="0.3">
      <c r="A38" s="25" t="s">
        <v>303</v>
      </c>
      <c r="B38" s="25" t="s">
        <v>302</v>
      </c>
      <c r="C38" s="25" t="s">
        <v>826</v>
      </c>
      <c r="D38" s="25" t="s">
        <v>1188</v>
      </c>
      <c r="E38" s="25" t="s">
        <v>696</v>
      </c>
      <c r="F38" s="25" t="s">
        <v>1305</v>
      </c>
      <c r="G38" s="25" t="s">
        <v>1321</v>
      </c>
      <c r="H38" s="25" t="s">
        <v>695</v>
      </c>
    </row>
    <row r="39" spans="1:8" ht="18.75" x14ac:dyDescent="0.3">
      <c r="A39" s="25" t="s">
        <v>305</v>
      </c>
      <c r="B39" s="25" t="s">
        <v>304</v>
      </c>
      <c r="C39" s="25" t="s">
        <v>763</v>
      </c>
      <c r="D39" s="25" t="s">
        <v>1209</v>
      </c>
      <c r="E39" s="25" t="s">
        <v>696</v>
      </c>
      <c r="F39" s="25" t="s">
        <v>543</v>
      </c>
      <c r="G39" s="25" t="s">
        <v>246</v>
      </c>
      <c r="H39" s="25" t="s">
        <v>695</v>
      </c>
    </row>
    <row r="40" spans="1:8" ht="18.75" x14ac:dyDescent="0.3">
      <c r="A40" s="25" t="s">
        <v>306</v>
      </c>
      <c r="B40" s="25" t="s">
        <v>308</v>
      </c>
      <c r="C40" s="25" t="s">
        <v>855</v>
      </c>
      <c r="D40" s="25" t="s">
        <v>1195</v>
      </c>
      <c r="E40" s="25" t="s">
        <v>699</v>
      </c>
      <c r="F40" s="25" t="s">
        <v>1195</v>
      </c>
      <c r="G40" s="25" t="s">
        <v>1321</v>
      </c>
      <c r="H40" s="25" t="s">
        <v>695</v>
      </c>
    </row>
    <row r="41" spans="1:8" ht="18.75" x14ac:dyDescent="0.3">
      <c r="A41" s="25" t="s">
        <v>1333</v>
      </c>
      <c r="B41" s="25" t="s">
        <v>74</v>
      </c>
      <c r="C41" s="25" t="s">
        <v>880</v>
      </c>
      <c r="D41" s="25" t="s">
        <v>191</v>
      </c>
      <c r="E41" s="25"/>
      <c r="F41" s="25"/>
      <c r="G41" s="25" t="s">
        <v>1327</v>
      </c>
      <c r="H41" s="25" t="s">
        <v>1336</v>
      </c>
    </row>
    <row r="42" spans="1:8" ht="18.75" x14ac:dyDescent="0.3">
      <c r="A42" s="25" t="s">
        <v>309</v>
      </c>
      <c r="B42" s="25" t="s">
        <v>72</v>
      </c>
      <c r="C42" s="25" t="s">
        <v>879</v>
      </c>
      <c r="D42" s="25" t="s">
        <v>188</v>
      </c>
      <c r="E42" s="25"/>
      <c r="F42" s="25"/>
      <c r="G42" s="25" t="s">
        <v>1327</v>
      </c>
      <c r="H42" s="25" t="s">
        <v>1336</v>
      </c>
    </row>
    <row r="43" spans="1:8" ht="18.75" x14ac:dyDescent="0.3">
      <c r="A43" s="25" t="s">
        <v>310</v>
      </c>
      <c r="B43" s="25" t="s">
        <v>73</v>
      </c>
      <c r="C43" s="25" t="s">
        <v>864</v>
      </c>
      <c r="D43" s="25" t="s">
        <v>189</v>
      </c>
      <c r="E43" s="25"/>
      <c r="F43" s="25"/>
      <c r="G43" s="25" t="s">
        <v>1327</v>
      </c>
      <c r="H43" s="25" t="s">
        <v>1336</v>
      </c>
    </row>
    <row r="44" spans="1:8" ht="18.75" x14ac:dyDescent="0.3">
      <c r="A44" s="25" t="s">
        <v>316</v>
      </c>
      <c r="B44" s="25" t="s">
        <v>9</v>
      </c>
      <c r="C44" s="25" t="s">
        <v>759</v>
      </c>
      <c r="D44" s="25" t="s">
        <v>120</v>
      </c>
      <c r="E44" s="25"/>
      <c r="F44" s="25"/>
      <c r="G44" s="25" t="s">
        <v>1327</v>
      </c>
      <c r="H44" s="25" t="s">
        <v>1336</v>
      </c>
    </row>
    <row r="45" spans="1:8" ht="18.75" x14ac:dyDescent="0.3">
      <c r="A45" s="25" t="s">
        <v>332</v>
      </c>
      <c r="B45" s="25" t="s">
        <v>10</v>
      </c>
      <c r="C45" s="25" t="s">
        <v>717</v>
      </c>
      <c r="D45" s="25" t="s">
        <v>121</v>
      </c>
      <c r="E45" s="25" t="s">
        <v>696</v>
      </c>
      <c r="F45" s="25" t="s">
        <v>565</v>
      </c>
      <c r="G45" s="25" t="s">
        <v>246</v>
      </c>
      <c r="H45" s="25" t="s">
        <v>1336</v>
      </c>
    </row>
    <row r="46" spans="1:8" ht="18.75" x14ac:dyDescent="0.3">
      <c r="A46" s="25" t="s">
        <v>350</v>
      </c>
      <c r="B46" s="25" t="s">
        <v>60</v>
      </c>
      <c r="C46" s="25" t="s">
        <v>716</v>
      </c>
      <c r="D46" s="25" t="s">
        <v>174</v>
      </c>
      <c r="E46" s="25"/>
      <c r="F46" s="25"/>
      <c r="G46" s="25" t="s">
        <v>1327</v>
      </c>
      <c r="H46" s="25" t="s">
        <v>1336</v>
      </c>
    </row>
    <row r="47" spans="1:8" ht="18.75" x14ac:dyDescent="0.3">
      <c r="A47" s="25" t="s">
        <v>353</v>
      </c>
      <c r="B47" s="25" t="s">
        <v>61</v>
      </c>
      <c r="C47" s="25" t="s">
        <v>719</v>
      </c>
      <c r="D47" s="25" t="s">
        <v>176</v>
      </c>
      <c r="E47" s="25"/>
      <c r="F47" s="25"/>
      <c r="G47" s="25" t="s">
        <v>1327</v>
      </c>
      <c r="H47" s="25" t="s">
        <v>1336</v>
      </c>
    </row>
    <row r="48" spans="1:8" ht="18.75" x14ac:dyDescent="0.3">
      <c r="A48" s="25" t="s">
        <v>354</v>
      </c>
      <c r="B48" s="25" t="s">
        <v>62</v>
      </c>
      <c r="C48" s="25" t="s">
        <v>767</v>
      </c>
      <c r="D48" s="25" t="s">
        <v>178</v>
      </c>
      <c r="E48" s="25"/>
      <c r="F48" s="25"/>
      <c r="G48" s="25" t="s">
        <v>1327</v>
      </c>
      <c r="H48" s="25" t="s">
        <v>1336</v>
      </c>
    </row>
    <row r="49" spans="1:8" ht="18.75" x14ac:dyDescent="0.3">
      <c r="A49" s="25" t="s">
        <v>355</v>
      </c>
      <c r="B49" s="25" t="s">
        <v>63</v>
      </c>
      <c r="C49" s="25" t="s">
        <v>727</v>
      </c>
      <c r="D49" s="25" t="s">
        <v>180</v>
      </c>
      <c r="E49" s="25"/>
      <c r="F49" s="25"/>
      <c r="G49" s="25" t="s">
        <v>1327</v>
      </c>
      <c r="H49" s="25" t="s">
        <v>1336</v>
      </c>
    </row>
    <row r="50" spans="1:8" ht="18.75" x14ac:dyDescent="0.3">
      <c r="A50" s="25" t="s">
        <v>356</v>
      </c>
      <c r="B50" s="25" t="s">
        <v>64</v>
      </c>
      <c r="C50" s="25" t="s">
        <v>771</v>
      </c>
      <c r="D50" s="25" t="s">
        <v>181</v>
      </c>
      <c r="E50" s="25"/>
      <c r="F50" s="25"/>
      <c r="G50" s="25" t="s">
        <v>1327</v>
      </c>
      <c r="H50" s="25" t="s">
        <v>1336</v>
      </c>
    </row>
    <row r="51" spans="1:8" ht="18.75" x14ac:dyDescent="0.3">
      <c r="A51" s="25" t="s">
        <v>357</v>
      </c>
      <c r="B51" s="25" t="s">
        <v>66</v>
      </c>
      <c r="C51" s="25" t="s">
        <v>733</v>
      </c>
      <c r="D51" s="25" t="s">
        <v>1213</v>
      </c>
      <c r="E51" s="25" t="s">
        <v>696</v>
      </c>
      <c r="F51" s="25" t="s">
        <v>582</v>
      </c>
      <c r="G51" s="25" t="s">
        <v>246</v>
      </c>
      <c r="H51" s="25" t="s">
        <v>1336</v>
      </c>
    </row>
    <row r="52" spans="1:8" ht="18.75" x14ac:dyDescent="0.3">
      <c r="A52" s="25" t="s">
        <v>358</v>
      </c>
      <c r="B52" s="25" t="s">
        <v>79</v>
      </c>
      <c r="C52" s="25" t="s">
        <v>716</v>
      </c>
      <c r="D52" s="25" t="s">
        <v>196</v>
      </c>
      <c r="E52" s="25"/>
      <c r="F52" s="25"/>
      <c r="G52" s="25" t="s">
        <v>1327</v>
      </c>
      <c r="H52" s="25" t="s">
        <v>1336</v>
      </c>
    </row>
    <row r="53" spans="1:8" ht="18.75" x14ac:dyDescent="0.3">
      <c r="A53" s="25" t="s">
        <v>317</v>
      </c>
      <c r="B53" s="25" t="s">
        <v>81</v>
      </c>
      <c r="C53" s="25" t="s">
        <v>772</v>
      </c>
      <c r="D53" s="25" t="s">
        <v>198</v>
      </c>
      <c r="E53" s="25"/>
      <c r="F53" s="25"/>
      <c r="G53" s="25" t="s">
        <v>1327</v>
      </c>
      <c r="H53" s="25" t="s">
        <v>1336</v>
      </c>
    </row>
    <row r="54" spans="1:8" ht="18.75" x14ac:dyDescent="0.3">
      <c r="A54" s="25" t="s">
        <v>318</v>
      </c>
      <c r="B54" s="25" t="s">
        <v>82</v>
      </c>
      <c r="C54" s="25" t="s">
        <v>760</v>
      </c>
      <c r="D54" s="25" t="s">
        <v>199</v>
      </c>
      <c r="E54" s="25"/>
      <c r="F54" s="25"/>
      <c r="G54" s="25" t="s">
        <v>1327</v>
      </c>
      <c r="H54" s="25" t="s">
        <v>1336</v>
      </c>
    </row>
    <row r="55" spans="1:8" ht="18.75" x14ac:dyDescent="0.3">
      <c r="A55" s="25" t="s">
        <v>319</v>
      </c>
      <c r="B55" s="25" t="s">
        <v>84</v>
      </c>
      <c r="C55" s="25" t="s">
        <v>840</v>
      </c>
      <c r="D55" s="25" t="s">
        <v>201</v>
      </c>
      <c r="E55" s="25"/>
      <c r="F55" s="25"/>
      <c r="G55" s="25" t="s">
        <v>1327</v>
      </c>
      <c r="H55" s="25" t="s">
        <v>1336</v>
      </c>
    </row>
    <row r="56" spans="1:8" ht="18.75" x14ac:dyDescent="0.3">
      <c r="A56" s="25" t="s">
        <v>320</v>
      </c>
      <c r="B56" s="25" t="s">
        <v>85</v>
      </c>
      <c r="C56" s="25" t="s">
        <v>846</v>
      </c>
      <c r="D56" s="25" t="s">
        <v>202</v>
      </c>
      <c r="E56" s="25"/>
      <c r="F56" s="25"/>
      <c r="G56" s="25" t="s">
        <v>1327</v>
      </c>
      <c r="H56" s="25" t="s">
        <v>1336</v>
      </c>
    </row>
    <row r="57" spans="1:8" ht="18.75" x14ac:dyDescent="0.3">
      <c r="A57" s="25" t="s">
        <v>321</v>
      </c>
      <c r="B57" s="25" t="s">
        <v>229</v>
      </c>
      <c r="C57" s="25" t="s">
        <v>738</v>
      </c>
      <c r="D57" s="25" t="s">
        <v>1125</v>
      </c>
      <c r="E57" s="25"/>
      <c r="F57" s="25"/>
      <c r="G57" s="25" t="s">
        <v>1327</v>
      </c>
      <c r="H57" s="25" t="s">
        <v>1336</v>
      </c>
    </row>
    <row r="58" spans="1:8" ht="18.75" x14ac:dyDescent="0.3">
      <c r="A58" s="25" t="s">
        <v>323</v>
      </c>
      <c r="B58" s="25" t="s">
        <v>322</v>
      </c>
      <c r="C58" s="25" t="s">
        <v>737</v>
      </c>
      <c r="D58" s="25" t="s">
        <v>1186</v>
      </c>
      <c r="E58" s="25" t="s">
        <v>696</v>
      </c>
      <c r="F58" s="25" t="s">
        <v>560</v>
      </c>
      <c r="G58" s="25" t="s">
        <v>246</v>
      </c>
      <c r="H58" s="25" t="s">
        <v>695</v>
      </c>
    </row>
    <row r="59" spans="1:8" ht="18.75" x14ac:dyDescent="0.3">
      <c r="A59" s="25" t="s">
        <v>325</v>
      </c>
      <c r="B59" s="25" t="s">
        <v>324</v>
      </c>
      <c r="C59" s="25" t="s">
        <v>740</v>
      </c>
      <c r="D59" s="25" t="s">
        <v>1198</v>
      </c>
      <c r="E59" s="25" t="s">
        <v>696</v>
      </c>
      <c r="F59" s="25" t="s">
        <v>561</v>
      </c>
      <c r="G59" s="25" t="s">
        <v>246</v>
      </c>
      <c r="H59" s="25" t="s">
        <v>695</v>
      </c>
    </row>
    <row r="60" spans="1:8" ht="18.75" x14ac:dyDescent="0.3">
      <c r="A60" s="25" t="s">
        <v>327</v>
      </c>
      <c r="B60" s="25" t="s">
        <v>326</v>
      </c>
      <c r="C60" s="25" t="s">
        <v>786</v>
      </c>
      <c r="D60" s="25" t="s">
        <v>1160</v>
      </c>
      <c r="E60" s="25" t="s">
        <v>696</v>
      </c>
      <c r="F60" s="25" t="s">
        <v>562</v>
      </c>
      <c r="G60" s="25" t="s">
        <v>1321</v>
      </c>
      <c r="H60" s="25" t="s">
        <v>695</v>
      </c>
    </row>
    <row r="61" spans="1:8" ht="18.75" x14ac:dyDescent="0.3">
      <c r="A61" s="25" t="s">
        <v>329</v>
      </c>
      <c r="B61" s="25" t="s">
        <v>328</v>
      </c>
      <c r="C61" s="25" t="s">
        <v>801</v>
      </c>
      <c r="D61" s="25" t="s">
        <v>1192</v>
      </c>
      <c r="E61" s="25" t="s">
        <v>698</v>
      </c>
      <c r="F61" s="25" t="s">
        <v>1192</v>
      </c>
      <c r="G61" s="25" t="s">
        <v>246</v>
      </c>
      <c r="H61" s="25" t="s">
        <v>695</v>
      </c>
    </row>
    <row r="62" spans="1:8" ht="18.75" x14ac:dyDescent="0.3">
      <c r="A62" s="25" t="s">
        <v>331</v>
      </c>
      <c r="B62" s="25" t="s">
        <v>330</v>
      </c>
      <c r="C62" s="25" t="s">
        <v>719</v>
      </c>
      <c r="D62" s="25" t="s">
        <v>1157</v>
      </c>
      <c r="E62" s="25" t="s">
        <v>696</v>
      </c>
      <c r="F62" s="25" t="s">
        <v>564</v>
      </c>
      <c r="G62" s="25" t="s">
        <v>1123</v>
      </c>
      <c r="H62" s="25" t="s">
        <v>695</v>
      </c>
    </row>
    <row r="63" spans="1:8" ht="18.75" x14ac:dyDescent="0.3">
      <c r="A63" s="25" t="s">
        <v>334</v>
      </c>
      <c r="B63" s="25" t="s">
        <v>333</v>
      </c>
      <c r="C63" s="25" t="s">
        <v>783</v>
      </c>
      <c r="D63" s="25" t="s">
        <v>1159</v>
      </c>
      <c r="E63" s="25" t="s">
        <v>698</v>
      </c>
      <c r="F63" s="25" t="s">
        <v>1159</v>
      </c>
      <c r="G63" s="25" t="s">
        <v>1321</v>
      </c>
      <c r="H63" s="25" t="s">
        <v>695</v>
      </c>
    </row>
    <row r="64" spans="1:8" ht="18.75" x14ac:dyDescent="0.3">
      <c r="A64" s="25" t="s">
        <v>336</v>
      </c>
      <c r="B64" s="25" t="s">
        <v>335</v>
      </c>
      <c r="C64" s="25" t="s">
        <v>844</v>
      </c>
      <c r="D64" s="25" t="s">
        <v>1201</v>
      </c>
      <c r="E64" s="25" t="s">
        <v>511</v>
      </c>
      <c r="F64" s="25" t="s">
        <v>1040</v>
      </c>
      <c r="G64" s="25" t="s">
        <v>246</v>
      </c>
      <c r="H64" s="25" t="s">
        <v>695</v>
      </c>
    </row>
    <row r="65" spans="1:8" ht="18.75" x14ac:dyDescent="0.3">
      <c r="A65" s="25" t="s">
        <v>338</v>
      </c>
      <c r="B65" s="25" t="s">
        <v>337</v>
      </c>
      <c r="C65" s="25" t="s">
        <v>794</v>
      </c>
      <c r="D65" s="25" t="s">
        <v>1155</v>
      </c>
      <c r="E65" s="25" t="s">
        <v>698</v>
      </c>
      <c r="F65" s="25" t="s">
        <v>1155</v>
      </c>
      <c r="G65" s="25" t="s">
        <v>1321</v>
      </c>
      <c r="H65" s="25" t="s">
        <v>695</v>
      </c>
    </row>
    <row r="66" spans="1:8" ht="18.75" x14ac:dyDescent="0.3">
      <c r="A66" s="25" t="s">
        <v>340</v>
      </c>
      <c r="B66" s="25" t="s">
        <v>339</v>
      </c>
      <c r="C66" s="25" t="s">
        <v>797</v>
      </c>
      <c r="D66" s="25" t="s">
        <v>1154</v>
      </c>
      <c r="E66" s="25" t="s">
        <v>1316</v>
      </c>
      <c r="F66" s="25" t="s">
        <v>1325</v>
      </c>
      <c r="G66" s="25" t="s">
        <v>1321</v>
      </c>
      <c r="H66" s="25" t="s">
        <v>695</v>
      </c>
    </row>
    <row r="67" spans="1:8" ht="18.75" x14ac:dyDescent="0.3">
      <c r="A67" s="25" t="s">
        <v>342</v>
      </c>
      <c r="B67" s="25" t="s">
        <v>341</v>
      </c>
      <c r="C67" s="25" t="s">
        <v>710</v>
      </c>
      <c r="D67" s="25" t="s">
        <v>1153</v>
      </c>
      <c r="E67" s="25" t="s">
        <v>698</v>
      </c>
      <c r="F67" s="25" t="s">
        <v>1153</v>
      </c>
      <c r="G67" s="25" t="s">
        <v>1321</v>
      </c>
      <c r="H67" s="25" t="s">
        <v>695</v>
      </c>
    </row>
    <row r="68" spans="1:8" ht="18.75" x14ac:dyDescent="0.3">
      <c r="A68" s="25" t="s">
        <v>344</v>
      </c>
      <c r="B68" s="25" t="s">
        <v>343</v>
      </c>
      <c r="C68" s="25" t="s">
        <v>718</v>
      </c>
      <c r="D68" s="25" t="s">
        <v>1156</v>
      </c>
      <c r="E68" s="25" t="s">
        <v>698</v>
      </c>
      <c r="F68" s="25" t="s">
        <v>1156</v>
      </c>
      <c r="G68" s="25" t="s">
        <v>1321</v>
      </c>
      <c r="H68" s="25" t="s">
        <v>695</v>
      </c>
    </row>
    <row r="69" spans="1:8" ht="18.75" x14ac:dyDescent="0.3">
      <c r="A69" s="25" t="s">
        <v>346</v>
      </c>
      <c r="B69" s="25" t="s">
        <v>345</v>
      </c>
      <c r="C69" s="25" t="s">
        <v>876</v>
      </c>
      <c r="D69" s="25" t="s">
        <v>1158</v>
      </c>
      <c r="E69" s="25" t="s">
        <v>698</v>
      </c>
      <c r="F69" s="25" t="s">
        <v>1158</v>
      </c>
      <c r="G69" s="25" t="s">
        <v>1321</v>
      </c>
      <c r="H69" s="25" t="s">
        <v>695</v>
      </c>
    </row>
    <row r="70" spans="1:8" ht="18.75" x14ac:dyDescent="0.3">
      <c r="A70" s="25" t="s">
        <v>347</v>
      </c>
      <c r="B70" s="25" t="s">
        <v>65</v>
      </c>
      <c r="C70" s="25" t="s">
        <v>837</v>
      </c>
      <c r="D70" s="25" t="s">
        <v>182</v>
      </c>
      <c r="E70" s="25"/>
      <c r="F70" s="25"/>
      <c r="G70" s="25" t="s">
        <v>1327</v>
      </c>
      <c r="H70" s="25" t="s">
        <v>1336</v>
      </c>
    </row>
    <row r="71" spans="1:8" ht="18.75" x14ac:dyDescent="0.3">
      <c r="A71" s="25" t="s">
        <v>348</v>
      </c>
      <c r="B71" s="25" t="s">
        <v>80</v>
      </c>
      <c r="C71" s="25" t="s">
        <v>868</v>
      </c>
      <c r="D71" s="25" t="s">
        <v>197</v>
      </c>
      <c r="E71" s="25"/>
      <c r="F71" s="25"/>
      <c r="G71" s="25" t="s">
        <v>1327</v>
      </c>
      <c r="H71" s="25" t="s">
        <v>1336</v>
      </c>
    </row>
    <row r="72" spans="1:8" ht="18.75" x14ac:dyDescent="0.3">
      <c r="A72" s="25" t="s">
        <v>349</v>
      </c>
      <c r="B72" s="25" t="s">
        <v>83</v>
      </c>
      <c r="C72" s="25" t="s">
        <v>868</v>
      </c>
      <c r="D72" s="25" t="s">
        <v>200</v>
      </c>
      <c r="E72" s="25"/>
      <c r="F72" s="25"/>
      <c r="G72" s="25" t="s">
        <v>1327</v>
      </c>
      <c r="H72" s="25" t="s">
        <v>1336</v>
      </c>
    </row>
    <row r="73" spans="1:8" ht="18.75" x14ac:dyDescent="0.3">
      <c r="A73" s="25" t="s">
        <v>351</v>
      </c>
      <c r="B73" s="25" t="s">
        <v>86</v>
      </c>
      <c r="C73" s="25" t="s">
        <v>869</v>
      </c>
      <c r="D73" s="25" t="s">
        <v>204</v>
      </c>
      <c r="E73" s="25"/>
      <c r="F73" s="25"/>
      <c r="G73" s="25" t="s">
        <v>1327</v>
      </c>
      <c r="H73" s="25" t="s">
        <v>1336</v>
      </c>
    </row>
    <row r="74" spans="1:8" ht="18.75" x14ac:dyDescent="0.3">
      <c r="A74" s="25" t="s">
        <v>352</v>
      </c>
      <c r="B74" s="25" t="s">
        <v>87</v>
      </c>
      <c r="C74" s="25" t="s">
        <v>863</v>
      </c>
      <c r="D74" s="25" t="s">
        <v>206</v>
      </c>
      <c r="E74" s="25"/>
      <c r="F74" s="25"/>
      <c r="G74" s="25" t="s">
        <v>1327</v>
      </c>
      <c r="H74" s="25" t="s">
        <v>1336</v>
      </c>
    </row>
    <row r="75" spans="1:8" ht="18.75" x14ac:dyDescent="0.3">
      <c r="A75" s="25" t="s">
        <v>359</v>
      </c>
      <c r="B75" s="25" t="s">
        <v>89</v>
      </c>
      <c r="C75" s="25" t="s">
        <v>734</v>
      </c>
      <c r="D75" s="25" t="s">
        <v>210</v>
      </c>
      <c r="E75" s="25"/>
      <c r="F75" s="25"/>
      <c r="G75" s="25" t="s">
        <v>1327</v>
      </c>
      <c r="H75" s="25" t="s">
        <v>1336</v>
      </c>
    </row>
    <row r="76" spans="1:8" ht="18.75" x14ac:dyDescent="0.3">
      <c r="A76" s="25" t="s">
        <v>367</v>
      </c>
      <c r="B76" s="25" t="s">
        <v>366</v>
      </c>
      <c r="C76" s="25" t="s">
        <v>795</v>
      </c>
      <c r="D76" s="25" t="s">
        <v>1166</v>
      </c>
      <c r="E76" s="25" t="s">
        <v>699</v>
      </c>
      <c r="F76" s="25" t="s">
        <v>1166</v>
      </c>
      <c r="G76" s="25" t="s">
        <v>1321</v>
      </c>
      <c r="H76" s="25" t="s">
        <v>695</v>
      </c>
    </row>
    <row r="77" spans="1:8" ht="18.75" x14ac:dyDescent="0.3">
      <c r="A77" s="25" t="s">
        <v>369</v>
      </c>
      <c r="B77" s="25" t="s">
        <v>368</v>
      </c>
      <c r="C77" s="25" t="s">
        <v>796</v>
      </c>
      <c r="D77" s="25" t="s">
        <v>1184</v>
      </c>
      <c r="E77" s="25" t="s">
        <v>699</v>
      </c>
      <c r="F77" s="25" t="s">
        <v>1184</v>
      </c>
      <c r="G77" s="25" t="s">
        <v>1321</v>
      </c>
      <c r="H77" s="25" t="s">
        <v>695</v>
      </c>
    </row>
    <row r="78" spans="1:8" ht="18.75" x14ac:dyDescent="0.3">
      <c r="A78" s="25" t="s">
        <v>371</v>
      </c>
      <c r="B78" s="25" t="s">
        <v>370</v>
      </c>
      <c r="C78" s="25" t="s">
        <v>773</v>
      </c>
      <c r="D78" s="25" t="s">
        <v>1164</v>
      </c>
      <c r="E78" s="25" t="s">
        <v>696</v>
      </c>
      <c r="F78" s="25" t="s">
        <v>589</v>
      </c>
      <c r="G78" s="25" t="s">
        <v>1123</v>
      </c>
      <c r="H78" s="25" t="s">
        <v>695</v>
      </c>
    </row>
    <row r="79" spans="1:8" ht="18.75" x14ac:dyDescent="0.3">
      <c r="A79" s="25" t="s">
        <v>372</v>
      </c>
      <c r="B79" s="25" t="s">
        <v>88</v>
      </c>
      <c r="C79" s="25" t="s">
        <v>881</v>
      </c>
      <c r="D79" s="25" t="s">
        <v>208</v>
      </c>
      <c r="E79" s="25"/>
      <c r="F79" s="25"/>
      <c r="G79" s="25" t="s">
        <v>1327</v>
      </c>
      <c r="H79" s="25" t="s">
        <v>1336</v>
      </c>
    </row>
    <row r="80" spans="1:8" ht="18.75" x14ac:dyDescent="0.3">
      <c r="A80" s="25" t="s">
        <v>373</v>
      </c>
      <c r="B80" s="25" t="s">
        <v>67</v>
      </c>
      <c r="C80" s="25" t="s">
        <v>791</v>
      </c>
      <c r="D80" s="25" t="s">
        <v>184</v>
      </c>
      <c r="E80" s="25"/>
      <c r="F80" s="25"/>
      <c r="G80" s="25" t="s">
        <v>1327</v>
      </c>
      <c r="H80" s="25" t="s">
        <v>1336</v>
      </c>
    </row>
    <row r="81" spans="1:8" ht="18.75" x14ac:dyDescent="0.3">
      <c r="A81" s="25" t="s">
        <v>374</v>
      </c>
      <c r="B81" s="25" t="s">
        <v>68</v>
      </c>
      <c r="C81" s="25" t="s">
        <v>708</v>
      </c>
      <c r="D81" s="25" t="s">
        <v>185</v>
      </c>
      <c r="E81" s="25"/>
      <c r="F81" s="25"/>
      <c r="G81" s="25" t="s">
        <v>1327</v>
      </c>
      <c r="H81" s="25" t="s">
        <v>1336</v>
      </c>
    </row>
    <row r="82" spans="1:8" ht="18.75" x14ac:dyDescent="0.3">
      <c r="A82" s="25" t="s">
        <v>375</v>
      </c>
      <c r="B82" s="25" t="s">
        <v>69</v>
      </c>
      <c r="C82" s="25" t="s">
        <v>715</v>
      </c>
      <c r="D82" s="25" t="s">
        <v>186</v>
      </c>
      <c r="E82" s="25"/>
      <c r="F82" s="25"/>
      <c r="G82" s="25" t="s">
        <v>1327</v>
      </c>
      <c r="H82" s="25" t="s">
        <v>1336</v>
      </c>
    </row>
    <row r="83" spans="1:8" ht="18.75" x14ac:dyDescent="0.3">
      <c r="A83" s="25" t="s">
        <v>376</v>
      </c>
      <c r="B83" s="25" t="s">
        <v>71</v>
      </c>
      <c r="C83" s="25" t="s">
        <v>871</v>
      </c>
      <c r="D83" s="25" t="s">
        <v>187</v>
      </c>
      <c r="E83" s="25"/>
      <c r="F83" s="25"/>
      <c r="G83" s="25" t="s">
        <v>1327</v>
      </c>
      <c r="H83" s="25" t="s">
        <v>1336</v>
      </c>
    </row>
    <row r="84" spans="1:8" ht="18.75" x14ac:dyDescent="0.3">
      <c r="A84" s="25" t="s">
        <v>361</v>
      </c>
      <c r="B84" s="25" t="s">
        <v>360</v>
      </c>
      <c r="C84" s="25" t="s">
        <v>849</v>
      </c>
      <c r="D84" s="25" t="s">
        <v>1203</v>
      </c>
      <c r="E84" s="25" t="s">
        <v>700</v>
      </c>
      <c r="F84" s="25" t="s">
        <v>1203</v>
      </c>
      <c r="G84" s="25" t="s">
        <v>246</v>
      </c>
      <c r="H84" s="25" t="s">
        <v>695</v>
      </c>
    </row>
    <row r="85" spans="1:8" ht="18.75" x14ac:dyDescent="0.3">
      <c r="A85" s="25" t="s">
        <v>363</v>
      </c>
      <c r="B85" s="25" t="s">
        <v>362</v>
      </c>
      <c r="C85" s="25" t="s">
        <v>817</v>
      </c>
      <c r="D85" s="25" t="s">
        <v>1200</v>
      </c>
      <c r="E85" s="25" t="s">
        <v>696</v>
      </c>
      <c r="F85" s="25" t="s">
        <v>586</v>
      </c>
      <c r="G85" s="25" t="s">
        <v>246</v>
      </c>
      <c r="H85" s="25" t="s">
        <v>695</v>
      </c>
    </row>
    <row r="86" spans="1:8" ht="18.75" x14ac:dyDescent="0.3">
      <c r="A86" s="25" t="s">
        <v>365</v>
      </c>
      <c r="B86" s="25" t="s">
        <v>364</v>
      </c>
      <c r="C86" s="25" t="s">
        <v>839</v>
      </c>
      <c r="D86" s="25" t="s">
        <v>1162</v>
      </c>
      <c r="E86" s="25" t="s">
        <v>700</v>
      </c>
      <c r="F86" s="25" t="s">
        <v>1162</v>
      </c>
      <c r="G86" s="25" t="s">
        <v>1321</v>
      </c>
      <c r="H86" s="25" t="s">
        <v>695</v>
      </c>
    </row>
    <row r="87" spans="1:8" ht="18.75" x14ac:dyDescent="0.3">
      <c r="A87" s="25" t="s">
        <v>701</v>
      </c>
      <c r="B87" s="25" t="s">
        <v>693</v>
      </c>
      <c r="C87" s="25" t="s">
        <v>806</v>
      </c>
      <c r="D87" s="25" t="s">
        <v>1199</v>
      </c>
      <c r="E87" s="25" t="s">
        <v>700</v>
      </c>
      <c r="F87" s="25" t="s">
        <v>1199</v>
      </c>
      <c r="G87" s="25" t="s">
        <v>246</v>
      </c>
      <c r="H87" s="25" t="s">
        <v>695</v>
      </c>
    </row>
    <row r="88" spans="1:8" ht="18.75" x14ac:dyDescent="0.3">
      <c r="A88" s="25" t="s">
        <v>377</v>
      </c>
      <c r="B88" s="25" t="s">
        <v>4</v>
      </c>
      <c r="C88" s="25" t="s">
        <v>723</v>
      </c>
      <c r="D88" s="25" t="s">
        <v>111</v>
      </c>
      <c r="E88" s="25"/>
      <c r="F88" s="25"/>
      <c r="G88" s="25" t="s">
        <v>1327</v>
      </c>
      <c r="H88" s="25" t="s">
        <v>1336</v>
      </c>
    </row>
    <row r="89" spans="1:8" ht="18.75" x14ac:dyDescent="0.3">
      <c r="A89" s="25" t="s">
        <v>389</v>
      </c>
      <c r="B89" s="25" t="s">
        <v>5</v>
      </c>
      <c r="C89" s="25" t="s">
        <v>711</v>
      </c>
      <c r="D89" s="25" t="s">
        <v>112</v>
      </c>
      <c r="E89" s="25"/>
      <c r="F89" s="25"/>
      <c r="G89" s="25" t="s">
        <v>1327</v>
      </c>
      <c r="H89" s="25" t="s">
        <v>1336</v>
      </c>
    </row>
    <row r="90" spans="1:8" ht="18.75" x14ac:dyDescent="0.3">
      <c r="A90" s="25" t="s">
        <v>400</v>
      </c>
      <c r="B90" s="25" t="s">
        <v>6</v>
      </c>
      <c r="C90" s="25" t="s">
        <v>752</v>
      </c>
      <c r="D90" s="25" t="s">
        <v>113</v>
      </c>
      <c r="E90" s="25"/>
      <c r="F90" s="25"/>
      <c r="G90" s="25" t="s">
        <v>1327</v>
      </c>
      <c r="H90" s="25" t="s">
        <v>1336</v>
      </c>
    </row>
    <row r="91" spans="1:8" ht="18.75" x14ac:dyDescent="0.3">
      <c r="A91" s="25" t="s">
        <v>411</v>
      </c>
      <c r="B91" s="25" t="s">
        <v>11</v>
      </c>
      <c r="C91" s="25" t="s">
        <v>792</v>
      </c>
      <c r="D91" s="25" t="s">
        <v>122</v>
      </c>
      <c r="E91" s="25"/>
      <c r="F91" s="25"/>
      <c r="G91" s="25" t="s">
        <v>1327</v>
      </c>
      <c r="H91" s="25" t="s">
        <v>1336</v>
      </c>
    </row>
    <row r="92" spans="1:8" ht="18.75" x14ac:dyDescent="0.3">
      <c r="A92" s="25" t="s">
        <v>432</v>
      </c>
      <c r="B92" s="25" t="s">
        <v>12</v>
      </c>
      <c r="C92" s="25" t="s">
        <v>761</v>
      </c>
      <c r="D92" s="25" t="s">
        <v>1211</v>
      </c>
      <c r="E92" s="25"/>
      <c r="F92" s="25"/>
      <c r="G92" s="25" t="s">
        <v>1327</v>
      </c>
      <c r="H92" s="25" t="s">
        <v>1336</v>
      </c>
    </row>
    <row r="93" spans="1:8" ht="18.75" x14ac:dyDescent="0.3">
      <c r="A93" s="25" t="s">
        <v>453</v>
      </c>
      <c r="B93" s="25" t="s">
        <v>13</v>
      </c>
      <c r="C93" s="25" t="s">
        <v>777</v>
      </c>
      <c r="D93" s="25" t="s">
        <v>123</v>
      </c>
      <c r="E93" s="25"/>
      <c r="F93" s="25"/>
      <c r="G93" s="25" t="s">
        <v>1327</v>
      </c>
      <c r="H93" s="25" t="s">
        <v>1336</v>
      </c>
    </row>
    <row r="94" spans="1:8" ht="18.75" x14ac:dyDescent="0.3">
      <c r="A94" s="25" t="s">
        <v>474</v>
      </c>
      <c r="B94" s="25" t="s">
        <v>15</v>
      </c>
      <c r="C94" s="25" t="s">
        <v>780</v>
      </c>
      <c r="D94" s="25" t="s">
        <v>125</v>
      </c>
      <c r="E94" s="25"/>
      <c r="F94" s="25"/>
      <c r="G94" s="25" t="s">
        <v>1327</v>
      </c>
      <c r="H94" s="25" t="s">
        <v>1336</v>
      </c>
    </row>
    <row r="95" spans="1:8" ht="18.75" x14ac:dyDescent="0.3">
      <c r="A95" s="25" t="s">
        <v>487</v>
      </c>
      <c r="B95" s="25" t="s">
        <v>18</v>
      </c>
      <c r="C95" s="25" t="s">
        <v>726</v>
      </c>
      <c r="D95" s="25" t="s">
        <v>128</v>
      </c>
      <c r="E95" s="25"/>
      <c r="F95" s="25"/>
      <c r="G95" s="25" t="s">
        <v>1327</v>
      </c>
      <c r="H95" s="25" t="s">
        <v>1336</v>
      </c>
    </row>
    <row r="96" spans="1:8" ht="18.75" x14ac:dyDescent="0.3">
      <c r="A96" s="25" t="s">
        <v>498</v>
      </c>
      <c r="B96" s="25" t="s">
        <v>20</v>
      </c>
      <c r="C96" s="25" t="s">
        <v>705</v>
      </c>
      <c r="D96" s="25" t="s">
        <v>130</v>
      </c>
      <c r="E96" s="25"/>
      <c r="F96" s="25"/>
      <c r="G96" s="25" t="s">
        <v>1327</v>
      </c>
      <c r="H96" s="25" t="s">
        <v>1336</v>
      </c>
    </row>
    <row r="97" spans="1:8" ht="18.75" x14ac:dyDescent="0.3">
      <c r="A97" s="25" t="s">
        <v>378</v>
      </c>
      <c r="B97" s="25" t="s">
        <v>24</v>
      </c>
      <c r="C97" s="25" t="s">
        <v>776</v>
      </c>
      <c r="D97" s="25" t="s">
        <v>135</v>
      </c>
      <c r="E97" s="25"/>
      <c r="F97" s="25"/>
      <c r="G97" s="25" t="s">
        <v>1327</v>
      </c>
      <c r="H97" s="25" t="s">
        <v>1336</v>
      </c>
    </row>
    <row r="98" spans="1:8" ht="18.75" x14ac:dyDescent="0.3">
      <c r="A98" s="25" t="s">
        <v>380</v>
      </c>
      <c r="B98" s="25" t="s">
        <v>26</v>
      </c>
      <c r="C98" s="25" t="s">
        <v>821</v>
      </c>
      <c r="D98" s="25" t="s">
        <v>137</v>
      </c>
      <c r="E98" s="25"/>
      <c r="F98" s="25"/>
      <c r="G98" s="25" t="s">
        <v>1327</v>
      </c>
      <c r="H98" s="25" t="s">
        <v>1336</v>
      </c>
    </row>
    <row r="99" spans="1:8" ht="18.75" x14ac:dyDescent="0.3">
      <c r="A99" s="25" t="s">
        <v>381</v>
      </c>
      <c r="B99" s="25" t="s">
        <v>27</v>
      </c>
      <c r="C99" s="25" t="s">
        <v>703</v>
      </c>
      <c r="D99" s="25" t="s">
        <v>138</v>
      </c>
      <c r="E99" s="25"/>
      <c r="F99" s="25"/>
      <c r="G99" s="25" t="s">
        <v>1327</v>
      </c>
      <c r="H99" s="25" t="s">
        <v>1336</v>
      </c>
    </row>
    <row r="100" spans="1:8" ht="18.75" x14ac:dyDescent="0.3">
      <c r="A100" s="25" t="s">
        <v>382</v>
      </c>
      <c r="B100" s="25" t="s">
        <v>28</v>
      </c>
      <c r="C100" s="25" t="s">
        <v>813</v>
      </c>
      <c r="D100" s="25" t="s">
        <v>139</v>
      </c>
      <c r="E100" s="25"/>
      <c r="F100" s="25"/>
      <c r="G100" s="25" t="s">
        <v>1327</v>
      </c>
      <c r="H100" s="25" t="s">
        <v>1336</v>
      </c>
    </row>
    <row r="101" spans="1:8" ht="18.75" x14ac:dyDescent="0.3">
      <c r="A101" s="25" t="s">
        <v>383</v>
      </c>
      <c r="B101" s="25" t="s">
        <v>29</v>
      </c>
      <c r="C101" s="25" t="s">
        <v>765</v>
      </c>
      <c r="D101" s="25" t="s">
        <v>140</v>
      </c>
      <c r="E101" s="25"/>
      <c r="F101" s="25"/>
      <c r="G101" s="25" t="s">
        <v>1327</v>
      </c>
      <c r="H101" s="25" t="s">
        <v>1336</v>
      </c>
    </row>
    <row r="102" spans="1:8" ht="18.75" x14ac:dyDescent="0.3">
      <c r="A102" s="25" t="s">
        <v>384</v>
      </c>
      <c r="B102" s="25" t="s">
        <v>32</v>
      </c>
      <c r="C102" s="25" t="s">
        <v>830</v>
      </c>
      <c r="D102" s="25" t="s">
        <v>143</v>
      </c>
      <c r="E102" s="25"/>
      <c r="F102" s="25"/>
      <c r="G102" s="25" t="s">
        <v>1327</v>
      </c>
      <c r="H102" s="25" t="s">
        <v>1336</v>
      </c>
    </row>
    <row r="103" spans="1:8" ht="18.75" x14ac:dyDescent="0.3">
      <c r="A103" s="25" t="s">
        <v>385</v>
      </c>
      <c r="B103" s="25" t="s">
        <v>36</v>
      </c>
      <c r="C103" s="25" t="s">
        <v>706</v>
      </c>
      <c r="D103" s="25" t="s">
        <v>147</v>
      </c>
      <c r="E103" s="25" t="s">
        <v>696</v>
      </c>
      <c r="F103" s="25" t="s">
        <v>602</v>
      </c>
      <c r="G103" s="25" t="s">
        <v>246</v>
      </c>
      <c r="H103" s="25" t="s">
        <v>1336</v>
      </c>
    </row>
    <row r="104" spans="1:8" ht="18.75" x14ac:dyDescent="0.3">
      <c r="A104" s="25" t="s">
        <v>386</v>
      </c>
      <c r="B104" s="25" t="s">
        <v>38</v>
      </c>
      <c r="C104" s="25" t="s">
        <v>714</v>
      </c>
      <c r="D104" s="25" t="s">
        <v>149</v>
      </c>
      <c r="E104" s="25"/>
      <c r="F104" s="25"/>
      <c r="G104" s="25" t="s">
        <v>1327</v>
      </c>
      <c r="H104" s="25" t="s">
        <v>1336</v>
      </c>
    </row>
    <row r="105" spans="1:8" ht="18.75" x14ac:dyDescent="0.3">
      <c r="A105" s="25" t="s">
        <v>387</v>
      </c>
      <c r="B105" s="25" t="s">
        <v>39</v>
      </c>
      <c r="C105" s="25" t="s">
        <v>764</v>
      </c>
      <c r="D105" s="25" t="s">
        <v>150</v>
      </c>
      <c r="E105" s="25"/>
      <c r="F105" s="25"/>
      <c r="G105" s="25" t="s">
        <v>1327</v>
      </c>
      <c r="H105" s="25" t="s">
        <v>1336</v>
      </c>
    </row>
    <row r="106" spans="1:8" ht="18.75" x14ac:dyDescent="0.3">
      <c r="A106" s="25" t="s">
        <v>388</v>
      </c>
      <c r="B106" s="25" t="s">
        <v>40</v>
      </c>
      <c r="C106" s="25" t="s">
        <v>799</v>
      </c>
      <c r="D106" s="25" t="s">
        <v>151</v>
      </c>
      <c r="E106" s="25"/>
      <c r="F106" s="25"/>
      <c r="G106" s="25" t="s">
        <v>1327</v>
      </c>
      <c r="H106" s="25" t="s">
        <v>1336</v>
      </c>
    </row>
    <row r="107" spans="1:8" ht="18.75" x14ac:dyDescent="0.3">
      <c r="A107" s="25" t="s">
        <v>390</v>
      </c>
      <c r="B107" s="25" t="s">
        <v>41</v>
      </c>
      <c r="C107" s="25" t="s">
        <v>828</v>
      </c>
      <c r="D107" s="25" t="s">
        <v>152</v>
      </c>
      <c r="E107" s="25"/>
      <c r="F107" s="25"/>
      <c r="G107" s="25" t="s">
        <v>1327</v>
      </c>
      <c r="H107" s="25" t="s">
        <v>1336</v>
      </c>
    </row>
    <row r="108" spans="1:8" ht="18.75" x14ac:dyDescent="0.3">
      <c r="A108" s="25" t="s">
        <v>391</v>
      </c>
      <c r="B108" s="25" t="s">
        <v>42</v>
      </c>
      <c r="C108" s="25" t="s">
        <v>744</v>
      </c>
      <c r="D108" s="25" t="s">
        <v>153</v>
      </c>
      <c r="E108" s="25"/>
      <c r="F108" s="25"/>
      <c r="G108" s="25" t="s">
        <v>1327</v>
      </c>
      <c r="H108" s="25" t="s">
        <v>1336</v>
      </c>
    </row>
    <row r="109" spans="1:8" ht="18.75" x14ac:dyDescent="0.3">
      <c r="A109" s="25" t="s">
        <v>392</v>
      </c>
      <c r="B109" s="25" t="s">
        <v>44</v>
      </c>
      <c r="C109" s="25" t="s">
        <v>721</v>
      </c>
      <c r="D109" s="25" t="s">
        <v>155</v>
      </c>
      <c r="E109" s="25"/>
      <c r="F109" s="25"/>
      <c r="G109" s="25" t="s">
        <v>1327</v>
      </c>
      <c r="H109" s="25" t="s">
        <v>1336</v>
      </c>
    </row>
    <row r="110" spans="1:8" ht="18.75" x14ac:dyDescent="0.3">
      <c r="A110" s="25" t="s">
        <v>393</v>
      </c>
      <c r="B110" s="25" t="s">
        <v>45</v>
      </c>
      <c r="C110" s="25" t="s">
        <v>820</v>
      </c>
      <c r="D110" s="25" t="s">
        <v>156</v>
      </c>
      <c r="E110" s="25"/>
      <c r="F110" s="25"/>
      <c r="G110" s="25" t="s">
        <v>1327</v>
      </c>
      <c r="H110" s="25" t="s">
        <v>1336</v>
      </c>
    </row>
    <row r="111" spans="1:8" ht="18.75" x14ac:dyDescent="0.3">
      <c r="A111" s="25" t="s">
        <v>394</v>
      </c>
      <c r="B111" s="25" t="s">
        <v>46</v>
      </c>
      <c r="C111" s="25" t="s">
        <v>812</v>
      </c>
      <c r="D111" s="25" t="s">
        <v>157</v>
      </c>
      <c r="E111" s="25"/>
      <c r="F111" s="25"/>
      <c r="G111" s="25" t="s">
        <v>1327</v>
      </c>
      <c r="H111" s="25" t="s">
        <v>1336</v>
      </c>
    </row>
    <row r="112" spans="1:8" ht="18.75" x14ac:dyDescent="0.3">
      <c r="A112" s="25" t="s">
        <v>395</v>
      </c>
      <c r="B112" s="25" t="s">
        <v>47</v>
      </c>
      <c r="C112" s="25" t="s">
        <v>707</v>
      </c>
      <c r="D112" s="25" t="s">
        <v>158</v>
      </c>
      <c r="E112" s="25"/>
      <c r="F112" s="25"/>
      <c r="G112" s="25" t="s">
        <v>1327</v>
      </c>
      <c r="H112" s="25" t="s">
        <v>1336</v>
      </c>
    </row>
    <row r="113" spans="1:8" ht="18.75" x14ac:dyDescent="0.3">
      <c r="A113" s="25" t="s">
        <v>396</v>
      </c>
      <c r="B113" s="25" t="s">
        <v>48</v>
      </c>
      <c r="C113" s="25" t="s">
        <v>755</v>
      </c>
      <c r="D113" s="25" t="s">
        <v>160</v>
      </c>
      <c r="E113" s="25"/>
      <c r="F113" s="25"/>
      <c r="G113" s="25" t="s">
        <v>1327</v>
      </c>
      <c r="H113" s="25" t="s">
        <v>1336</v>
      </c>
    </row>
    <row r="114" spans="1:8" ht="18.75" x14ac:dyDescent="0.3">
      <c r="A114" s="25" t="s">
        <v>397</v>
      </c>
      <c r="B114" s="25" t="s">
        <v>52</v>
      </c>
      <c r="C114" s="25" t="s">
        <v>802</v>
      </c>
      <c r="D114" s="25" t="s">
        <v>1212</v>
      </c>
      <c r="E114" s="25"/>
      <c r="F114" s="25"/>
      <c r="G114" s="25" t="s">
        <v>1327</v>
      </c>
      <c r="H114" s="25" t="s">
        <v>1336</v>
      </c>
    </row>
    <row r="115" spans="1:8" ht="18.75" x14ac:dyDescent="0.3">
      <c r="A115" s="25" t="s">
        <v>398</v>
      </c>
      <c r="B115" s="25" t="s">
        <v>53</v>
      </c>
      <c r="C115" s="25" t="s">
        <v>747</v>
      </c>
      <c r="D115" s="25" t="s">
        <v>164</v>
      </c>
      <c r="E115" s="25"/>
      <c r="F115" s="25"/>
      <c r="G115" s="25" t="s">
        <v>1327</v>
      </c>
      <c r="H115" s="25" t="s">
        <v>1336</v>
      </c>
    </row>
    <row r="116" spans="1:8" ht="18.75" x14ac:dyDescent="0.3">
      <c r="A116" s="25" t="s">
        <v>399</v>
      </c>
      <c r="B116" s="25" t="s">
        <v>54</v>
      </c>
      <c r="C116" s="25" t="s">
        <v>731</v>
      </c>
      <c r="D116" s="25" t="s">
        <v>165</v>
      </c>
      <c r="E116" s="25"/>
      <c r="F116" s="25"/>
      <c r="G116" s="25" t="s">
        <v>1327</v>
      </c>
      <c r="H116" s="25" t="s">
        <v>1336</v>
      </c>
    </row>
    <row r="117" spans="1:8" ht="18.75" x14ac:dyDescent="0.3">
      <c r="A117" s="25" t="s">
        <v>401</v>
      </c>
      <c r="B117" s="25" t="s">
        <v>59</v>
      </c>
      <c r="C117" s="25" t="s">
        <v>732</v>
      </c>
      <c r="D117" s="25" t="s">
        <v>172</v>
      </c>
      <c r="E117" s="25"/>
      <c r="F117" s="25"/>
      <c r="G117" s="25" t="s">
        <v>1327</v>
      </c>
      <c r="H117" s="25" t="s">
        <v>1336</v>
      </c>
    </row>
    <row r="118" spans="1:8" ht="18.75" x14ac:dyDescent="0.3">
      <c r="A118" s="25" t="s">
        <v>402</v>
      </c>
      <c r="B118" s="25" t="s">
        <v>70</v>
      </c>
      <c r="C118" s="25" t="s">
        <v>713</v>
      </c>
      <c r="D118" s="25" t="s">
        <v>118</v>
      </c>
      <c r="E118" s="25"/>
      <c r="F118" s="25"/>
      <c r="G118" s="25" t="s">
        <v>1327</v>
      </c>
      <c r="H118" s="25" t="s">
        <v>1336</v>
      </c>
    </row>
    <row r="119" spans="1:8" ht="18.75" x14ac:dyDescent="0.3">
      <c r="A119" s="25" t="s">
        <v>403</v>
      </c>
      <c r="B119" s="25" t="s">
        <v>92</v>
      </c>
      <c r="C119" s="25" t="s">
        <v>769</v>
      </c>
      <c r="D119" s="25" t="s">
        <v>213</v>
      </c>
      <c r="E119" s="25"/>
      <c r="F119" s="25"/>
      <c r="G119" s="25" t="s">
        <v>1327</v>
      </c>
      <c r="H119" s="25" t="s">
        <v>1336</v>
      </c>
    </row>
    <row r="120" spans="1:8" ht="18.75" x14ac:dyDescent="0.3">
      <c r="A120" s="25" t="s">
        <v>404</v>
      </c>
      <c r="B120" s="25" t="s">
        <v>94</v>
      </c>
      <c r="C120" s="25" t="s">
        <v>728</v>
      </c>
      <c r="D120" s="25" t="s">
        <v>117</v>
      </c>
      <c r="E120" s="25"/>
      <c r="F120" s="25"/>
      <c r="G120" s="25" t="s">
        <v>1327</v>
      </c>
      <c r="H120" s="25" t="s">
        <v>1336</v>
      </c>
    </row>
    <row r="121" spans="1:8" ht="18.75" x14ac:dyDescent="0.3">
      <c r="A121" s="25" t="s">
        <v>405</v>
      </c>
      <c r="B121" s="25" t="s">
        <v>95</v>
      </c>
      <c r="C121" s="25" t="s">
        <v>787</v>
      </c>
      <c r="D121" s="25" t="s">
        <v>215</v>
      </c>
      <c r="E121" s="25"/>
      <c r="F121" s="25"/>
      <c r="G121" s="25" t="s">
        <v>1327</v>
      </c>
      <c r="H121" s="25" t="s">
        <v>1336</v>
      </c>
    </row>
    <row r="122" spans="1:8" ht="18.75" x14ac:dyDescent="0.3">
      <c r="A122" s="25" t="s">
        <v>406</v>
      </c>
      <c r="B122" s="25" t="s">
        <v>96</v>
      </c>
      <c r="C122" s="25" t="s">
        <v>770</v>
      </c>
      <c r="D122" s="25" t="s">
        <v>216</v>
      </c>
      <c r="E122" s="25"/>
      <c r="F122" s="25"/>
      <c r="G122" s="25" t="s">
        <v>1327</v>
      </c>
      <c r="H122" s="25" t="s">
        <v>1336</v>
      </c>
    </row>
    <row r="123" spans="1:8" ht="18.75" x14ac:dyDescent="0.3">
      <c r="A123" s="25" t="s">
        <v>407</v>
      </c>
      <c r="B123" s="25" t="s">
        <v>97</v>
      </c>
      <c r="C123" s="25" t="s">
        <v>793</v>
      </c>
      <c r="D123" s="25" t="s">
        <v>217</v>
      </c>
      <c r="E123" s="25"/>
      <c r="F123" s="25"/>
      <c r="G123" s="25" t="s">
        <v>1327</v>
      </c>
      <c r="H123" s="25" t="s">
        <v>1336</v>
      </c>
    </row>
    <row r="124" spans="1:8" ht="18.75" x14ac:dyDescent="0.3">
      <c r="A124" s="25" t="s">
        <v>408</v>
      </c>
      <c r="B124" s="25" t="s">
        <v>98</v>
      </c>
      <c r="C124" s="25" t="s">
        <v>823</v>
      </c>
      <c r="D124" s="25" t="s">
        <v>218</v>
      </c>
      <c r="E124" s="25"/>
      <c r="F124" s="25"/>
      <c r="G124" s="25" t="s">
        <v>1327</v>
      </c>
      <c r="H124" s="25" t="s">
        <v>1336</v>
      </c>
    </row>
    <row r="125" spans="1:8" ht="18.75" x14ac:dyDescent="0.3">
      <c r="A125" s="25" t="s">
        <v>409</v>
      </c>
      <c r="B125" s="25" t="s">
        <v>99</v>
      </c>
      <c r="C125" s="25" t="s">
        <v>843</v>
      </c>
      <c r="D125" s="25" t="s">
        <v>219</v>
      </c>
      <c r="E125" s="25"/>
      <c r="F125" s="25"/>
      <c r="G125" s="25" t="s">
        <v>1327</v>
      </c>
      <c r="H125" s="25" t="s">
        <v>1336</v>
      </c>
    </row>
    <row r="126" spans="1:8" ht="18.75" x14ac:dyDescent="0.3">
      <c r="A126" s="25" t="s">
        <v>410</v>
      </c>
      <c r="B126" s="25" t="s">
        <v>104</v>
      </c>
      <c r="C126" s="25" t="s">
        <v>807</v>
      </c>
      <c r="D126" s="25" t="s">
        <v>225</v>
      </c>
      <c r="E126" s="25"/>
      <c r="F126" s="25"/>
      <c r="G126" s="25" t="s">
        <v>1327</v>
      </c>
      <c r="H126" s="25" t="s">
        <v>1336</v>
      </c>
    </row>
    <row r="127" spans="1:8" ht="18.75" x14ac:dyDescent="0.3">
      <c r="A127" s="25" t="s">
        <v>413</v>
      </c>
      <c r="B127" s="25" t="s">
        <v>412</v>
      </c>
      <c r="C127" s="25" t="s">
        <v>774</v>
      </c>
      <c r="D127" s="25" t="s">
        <v>1149</v>
      </c>
      <c r="E127" s="25" t="s">
        <v>698</v>
      </c>
      <c r="F127" s="25" t="s">
        <v>1149</v>
      </c>
      <c r="G127" s="25" t="s">
        <v>1321</v>
      </c>
      <c r="H127" s="25" t="s">
        <v>695</v>
      </c>
    </row>
    <row r="128" spans="1:8" ht="18.75" x14ac:dyDescent="0.3">
      <c r="A128" s="25" t="s">
        <v>415</v>
      </c>
      <c r="B128" s="25" t="s">
        <v>414</v>
      </c>
      <c r="C128" s="25" t="s">
        <v>798</v>
      </c>
      <c r="D128" s="25" t="s">
        <v>1127</v>
      </c>
      <c r="E128" s="25" t="s">
        <v>696</v>
      </c>
      <c r="F128" s="25" t="s">
        <v>630</v>
      </c>
      <c r="G128" s="25" t="s">
        <v>246</v>
      </c>
      <c r="H128" s="25" t="s">
        <v>695</v>
      </c>
    </row>
    <row r="129" spans="1:8" ht="18.75" x14ac:dyDescent="0.3">
      <c r="A129" s="25" t="s">
        <v>417</v>
      </c>
      <c r="B129" s="25" t="s">
        <v>416</v>
      </c>
      <c r="C129" s="25" t="s">
        <v>749</v>
      </c>
      <c r="D129" s="25" t="s">
        <v>1179</v>
      </c>
      <c r="E129" s="25" t="s">
        <v>696</v>
      </c>
      <c r="F129" s="25" t="s">
        <v>631</v>
      </c>
      <c r="G129" s="25" t="s">
        <v>246</v>
      </c>
      <c r="H129" s="25" t="s">
        <v>695</v>
      </c>
    </row>
    <row r="130" spans="1:8" ht="18.75" x14ac:dyDescent="0.3">
      <c r="A130" s="25" t="s">
        <v>419</v>
      </c>
      <c r="B130" s="25" t="s">
        <v>418</v>
      </c>
      <c r="C130" s="25" t="s">
        <v>818</v>
      </c>
      <c r="D130" s="25" t="s">
        <v>1181</v>
      </c>
      <c r="E130" s="25" t="s">
        <v>696</v>
      </c>
      <c r="F130" s="25" t="s">
        <v>632</v>
      </c>
      <c r="G130" s="25" t="s">
        <v>246</v>
      </c>
      <c r="H130" s="25" t="s">
        <v>695</v>
      </c>
    </row>
    <row r="131" spans="1:8" ht="18.75" x14ac:dyDescent="0.3">
      <c r="A131" s="25" t="s">
        <v>421</v>
      </c>
      <c r="B131" s="25" t="s">
        <v>420</v>
      </c>
      <c r="C131" s="25" t="s">
        <v>739</v>
      </c>
      <c r="D131" s="25" t="s">
        <v>1168</v>
      </c>
      <c r="E131" s="25" t="s">
        <v>698</v>
      </c>
      <c r="F131" s="25" t="s">
        <v>1168</v>
      </c>
      <c r="G131" s="25" t="s">
        <v>246</v>
      </c>
      <c r="H131" s="25" t="s">
        <v>695</v>
      </c>
    </row>
    <row r="132" spans="1:8" ht="18.75" x14ac:dyDescent="0.3">
      <c r="A132" s="25" t="s">
        <v>423</v>
      </c>
      <c r="B132" s="25" t="s">
        <v>422</v>
      </c>
      <c r="C132" s="25" t="s">
        <v>743</v>
      </c>
      <c r="D132" s="25" t="s">
        <v>1136</v>
      </c>
      <c r="E132" s="25" t="s">
        <v>698</v>
      </c>
      <c r="F132" s="25" t="s">
        <v>1136</v>
      </c>
      <c r="G132" s="25" t="s">
        <v>1321</v>
      </c>
      <c r="H132" s="25" t="s">
        <v>695</v>
      </c>
    </row>
    <row r="133" spans="1:8" ht="18.75" x14ac:dyDescent="0.3">
      <c r="A133" s="25" t="s">
        <v>425</v>
      </c>
      <c r="B133" s="25" t="s">
        <v>424</v>
      </c>
      <c r="C133" s="25" t="s">
        <v>790</v>
      </c>
      <c r="D133" s="25" t="s">
        <v>1126</v>
      </c>
      <c r="E133" s="25" t="s">
        <v>696</v>
      </c>
      <c r="F133" s="25" t="s">
        <v>635</v>
      </c>
      <c r="G133" s="25" t="s">
        <v>246</v>
      </c>
      <c r="H133" s="25" t="s">
        <v>695</v>
      </c>
    </row>
    <row r="134" spans="1:8" ht="18.75" x14ac:dyDescent="0.3">
      <c r="A134" s="25" t="s">
        <v>427</v>
      </c>
      <c r="B134" s="25" t="s">
        <v>426</v>
      </c>
      <c r="C134" s="25" t="s">
        <v>831</v>
      </c>
      <c r="D134" s="25" t="s">
        <v>1129</v>
      </c>
      <c r="E134" s="25" t="s">
        <v>696</v>
      </c>
      <c r="F134" s="25" t="s">
        <v>636</v>
      </c>
      <c r="G134" s="25" t="s">
        <v>246</v>
      </c>
      <c r="H134" s="25" t="s">
        <v>695</v>
      </c>
    </row>
    <row r="135" spans="1:8" ht="18.75" x14ac:dyDescent="0.3">
      <c r="A135" s="25" t="s">
        <v>429</v>
      </c>
      <c r="B135" s="25" t="s">
        <v>428</v>
      </c>
      <c r="C135" s="25" t="s">
        <v>720</v>
      </c>
      <c r="D135" s="25" t="s">
        <v>1178</v>
      </c>
      <c r="E135" s="25" t="s">
        <v>696</v>
      </c>
      <c r="F135" s="25" t="s">
        <v>637</v>
      </c>
      <c r="G135" s="25" t="s">
        <v>246</v>
      </c>
      <c r="H135" s="25" t="s">
        <v>695</v>
      </c>
    </row>
    <row r="136" spans="1:8" ht="18.75" x14ac:dyDescent="0.3">
      <c r="A136" s="25" t="s">
        <v>431</v>
      </c>
      <c r="B136" s="25" t="s">
        <v>430</v>
      </c>
      <c r="C136" s="25" t="s">
        <v>872</v>
      </c>
      <c r="D136" s="25" t="s">
        <v>1143</v>
      </c>
      <c r="E136" s="25" t="s">
        <v>698</v>
      </c>
      <c r="F136" s="25" t="s">
        <v>1143</v>
      </c>
      <c r="G136" s="25" t="s">
        <v>1321</v>
      </c>
      <c r="H136" s="25" t="s">
        <v>695</v>
      </c>
    </row>
    <row r="137" spans="1:8" ht="18.75" x14ac:dyDescent="0.3">
      <c r="A137" s="25" t="s">
        <v>434</v>
      </c>
      <c r="B137" s="25" t="s">
        <v>433</v>
      </c>
      <c r="C137" s="25" t="s">
        <v>865</v>
      </c>
      <c r="D137" s="25" t="s">
        <v>1141</v>
      </c>
      <c r="E137" s="25" t="s">
        <v>698</v>
      </c>
      <c r="F137" s="25" t="s">
        <v>1141</v>
      </c>
      <c r="G137" s="25" t="s">
        <v>1321</v>
      </c>
      <c r="H137" s="25" t="s">
        <v>695</v>
      </c>
    </row>
    <row r="138" spans="1:8" ht="18.75" x14ac:dyDescent="0.3">
      <c r="A138" s="25" t="s">
        <v>436</v>
      </c>
      <c r="B138" s="25" t="s">
        <v>435</v>
      </c>
      <c r="C138" s="25" t="s">
        <v>775</v>
      </c>
      <c r="D138" s="25" t="s">
        <v>1145</v>
      </c>
      <c r="E138" s="25" t="s">
        <v>696</v>
      </c>
      <c r="F138" s="25" t="s">
        <v>641</v>
      </c>
      <c r="G138" s="25" t="s">
        <v>1321</v>
      </c>
      <c r="H138" s="25" t="s">
        <v>695</v>
      </c>
    </row>
    <row r="139" spans="1:8" ht="18.75" x14ac:dyDescent="0.3">
      <c r="A139" s="25" t="s">
        <v>438</v>
      </c>
      <c r="B139" s="25" t="s">
        <v>437</v>
      </c>
      <c r="C139" s="25" t="s">
        <v>825</v>
      </c>
      <c r="D139" s="25" t="s">
        <v>1146</v>
      </c>
      <c r="E139" s="25" t="s">
        <v>698</v>
      </c>
      <c r="F139" s="25" t="s">
        <v>1146</v>
      </c>
      <c r="G139" s="25" t="s">
        <v>1321</v>
      </c>
      <c r="H139" s="25" t="s">
        <v>695</v>
      </c>
    </row>
    <row r="140" spans="1:8" ht="18.75" x14ac:dyDescent="0.3">
      <c r="A140" s="25" t="s">
        <v>440</v>
      </c>
      <c r="B140" s="25" t="s">
        <v>439</v>
      </c>
      <c r="C140" s="25" t="s">
        <v>870</v>
      </c>
      <c r="D140" s="25" t="s">
        <v>1132</v>
      </c>
      <c r="E140" s="25" t="s">
        <v>698</v>
      </c>
      <c r="F140" s="25" t="s">
        <v>1132</v>
      </c>
      <c r="G140" s="25" t="s">
        <v>1321</v>
      </c>
      <c r="H140" s="25" t="s">
        <v>695</v>
      </c>
    </row>
    <row r="141" spans="1:8" ht="18.75" x14ac:dyDescent="0.3">
      <c r="A141" s="25" t="s">
        <v>442</v>
      </c>
      <c r="B141" s="25" t="s">
        <v>441</v>
      </c>
      <c r="C141" s="25" t="s">
        <v>756</v>
      </c>
      <c r="D141" s="25" t="s">
        <v>1169</v>
      </c>
      <c r="E141" s="25" t="s">
        <v>696</v>
      </c>
      <c r="F141" s="25" t="s">
        <v>644</v>
      </c>
      <c r="G141" s="25" t="s">
        <v>246</v>
      </c>
      <c r="H141" s="25" t="s">
        <v>695</v>
      </c>
    </row>
    <row r="142" spans="1:8" ht="18.75" x14ac:dyDescent="0.3">
      <c r="A142" s="25" t="s">
        <v>444</v>
      </c>
      <c r="B142" s="25" t="s">
        <v>443</v>
      </c>
      <c r="C142" s="25" t="s">
        <v>859</v>
      </c>
      <c r="D142" s="25" t="s">
        <v>1148</v>
      </c>
      <c r="E142" s="25" t="s">
        <v>696</v>
      </c>
      <c r="F142" s="25" t="s">
        <v>1306</v>
      </c>
      <c r="G142" s="25" t="s">
        <v>1321</v>
      </c>
      <c r="H142" s="25" t="s">
        <v>695</v>
      </c>
    </row>
    <row r="143" spans="1:8" ht="18.75" x14ac:dyDescent="0.3">
      <c r="A143" s="25" t="s">
        <v>446</v>
      </c>
      <c r="B143" s="25" t="s">
        <v>445</v>
      </c>
      <c r="C143" s="25" t="s">
        <v>829</v>
      </c>
      <c r="D143" s="25" t="s">
        <v>1128</v>
      </c>
      <c r="E143" s="25" t="s">
        <v>696</v>
      </c>
      <c r="F143" s="25" t="s">
        <v>646</v>
      </c>
      <c r="G143" s="25" t="s">
        <v>1123</v>
      </c>
      <c r="H143" s="25" t="s">
        <v>695</v>
      </c>
    </row>
    <row r="144" spans="1:8" ht="18.75" x14ac:dyDescent="0.3">
      <c r="A144" s="25" t="s">
        <v>448</v>
      </c>
      <c r="B144" s="25" t="s">
        <v>447</v>
      </c>
      <c r="C144" s="25" t="s">
        <v>857</v>
      </c>
      <c r="D144" s="25" t="s">
        <v>1175</v>
      </c>
      <c r="E144" s="25" t="s">
        <v>696</v>
      </c>
      <c r="F144" s="25" t="s">
        <v>647</v>
      </c>
      <c r="G144" s="25" t="s">
        <v>246</v>
      </c>
      <c r="H144" s="25" t="s">
        <v>695</v>
      </c>
    </row>
    <row r="145" spans="1:8" ht="18.75" x14ac:dyDescent="0.3">
      <c r="A145" s="25" t="s">
        <v>450</v>
      </c>
      <c r="B145" s="25" t="s">
        <v>449</v>
      </c>
      <c r="C145" s="25" t="s">
        <v>803</v>
      </c>
      <c r="D145" s="25" t="s">
        <v>1137</v>
      </c>
      <c r="E145" s="25" t="s">
        <v>698</v>
      </c>
      <c r="F145" s="25" t="s">
        <v>1137</v>
      </c>
      <c r="G145" s="25" t="s">
        <v>1321</v>
      </c>
      <c r="H145" s="25" t="s">
        <v>695</v>
      </c>
    </row>
    <row r="146" spans="1:8" ht="18.75" x14ac:dyDescent="0.3">
      <c r="A146" s="25" t="s">
        <v>452</v>
      </c>
      <c r="B146" s="25" t="s">
        <v>451</v>
      </c>
      <c r="C146" s="25" t="s">
        <v>842</v>
      </c>
      <c r="D146" s="25" t="s">
        <v>1139</v>
      </c>
      <c r="E146" s="25" t="s">
        <v>698</v>
      </c>
      <c r="F146" s="25" t="s">
        <v>1139</v>
      </c>
      <c r="G146" s="25" t="s">
        <v>1321</v>
      </c>
      <c r="H146" s="25" t="s">
        <v>695</v>
      </c>
    </row>
    <row r="147" spans="1:8" ht="18.75" x14ac:dyDescent="0.3">
      <c r="A147" s="25" t="s">
        <v>455</v>
      </c>
      <c r="B147" s="25" t="s">
        <v>454</v>
      </c>
      <c r="C147" s="25" t="s">
        <v>838</v>
      </c>
      <c r="D147" s="25" t="s">
        <v>1150</v>
      </c>
      <c r="E147" s="25" t="s">
        <v>698</v>
      </c>
      <c r="F147" s="25" t="s">
        <v>1150</v>
      </c>
      <c r="G147" s="25" t="s">
        <v>1321</v>
      </c>
      <c r="H147" s="25" t="s">
        <v>695</v>
      </c>
    </row>
    <row r="148" spans="1:8" ht="18.75" x14ac:dyDescent="0.3">
      <c r="A148" s="25" t="s">
        <v>457</v>
      </c>
      <c r="B148" s="25" t="s">
        <v>456</v>
      </c>
      <c r="C148" s="25" t="s">
        <v>729</v>
      </c>
      <c r="D148" s="25" t="s">
        <v>1167</v>
      </c>
      <c r="E148" s="25" t="s">
        <v>696</v>
      </c>
      <c r="F148" s="25" t="s">
        <v>652</v>
      </c>
      <c r="G148" s="25" t="s">
        <v>246</v>
      </c>
      <c r="H148" s="25" t="s">
        <v>695</v>
      </c>
    </row>
    <row r="149" spans="1:8" ht="18.75" x14ac:dyDescent="0.3">
      <c r="A149" s="25" t="s">
        <v>459</v>
      </c>
      <c r="B149" s="25" t="s">
        <v>458</v>
      </c>
      <c r="C149" s="25" t="s">
        <v>754</v>
      </c>
      <c r="D149" s="25" t="s">
        <v>1142</v>
      </c>
      <c r="E149" s="25" t="s">
        <v>696</v>
      </c>
      <c r="F149" s="25" t="s">
        <v>1311</v>
      </c>
      <c r="G149" s="25" t="s">
        <v>1321</v>
      </c>
      <c r="H149" s="25" t="s">
        <v>695</v>
      </c>
    </row>
    <row r="150" spans="1:8" ht="18.75" x14ac:dyDescent="0.3">
      <c r="A150" s="25" t="s">
        <v>461</v>
      </c>
      <c r="B150" s="25" t="s">
        <v>460</v>
      </c>
      <c r="C150" s="25" t="s">
        <v>757</v>
      </c>
      <c r="D150" s="25" t="s">
        <v>1144</v>
      </c>
      <c r="E150" s="25" t="s">
        <v>696</v>
      </c>
      <c r="F150" s="25" t="s">
        <v>654</v>
      </c>
      <c r="G150" s="25" t="s">
        <v>1321</v>
      </c>
      <c r="H150" s="25" t="s">
        <v>695</v>
      </c>
    </row>
    <row r="151" spans="1:8" ht="18.75" x14ac:dyDescent="0.3">
      <c r="A151" s="25" t="s">
        <v>463</v>
      </c>
      <c r="B151" s="25" t="s">
        <v>462</v>
      </c>
      <c r="C151" s="25" t="s">
        <v>788</v>
      </c>
      <c r="D151" s="25" t="s">
        <v>1172</v>
      </c>
      <c r="E151" s="25" t="s">
        <v>696</v>
      </c>
      <c r="F151" s="25" t="s">
        <v>655</v>
      </c>
      <c r="G151" s="25" t="s">
        <v>246</v>
      </c>
      <c r="H151" s="25" t="s">
        <v>695</v>
      </c>
    </row>
    <row r="152" spans="1:8" ht="18.75" x14ac:dyDescent="0.3">
      <c r="A152" s="25" t="s">
        <v>465</v>
      </c>
      <c r="B152" s="25" t="s">
        <v>464</v>
      </c>
      <c r="C152" s="25" t="s">
        <v>873</v>
      </c>
      <c r="D152" s="25" t="s">
        <v>1133</v>
      </c>
      <c r="E152" s="25" t="s">
        <v>696</v>
      </c>
      <c r="F152" s="25" t="s">
        <v>656</v>
      </c>
      <c r="G152" s="25" t="s">
        <v>1123</v>
      </c>
      <c r="H152" s="25" t="s">
        <v>695</v>
      </c>
    </row>
    <row r="153" spans="1:8" ht="18.75" x14ac:dyDescent="0.3">
      <c r="A153" s="25" t="s">
        <v>467</v>
      </c>
      <c r="B153" s="25" t="s">
        <v>466</v>
      </c>
      <c r="C153" s="25" t="s">
        <v>877</v>
      </c>
      <c r="D153" s="25" t="s">
        <v>1152</v>
      </c>
      <c r="E153" s="25" t="s">
        <v>696</v>
      </c>
      <c r="F153" s="25" t="s">
        <v>1304</v>
      </c>
      <c r="G153" s="25" t="s">
        <v>1321</v>
      </c>
      <c r="H153" s="25" t="s">
        <v>695</v>
      </c>
    </row>
    <row r="154" spans="1:8" ht="18.75" x14ac:dyDescent="0.3">
      <c r="A154" s="25" t="s">
        <v>469</v>
      </c>
      <c r="B154" s="25" t="s">
        <v>468</v>
      </c>
      <c r="C154" s="25" t="s">
        <v>856</v>
      </c>
      <c r="D154" s="25" t="s">
        <v>1131</v>
      </c>
      <c r="E154" s="25" t="s">
        <v>696</v>
      </c>
      <c r="F154" s="25" t="s">
        <v>658</v>
      </c>
      <c r="G154" s="25" t="s">
        <v>246</v>
      </c>
      <c r="H154" s="25" t="s">
        <v>695</v>
      </c>
    </row>
    <row r="155" spans="1:8" ht="18.75" x14ac:dyDescent="0.3">
      <c r="A155" s="25" t="s">
        <v>471</v>
      </c>
      <c r="B155" s="25" t="s">
        <v>470</v>
      </c>
      <c r="C155" s="25" t="s">
        <v>847</v>
      </c>
      <c r="D155" s="25" t="s">
        <v>1151</v>
      </c>
      <c r="E155" s="25" t="s">
        <v>698</v>
      </c>
      <c r="F155" s="25" t="s">
        <v>1151</v>
      </c>
      <c r="G155" s="25" t="s">
        <v>1321</v>
      </c>
      <c r="H155" s="25" t="s">
        <v>695</v>
      </c>
    </row>
    <row r="156" spans="1:8" ht="18.75" x14ac:dyDescent="0.3">
      <c r="A156" s="25" t="s">
        <v>473</v>
      </c>
      <c r="B156" s="25" t="s">
        <v>472</v>
      </c>
      <c r="C156" s="25" t="s">
        <v>860</v>
      </c>
      <c r="D156" s="25" t="s">
        <v>1140</v>
      </c>
      <c r="E156" s="25" t="s">
        <v>698</v>
      </c>
      <c r="F156" s="25" t="s">
        <v>1140</v>
      </c>
      <c r="G156" s="25" t="s">
        <v>1321</v>
      </c>
      <c r="H156" s="25" t="s">
        <v>695</v>
      </c>
    </row>
    <row r="157" spans="1:8" ht="18.75" x14ac:dyDescent="0.3">
      <c r="A157" s="25" t="s">
        <v>476</v>
      </c>
      <c r="B157" s="25" t="s">
        <v>475</v>
      </c>
      <c r="C157" s="25" t="s">
        <v>833</v>
      </c>
      <c r="D157" s="25" t="s">
        <v>1138</v>
      </c>
      <c r="E157" s="25" t="s">
        <v>698</v>
      </c>
      <c r="F157" s="25" t="s">
        <v>1138</v>
      </c>
      <c r="G157" s="25" t="s">
        <v>1321</v>
      </c>
      <c r="H157" s="25" t="s">
        <v>695</v>
      </c>
    </row>
    <row r="158" spans="1:8" ht="18.75" x14ac:dyDescent="0.3">
      <c r="A158" s="25" t="s">
        <v>478</v>
      </c>
      <c r="B158" s="25" t="s">
        <v>477</v>
      </c>
      <c r="C158" s="25" t="s">
        <v>852</v>
      </c>
      <c r="D158" s="25" t="s">
        <v>1130</v>
      </c>
      <c r="E158" s="25" t="s">
        <v>696</v>
      </c>
      <c r="F158" s="25" t="s">
        <v>663</v>
      </c>
      <c r="G158" s="25" t="s">
        <v>1123</v>
      </c>
      <c r="H158" s="25" t="s">
        <v>695</v>
      </c>
    </row>
    <row r="159" spans="1:8" ht="18.75" x14ac:dyDescent="0.3">
      <c r="A159" s="25" t="s">
        <v>480</v>
      </c>
      <c r="B159" s="25" t="s">
        <v>479</v>
      </c>
      <c r="C159" s="25" t="s">
        <v>848</v>
      </c>
      <c r="D159" s="25" t="s">
        <v>1147</v>
      </c>
      <c r="E159" s="25" t="s">
        <v>696</v>
      </c>
      <c r="F159" s="25" t="s">
        <v>1303</v>
      </c>
      <c r="G159" s="25" t="s">
        <v>1321</v>
      </c>
      <c r="H159" s="25" t="s">
        <v>695</v>
      </c>
    </row>
    <row r="160" spans="1:8" ht="18.75" x14ac:dyDescent="0.3">
      <c r="A160" s="25" t="s">
        <v>482</v>
      </c>
      <c r="B160" s="25" t="s">
        <v>481</v>
      </c>
      <c r="C160" s="25" t="s">
        <v>878</v>
      </c>
      <c r="D160" s="25" t="s">
        <v>1134</v>
      </c>
      <c r="E160" s="25" t="s">
        <v>696</v>
      </c>
      <c r="F160" s="25" t="s">
        <v>1308</v>
      </c>
      <c r="G160" s="25" t="s">
        <v>1321</v>
      </c>
      <c r="H160" s="25" t="s">
        <v>695</v>
      </c>
    </row>
    <row r="161" spans="1:8" ht="18.75" x14ac:dyDescent="0.3">
      <c r="A161" s="25" t="s">
        <v>483</v>
      </c>
      <c r="B161" s="25" t="s">
        <v>14</v>
      </c>
      <c r="C161" s="25" t="s">
        <v>766</v>
      </c>
      <c r="D161" s="25" t="s">
        <v>124</v>
      </c>
      <c r="E161" s="25"/>
      <c r="F161" s="25"/>
      <c r="G161" s="25" t="s">
        <v>1327</v>
      </c>
      <c r="H161" s="25" t="s">
        <v>1336</v>
      </c>
    </row>
    <row r="162" spans="1:8" ht="18.75" x14ac:dyDescent="0.3">
      <c r="A162" s="25" t="s">
        <v>484</v>
      </c>
      <c r="B162" s="25" t="s">
        <v>16</v>
      </c>
      <c r="C162" s="25" t="s">
        <v>745</v>
      </c>
      <c r="D162" s="25" t="s">
        <v>126</v>
      </c>
      <c r="E162" s="25"/>
      <c r="F162" s="25"/>
      <c r="G162" s="25" t="s">
        <v>1327</v>
      </c>
      <c r="H162" s="25" t="s">
        <v>1336</v>
      </c>
    </row>
    <row r="163" spans="1:8" ht="18.75" x14ac:dyDescent="0.3">
      <c r="A163" s="25" t="s">
        <v>485</v>
      </c>
      <c r="B163" s="25" t="s">
        <v>17</v>
      </c>
      <c r="C163" s="25" t="s">
        <v>809</v>
      </c>
      <c r="D163" s="25" t="s">
        <v>127</v>
      </c>
      <c r="E163" s="25"/>
      <c r="F163" s="25"/>
      <c r="G163" s="25" t="s">
        <v>1327</v>
      </c>
      <c r="H163" s="25" t="s">
        <v>1336</v>
      </c>
    </row>
    <row r="164" spans="1:8" ht="18.75" x14ac:dyDescent="0.3">
      <c r="A164" s="25" t="s">
        <v>486</v>
      </c>
      <c r="B164" s="25" t="s">
        <v>19</v>
      </c>
      <c r="C164" s="25" t="s">
        <v>854</v>
      </c>
      <c r="D164" s="25" t="s">
        <v>129</v>
      </c>
      <c r="E164" s="25"/>
      <c r="F164" s="25"/>
      <c r="G164" s="25" t="s">
        <v>1327</v>
      </c>
      <c r="H164" s="25" t="s">
        <v>1336</v>
      </c>
    </row>
    <row r="165" spans="1:8" ht="18.75" x14ac:dyDescent="0.3">
      <c r="A165" s="25" t="s">
        <v>488</v>
      </c>
      <c r="B165" s="25" t="s">
        <v>21</v>
      </c>
      <c r="C165" s="25" t="s">
        <v>811</v>
      </c>
      <c r="D165" s="25" t="s">
        <v>131</v>
      </c>
      <c r="E165" s="25"/>
      <c r="F165" s="25"/>
      <c r="G165" s="25" t="s">
        <v>1327</v>
      </c>
      <c r="H165" s="25" t="s">
        <v>1336</v>
      </c>
    </row>
    <row r="166" spans="1:8" ht="18.75" x14ac:dyDescent="0.3">
      <c r="A166" s="25" t="s">
        <v>489</v>
      </c>
      <c r="B166" s="25" t="s">
        <v>22</v>
      </c>
      <c r="C166" s="25" t="s">
        <v>851</v>
      </c>
      <c r="D166" s="25" t="s">
        <v>133</v>
      </c>
      <c r="E166" s="25"/>
      <c r="F166" s="25"/>
      <c r="G166" s="25" t="s">
        <v>1327</v>
      </c>
      <c r="H166" s="25" t="s">
        <v>1336</v>
      </c>
    </row>
    <row r="167" spans="1:8" ht="18.75" x14ac:dyDescent="0.3">
      <c r="A167" s="25" t="s">
        <v>490</v>
      </c>
      <c r="B167" s="25" t="s">
        <v>23</v>
      </c>
      <c r="C167" s="25" t="s">
        <v>789</v>
      </c>
      <c r="D167" s="25" t="s">
        <v>134</v>
      </c>
      <c r="E167" s="25"/>
      <c r="F167" s="25"/>
      <c r="G167" s="25" t="s">
        <v>1327</v>
      </c>
      <c r="H167" s="25" t="s">
        <v>1336</v>
      </c>
    </row>
    <row r="168" spans="1:8" ht="18.75" x14ac:dyDescent="0.3">
      <c r="A168" s="25" t="s">
        <v>491</v>
      </c>
      <c r="B168" s="25" t="s">
        <v>25</v>
      </c>
      <c r="C168" s="25" t="s">
        <v>746</v>
      </c>
      <c r="D168" s="25" t="s">
        <v>136</v>
      </c>
      <c r="E168" s="25"/>
      <c r="F168" s="25"/>
      <c r="G168" s="25" t="s">
        <v>1327</v>
      </c>
      <c r="H168" s="25" t="s">
        <v>1336</v>
      </c>
    </row>
    <row r="169" spans="1:8" ht="18.75" x14ac:dyDescent="0.3">
      <c r="A169" s="25" t="s">
        <v>492</v>
      </c>
      <c r="B169" s="25" t="s">
        <v>30</v>
      </c>
      <c r="C169" s="25" t="s">
        <v>853</v>
      </c>
      <c r="D169" s="25" t="s">
        <v>141</v>
      </c>
      <c r="E169" s="25"/>
      <c r="F169" s="25"/>
      <c r="G169" s="25" t="s">
        <v>1327</v>
      </c>
      <c r="H169" s="25" t="s">
        <v>1336</v>
      </c>
    </row>
    <row r="170" spans="1:8" ht="18.75" x14ac:dyDescent="0.3">
      <c r="A170" s="25" t="s">
        <v>493</v>
      </c>
      <c r="B170" s="25" t="s">
        <v>31</v>
      </c>
      <c r="C170" s="25" t="s">
        <v>785</v>
      </c>
      <c r="D170" s="25" t="s">
        <v>142</v>
      </c>
      <c r="E170" s="25"/>
      <c r="F170" s="25"/>
      <c r="G170" s="25" t="s">
        <v>1327</v>
      </c>
      <c r="H170" s="25" t="s">
        <v>1336</v>
      </c>
    </row>
    <row r="171" spans="1:8" ht="18.75" x14ac:dyDescent="0.3">
      <c r="A171" s="25" t="s">
        <v>494</v>
      </c>
      <c r="B171" s="25" t="s">
        <v>33</v>
      </c>
      <c r="C171" s="25" t="s">
        <v>836</v>
      </c>
      <c r="D171" s="25" t="s">
        <v>144</v>
      </c>
      <c r="E171" s="25"/>
      <c r="F171" s="25"/>
      <c r="G171" s="25" t="s">
        <v>1327</v>
      </c>
      <c r="H171" s="25" t="s">
        <v>1336</v>
      </c>
    </row>
    <row r="172" spans="1:8" ht="18.75" x14ac:dyDescent="0.3">
      <c r="A172" s="25" t="s">
        <v>495</v>
      </c>
      <c r="B172" s="25" t="s">
        <v>34</v>
      </c>
      <c r="C172" s="25" t="s">
        <v>712</v>
      </c>
      <c r="D172" s="25" t="s">
        <v>145</v>
      </c>
      <c r="E172" s="25"/>
      <c r="F172" s="25"/>
      <c r="G172" s="25" t="s">
        <v>1327</v>
      </c>
      <c r="H172" s="25" t="s">
        <v>1336</v>
      </c>
    </row>
    <row r="173" spans="1:8" ht="18.75" x14ac:dyDescent="0.3">
      <c r="A173" s="25" t="s">
        <v>496</v>
      </c>
      <c r="B173" s="25" t="s">
        <v>35</v>
      </c>
      <c r="C173" s="25" t="s">
        <v>741</v>
      </c>
      <c r="D173" s="25" t="s">
        <v>146</v>
      </c>
      <c r="E173" s="25"/>
      <c r="F173" s="25"/>
      <c r="G173" s="25" t="s">
        <v>1327</v>
      </c>
      <c r="H173" s="25" t="s">
        <v>1336</v>
      </c>
    </row>
    <row r="174" spans="1:8" ht="18.75" x14ac:dyDescent="0.3">
      <c r="A174" s="25" t="s">
        <v>497</v>
      </c>
      <c r="B174" s="25" t="s">
        <v>37</v>
      </c>
      <c r="C174" s="25" t="s">
        <v>782</v>
      </c>
      <c r="D174" s="25" t="s">
        <v>148</v>
      </c>
      <c r="E174" s="25"/>
      <c r="F174" s="25"/>
      <c r="G174" s="25" t="s">
        <v>1327</v>
      </c>
      <c r="H174" s="25" t="s">
        <v>1336</v>
      </c>
    </row>
    <row r="175" spans="1:8" ht="18.75" x14ac:dyDescent="0.3">
      <c r="A175" s="25" t="s">
        <v>499</v>
      </c>
      <c r="B175" s="25" t="s">
        <v>43</v>
      </c>
      <c r="C175" s="25" t="s">
        <v>805</v>
      </c>
      <c r="D175" s="25" t="s">
        <v>154</v>
      </c>
      <c r="E175" s="25"/>
      <c r="F175" s="25"/>
      <c r="G175" s="25" t="s">
        <v>1327</v>
      </c>
      <c r="H175" s="25" t="s">
        <v>1336</v>
      </c>
    </row>
    <row r="176" spans="1:8" ht="18.75" x14ac:dyDescent="0.3">
      <c r="A176" s="25" t="s">
        <v>500</v>
      </c>
      <c r="B176" s="25" t="s">
        <v>49</v>
      </c>
      <c r="C176" s="25" t="s">
        <v>804</v>
      </c>
      <c r="D176" s="25" t="s">
        <v>161</v>
      </c>
      <c r="E176" s="25"/>
      <c r="F176" s="25"/>
      <c r="G176" s="25" t="s">
        <v>1327</v>
      </c>
      <c r="H176" s="25" t="s">
        <v>1336</v>
      </c>
    </row>
    <row r="177" spans="1:8" ht="18.75" x14ac:dyDescent="0.3">
      <c r="A177" s="25" t="s">
        <v>501</v>
      </c>
      <c r="B177" s="25" t="s">
        <v>50</v>
      </c>
      <c r="C177" s="25" t="s">
        <v>779</v>
      </c>
      <c r="D177" s="25" t="s">
        <v>162</v>
      </c>
      <c r="E177" s="25"/>
      <c r="F177" s="25"/>
      <c r="G177" s="25" t="s">
        <v>1327</v>
      </c>
      <c r="H177" s="25" t="s">
        <v>1336</v>
      </c>
    </row>
    <row r="178" spans="1:8" ht="18.75" x14ac:dyDescent="0.3">
      <c r="A178" s="25" t="s">
        <v>502</v>
      </c>
      <c r="B178" s="25" t="s">
        <v>51</v>
      </c>
      <c r="C178" s="25" t="s">
        <v>758</v>
      </c>
      <c r="D178" s="25" t="s">
        <v>163</v>
      </c>
      <c r="E178" s="25"/>
      <c r="F178" s="25"/>
      <c r="G178" s="25" t="s">
        <v>1327</v>
      </c>
      <c r="H178" s="25" t="s">
        <v>1336</v>
      </c>
    </row>
    <row r="179" spans="1:8" ht="18.75" x14ac:dyDescent="0.3">
      <c r="A179" s="25" t="s">
        <v>503</v>
      </c>
      <c r="B179" s="25" t="s">
        <v>90</v>
      </c>
      <c r="C179" s="25" t="s">
        <v>824</v>
      </c>
      <c r="D179" s="25" t="s">
        <v>211</v>
      </c>
      <c r="E179" s="25"/>
      <c r="F179" s="25"/>
      <c r="G179" s="25" t="s">
        <v>1327</v>
      </c>
      <c r="H179" s="25" t="s">
        <v>1336</v>
      </c>
    </row>
    <row r="180" spans="1:8" ht="18.75" x14ac:dyDescent="0.3">
      <c r="A180" s="25" t="s">
        <v>504</v>
      </c>
      <c r="B180" s="25" t="s">
        <v>91</v>
      </c>
      <c r="C180" s="25" t="s">
        <v>800</v>
      </c>
      <c r="D180" s="25" t="s">
        <v>212</v>
      </c>
      <c r="E180" s="25"/>
      <c r="F180" s="25"/>
      <c r="G180" s="25" t="s">
        <v>1327</v>
      </c>
      <c r="H180" s="25" t="s">
        <v>1336</v>
      </c>
    </row>
    <row r="181" spans="1:8" ht="18.75" x14ac:dyDescent="0.3">
      <c r="A181" s="25" t="s">
        <v>505</v>
      </c>
      <c r="B181" s="25" t="s">
        <v>93</v>
      </c>
      <c r="C181" s="25" t="s">
        <v>858</v>
      </c>
      <c r="D181" s="25" t="s">
        <v>214</v>
      </c>
      <c r="E181" s="25"/>
      <c r="F181" s="25"/>
      <c r="G181" s="25" t="s">
        <v>1327</v>
      </c>
      <c r="H181" s="25" t="s">
        <v>1336</v>
      </c>
    </row>
    <row r="182" spans="1:8" ht="18.75" x14ac:dyDescent="0.3">
      <c r="A182" s="25" t="s">
        <v>506</v>
      </c>
      <c r="B182" s="25" t="s">
        <v>100</v>
      </c>
      <c r="C182" s="25" t="s">
        <v>874</v>
      </c>
      <c r="D182" s="25" t="s">
        <v>220</v>
      </c>
      <c r="E182" s="25"/>
      <c r="F182" s="25"/>
      <c r="G182" s="25" t="s">
        <v>1327</v>
      </c>
      <c r="H182" s="25" t="s">
        <v>1336</v>
      </c>
    </row>
    <row r="183" spans="1:8" ht="18.75" x14ac:dyDescent="0.3">
      <c r="A183" s="25" t="s">
        <v>507</v>
      </c>
      <c r="B183" s="25" t="s">
        <v>101</v>
      </c>
      <c r="C183" s="25" t="s">
        <v>875</v>
      </c>
      <c r="D183" s="25" t="s">
        <v>221</v>
      </c>
      <c r="E183" s="25"/>
      <c r="F183" s="25"/>
      <c r="G183" s="25" t="s">
        <v>1327</v>
      </c>
      <c r="H183" s="25" t="s">
        <v>1336</v>
      </c>
    </row>
    <row r="184" spans="1:8" ht="18.75" x14ac:dyDescent="0.3">
      <c r="A184" s="25" t="s">
        <v>508</v>
      </c>
      <c r="B184" s="25" t="s">
        <v>102</v>
      </c>
      <c r="C184" s="25" t="s">
        <v>819</v>
      </c>
      <c r="D184" s="25" t="s">
        <v>223</v>
      </c>
      <c r="E184" s="25"/>
      <c r="F184" s="25"/>
      <c r="G184" s="25" t="s">
        <v>1327</v>
      </c>
      <c r="H184" s="25" t="s">
        <v>1336</v>
      </c>
    </row>
    <row r="185" spans="1:8" ht="18.75" x14ac:dyDescent="0.3">
      <c r="A185" s="25" t="s">
        <v>379</v>
      </c>
      <c r="B185" s="25" t="s">
        <v>103</v>
      </c>
      <c r="C185" s="25" t="s">
        <v>753</v>
      </c>
      <c r="D185" s="25" t="s">
        <v>1215</v>
      </c>
      <c r="E185" s="25"/>
      <c r="F185" s="25"/>
      <c r="G185" s="25" t="s">
        <v>1327</v>
      </c>
      <c r="H185" s="25" t="s">
        <v>1336</v>
      </c>
    </row>
  </sheetData>
  <autoFilter ref="B1:H185" xr:uid="{197E6599-46A5-4DE1-B4F7-CACD814F2371}"/>
  <conditionalFormatting sqref="B1:B1048576">
    <cfRule type="duplicateValues" dxfId="1" priority="1"/>
  </conditionalFormatting>
  <conditionalFormatting sqref="A1:A1048576">
    <cfRule type="duplicateValues" dxfId="0" priority="6"/>
  </conditionalFormatting>
  <pageMargins left="0" right="0" top="0" bottom="0" header="0" footer="0"/>
  <pageSetup scale="64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08DD3-97FC-47CA-916C-9EE3F5C33E1D}">
  <sheetPr codeName="Sheet12"/>
  <dimension ref="A1"/>
  <sheetViews>
    <sheetView workbookViewId="0">
      <selection activeCell="L1" sqref="L1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A55E-DB3F-43C0-92F1-6BF07449A9B2}">
  <sheetPr codeName="Sheet2"/>
  <dimension ref="A1:A19"/>
  <sheetViews>
    <sheetView workbookViewId="0">
      <selection activeCell="L1" sqref="L1"/>
    </sheetView>
  </sheetViews>
  <sheetFormatPr defaultRowHeight="15" x14ac:dyDescent="0.25"/>
  <sheetData>
    <row r="1" spans="1:1" x14ac:dyDescent="0.25">
      <c r="A1" t="s">
        <v>1310</v>
      </c>
    </row>
    <row r="2" spans="1:1" x14ac:dyDescent="0.25">
      <c r="A2" t="s">
        <v>1312</v>
      </c>
    </row>
    <row r="4" spans="1:1" x14ac:dyDescent="0.25">
      <c r="A4" t="s">
        <v>1313</v>
      </c>
    </row>
    <row r="6" spans="1:1" x14ac:dyDescent="0.25">
      <c r="A6" t="s">
        <v>1314</v>
      </c>
    </row>
    <row r="8" spans="1:1" x14ac:dyDescent="0.25">
      <c r="A8" t="s">
        <v>1315</v>
      </c>
    </row>
    <row r="18" spans="1:1" x14ac:dyDescent="0.25">
      <c r="A18" t="s">
        <v>1361</v>
      </c>
    </row>
    <row r="19" spans="1:1" x14ac:dyDescent="0.25">
      <c r="A19" t="s">
        <v>1362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BG Dashboard</vt:lpstr>
      <vt:lpstr>BG Stock Log</vt:lpstr>
      <vt:lpstr>Physical Inventory Log</vt:lpstr>
      <vt:lpstr>affected parts calculation erro</vt:lpstr>
      <vt:lpstr>New BG List</vt:lpstr>
      <vt:lpstr>BG still need to buy</vt:lpstr>
      <vt:lpstr>Print Copy for Prod Poster</vt:lpstr>
      <vt:lpstr>Print Copy Prod Poster Simple</vt:lpstr>
      <vt:lpstr>Sheet2</vt:lpstr>
      <vt:lpstr>For labelling</vt:lpstr>
      <vt:lpstr>for labelling for print</vt:lpstr>
      <vt:lpstr>For verification</vt:lpstr>
      <vt:lpstr>For verification for print</vt:lpstr>
      <vt:lpstr>Sheet4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Patel</dc:creator>
  <cp:lastModifiedBy>Piyush Tayal</cp:lastModifiedBy>
  <cp:lastPrinted>2025-02-28T15:49:02Z</cp:lastPrinted>
  <dcterms:created xsi:type="dcterms:W3CDTF">2024-08-05T06:59:17Z</dcterms:created>
  <dcterms:modified xsi:type="dcterms:W3CDTF">2026-02-12T16:17:50Z</dcterms:modified>
</cp:coreProperties>
</file>